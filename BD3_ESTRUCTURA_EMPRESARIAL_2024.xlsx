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aramed-my.sharepoint.com/personal/dcorreac_camaramedellin_com_co/Documents/Estructura empresarial/"/>
    </mc:Choice>
  </mc:AlternateContent>
  <xr:revisionPtr revIDLastSave="2992" documentId="8_{F4FAE5CE-4FF1-496B-8DF2-3D624E7FD889}" xr6:coauthVersionLast="47" xr6:coauthVersionMax="47" xr10:uidLastSave="{4BB4902A-8931-4B85-A1C3-88D6944B6EEE}"/>
  <bookViews>
    <workbookView xWindow="-28920" yWindow="-120" windowWidth="29040" windowHeight="15720" xr2:uid="{DD295734-5B97-4BE0-B19D-43926DFF8CD0}"/>
  </bookViews>
  <sheets>
    <sheet name="Índice" sheetId="18" r:id="rId1"/>
    <sheet name="Tabla 1" sheetId="1" r:id="rId2"/>
    <sheet name="Tabla 2" sheetId="8" r:id="rId3"/>
    <sheet name="Tabla 3" sheetId="19" r:id="rId4"/>
    <sheet name="Tabla 4" sheetId="9" r:id="rId5"/>
    <sheet name="Tabla 5" sheetId="10" r:id="rId6"/>
    <sheet name="Tabla 6" sheetId="21" r:id="rId7"/>
    <sheet name="Tabla 7" sheetId="13" r:id="rId8"/>
    <sheet name="Tabla 8" sheetId="4" r:id="rId9"/>
    <sheet name="Tabla 9" sheetId="2" r:id="rId10"/>
    <sheet name="Tabla 10" sheetId="34" r:id="rId11"/>
    <sheet name="Tabla 11" sheetId="24" r:id="rId12"/>
    <sheet name="Tabla 12" sheetId="25" r:id="rId13"/>
    <sheet name="Tabla 13" sheetId="30" r:id="rId14"/>
    <sheet name="Tabla 14" sheetId="14" r:id="rId15"/>
    <sheet name="Tabla 15" sheetId="32" r:id="rId16"/>
    <sheet name="Tabla 16" sheetId="15" r:id="rId17"/>
    <sheet name="Tabla 17" sheetId="16" r:id="rId18"/>
    <sheet name="Tabla 18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" i="17" l="1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6" i="17"/>
  <c r="Y197" i="17"/>
  <c r="Y198" i="17"/>
  <c r="Y199" i="17"/>
  <c r="Y200" i="17"/>
  <c r="Y201" i="17"/>
  <c r="Y202" i="17"/>
  <c r="Y203" i="17"/>
  <c r="Y204" i="17"/>
  <c r="Y205" i="17"/>
  <c r="Y206" i="17"/>
  <c r="Y207" i="17"/>
  <c r="Y208" i="17"/>
  <c r="Y209" i="17"/>
  <c r="Y210" i="17"/>
  <c r="Y211" i="17"/>
  <c r="Y212" i="17"/>
  <c r="Y213" i="17"/>
  <c r="Y214" i="17"/>
  <c r="Y215" i="17"/>
  <c r="Y216" i="17"/>
  <c r="Y217" i="17"/>
  <c r="Y218" i="17"/>
  <c r="Y219" i="17"/>
  <c r="Y220" i="17"/>
  <c r="Y221" i="17"/>
  <c r="Y222" i="17"/>
  <c r="Y223" i="17"/>
  <c r="Y224" i="17"/>
  <c r="Y225" i="17"/>
  <c r="Y226" i="17"/>
  <c r="Y227" i="17"/>
  <c r="Y228" i="17"/>
  <c r="Y229" i="17"/>
  <c r="Y230" i="17"/>
  <c r="Y231" i="17"/>
  <c r="Y232" i="17"/>
  <c r="Y233" i="17"/>
  <c r="Y234" i="17"/>
  <c r="Y235" i="17"/>
  <c r="Y236" i="17"/>
  <c r="Y237" i="17"/>
  <c r="Y238" i="17"/>
  <c r="Y239" i="17"/>
  <c r="Y240" i="17"/>
  <c r="Y241" i="17"/>
  <c r="Y242" i="17"/>
  <c r="Y243" i="17"/>
  <c r="Y244" i="17"/>
  <c r="Y245" i="17"/>
  <c r="Y246" i="17"/>
  <c r="Y247" i="17"/>
  <c r="Y248" i="17"/>
  <c r="Y249" i="17"/>
  <c r="Y250" i="17"/>
  <c r="Y251" i="17"/>
  <c r="Y252" i="17"/>
  <c r="Y253" i="17"/>
  <c r="Y254" i="17"/>
  <c r="Y255" i="17"/>
  <c r="Y256" i="17"/>
  <c r="Y257" i="17"/>
  <c r="Y258" i="17"/>
  <c r="Y259" i="17"/>
  <c r="Y260" i="17"/>
  <c r="Y261" i="17"/>
  <c r="Y262" i="17"/>
  <c r="Y263" i="17"/>
  <c r="Y264" i="17"/>
  <c r="Y265" i="17"/>
  <c r="Y266" i="17"/>
  <c r="Y267" i="17"/>
  <c r="Y268" i="17"/>
  <c r="Y269" i="17"/>
  <c r="Y270" i="17"/>
  <c r="Y271" i="17"/>
  <c r="Y272" i="17"/>
  <c r="Y273" i="17"/>
  <c r="Y274" i="17"/>
  <c r="Y275" i="17"/>
  <c r="Y276" i="17"/>
  <c r="Y277" i="17"/>
  <c r="Y278" i="17"/>
  <c r="Y279" i="17"/>
  <c r="Y280" i="17"/>
  <c r="Y281" i="17"/>
  <c r="Y282" i="17"/>
  <c r="Y283" i="17"/>
  <c r="Y284" i="17"/>
  <c r="Y285" i="17"/>
  <c r="Y286" i="17"/>
  <c r="Y287" i="17"/>
  <c r="Y288" i="17"/>
  <c r="Y289" i="17"/>
  <c r="Y290" i="17"/>
  <c r="Y291" i="17"/>
  <c r="Y292" i="17"/>
  <c r="Y293" i="17"/>
  <c r="Y294" i="17"/>
  <c r="Y295" i="17"/>
  <c r="Y296" i="17"/>
  <c r="Y297" i="17"/>
  <c r="Y298" i="17"/>
  <c r="Y299" i="17"/>
  <c r="Y300" i="17"/>
  <c r="Y301" i="17"/>
  <c r="Y302" i="17"/>
  <c r="Y303" i="17"/>
  <c r="Y304" i="17"/>
  <c r="Y305" i="17"/>
  <c r="Y306" i="17"/>
  <c r="Y307" i="17"/>
  <c r="Y308" i="17"/>
  <c r="Y309" i="17"/>
  <c r="Y310" i="17"/>
  <c r="Y311" i="17"/>
  <c r="Y312" i="17"/>
  <c r="Y313" i="17"/>
  <c r="Y314" i="17"/>
  <c r="Y315" i="17"/>
  <c r="Y316" i="17"/>
  <c r="Y317" i="17"/>
  <c r="Y318" i="17"/>
  <c r="Y319" i="17"/>
  <c r="Y320" i="17"/>
  <c r="Y321" i="17"/>
  <c r="Y322" i="17"/>
  <c r="Y323" i="17"/>
  <c r="Y324" i="17"/>
  <c r="Y325" i="17"/>
  <c r="Y326" i="17"/>
  <c r="Y327" i="17"/>
  <c r="Y328" i="17"/>
  <c r="Y329" i="17"/>
  <c r="Y330" i="17"/>
  <c r="Y331" i="17"/>
  <c r="Y332" i="17"/>
  <c r="Y333" i="17"/>
  <c r="Y334" i="17"/>
  <c r="Y335" i="17"/>
  <c r="Y336" i="17"/>
  <c r="Y337" i="17"/>
  <c r="Y338" i="17"/>
  <c r="Y339" i="17"/>
  <c r="Y340" i="17"/>
  <c r="Y341" i="17"/>
  <c r="Y342" i="17"/>
  <c r="Y343" i="17"/>
  <c r="Y344" i="17"/>
  <c r="Y345" i="17"/>
  <c r="Y346" i="17"/>
  <c r="Y347" i="17"/>
  <c r="Y348" i="17"/>
  <c r="Y349" i="17"/>
  <c r="Y350" i="17"/>
  <c r="Y351" i="17"/>
  <c r="Y352" i="17"/>
  <c r="Y353" i="17"/>
  <c r="Y354" i="17"/>
  <c r="Y355" i="17"/>
  <c r="Y356" i="17"/>
  <c r="Y357" i="17"/>
  <c r="Y358" i="17"/>
  <c r="Y359" i="17"/>
  <c r="Y360" i="17"/>
  <c r="Y361" i="17"/>
  <c r="Y362" i="17"/>
  <c r="Y363" i="17"/>
  <c r="Y364" i="17"/>
  <c r="Y365" i="17"/>
  <c r="Y366" i="17"/>
  <c r="Y367" i="17"/>
  <c r="Y368" i="17"/>
  <c r="Y369" i="17"/>
  <c r="Y370" i="17"/>
  <c r="Y371" i="17"/>
  <c r="Y372" i="17"/>
  <c r="Y373" i="17"/>
  <c r="Y374" i="17"/>
  <c r="Y375" i="17"/>
  <c r="Y376" i="17"/>
  <c r="Y377" i="17"/>
  <c r="Y378" i="17"/>
  <c r="Y379" i="17"/>
  <c r="Y380" i="17"/>
  <c r="Y381" i="17"/>
  <c r="Y382" i="17"/>
  <c r="Y383" i="17"/>
  <c r="Y384" i="17"/>
  <c r="Y385" i="17"/>
  <c r="Y386" i="17"/>
  <c r="Y387" i="17"/>
  <c r="Y388" i="17"/>
  <c r="Y389" i="17"/>
  <c r="Y390" i="17"/>
  <c r="Y391" i="17"/>
  <c r="Y392" i="17"/>
  <c r="Y393" i="17"/>
  <c r="Y394" i="17"/>
  <c r="Y395" i="17"/>
  <c r="Y396" i="17"/>
  <c r="Y397" i="17"/>
  <c r="Y398" i="17"/>
  <c r="Y399" i="17"/>
  <c r="Y400" i="17"/>
  <c r="Y401" i="17"/>
  <c r="Y402" i="17"/>
  <c r="Y403" i="17"/>
  <c r="Y404" i="17"/>
  <c r="Y405" i="17"/>
  <c r="Y406" i="17"/>
  <c r="Y407" i="17"/>
  <c r="Y408" i="17"/>
  <c r="Y409" i="17"/>
  <c r="Y410" i="17"/>
  <c r="Y411" i="17"/>
  <c r="Y412" i="17"/>
  <c r="Y413" i="17"/>
  <c r="Y414" i="17"/>
  <c r="Y415" i="17"/>
  <c r="Y416" i="17"/>
  <c r="Y417" i="17"/>
  <c r="Y418" i="17"/>
  <c r="Y419" i="17"/>
  <c r="Y420" i="17"/>
  <c r="Y421" i="17"/>
  <c r="Y422" i="17"/>
  <c r="Y423" i="17"/>
  <c r="Y424" i="17"/>
  <c r="Y425" i="17"/>
  <c r="Y426" i="17"/>
  <c r="Y427" i="17"/>
  <c r="Y428" i="17"/>
  <c r="Y429" i="17"/>
  <c r="Y430" i="17"/>
  <c r="Y431" i="17"/>
  <c r="Y432" i="17"/>
  <c r="Y433" i="17"/>
  <c r="Y434" i="17"/>
  <c r="Y435" i="17"/>
  <c r="Y436" i="17"/>
  <c r="Y437" i="17"/>
  <c r="Y438" i="17"/>
  <c r="Y439" i="17"/>
  <c r="Y440" i="17"/>
  <c r="Y441" i="17"/>
  <c r="Y442" i="17"/>
  <c r="Y443" i="17"/>
  <c r="Y444" i="17"/>
  <c r="Y445" i="17"/>
  <c r="Y446" i="17"/>
  <c r="Y447" i="17"/>
  <c r="Y448" i="17"/>
  <c r="Y449" i="17"/>
  <c r="Y450" i="17"/>
  <c r="Y451" i="17"/>
  <c r="Y452" i="17"/>
  <c r="Y453" i="17"/>
  <c r="Y454" i="17"/>
  <c r="Y455" i="17"/>
  <c r="Y456" i="17"/>
  <c r="Y457" i="17"/>
  <c r="Y458" i="17"/>
  <c r="Y459" i="17"/>
  <c r="Y460" i="17"/>
  <c r="Y461" i="17"/>
  <c r="Y462" i="17"/>
  <c r="Y463" i="17"/>
  <c r="Y464" i="17"/>
  <c r="Y465" i="17"/>
  <c r="Y466" i="17"/>
  <c r="Y467" i="17"/>
  <c r="Y468" i="17"/>
  <c r="Y469" i="17"/>
  <c r="Y470" i="17"/>
  <c r="Y5" i="17"/>
  <c r="C6" i="4"/>
  <c r="J6" i="4" s="1"/>
  <c r="D6" i="4"/>
  <c r="E6" i="4"/>
  <c r="F6" i="4"/>
  <c r="G6" i="4"/>
  <c r="H6" i="4"/>
  <c r="I6" i="4"/>
  <c r="C30" i="4"/>
  <c r="D30" i="4"/>
  <c r="E30" i="4"/>
  <c r="F30" i="4"/>
  <c r="G30" i="4"/>
  <c r="H30" i="4"/>
  <c r="K30" i="4" s="1"/>
  <c r="I30" i="4"/>
  <c r="B30" i="4"/>
  <c r="C48" i="4"/>
  <c r="J48" i="4" s="1"/>
  <c r="D48" i="4"/>
  <c r="E48" i="4"/>
  <c r="F48" i="4"/>
  <c r="G48" i="4"/>
  <c r="H48" i="4"/>
  <c r="K48" i="4" s="1"/>
  <c r="I48" i="4"/>
  <c r="B48" i="4"/>
  <c r="C52" i="4"/>
  <c r="D52" i="4"/>
  <c r="E52" i="4"/>
  <c r="F52" i="4"/>
  <c r="G52" i="4"/>
  <c r="H52" i="4"/>
  <c r="I52" i="4"/>
  <c r="K52" i="4" s="1"/>
  <c r="B52" i="4"/>
  <c r="B58" i="4"/>
  <c r="J57" i="4"/>
  <c r="J58" i="4"/>
  <c r="B6" i="4"/>
  <c r="I6" i="25"/>
  <c r="I9" i="25"/>
  <c r="I10" i="25"/>
  <c r="I16" i="25"/>
  <c r="I17" i="25"/>
  <c r="I20" i="25"/>
  <c r="I22" i="25"/>
  <c r="I25" i="25"/>
  <c r="I28" i="25"/>
  <c r="I30" i="25"/>
  <c r="I31" i="25"/>
  <c r="I33" i="25"/>
  <c r="I35" i="25"/>
  <c r="I36" i="25"/>
  <c r="I38" i="25"/>
  <c r="I41" i="25"/>
  <c r="I49" i="25"/>
  <c r="I53" i="25"/>
  <c r="I54" i="25"/>
  <c r="I57" i="25"/>
  <c r="I64" i="25"/>
  <c r="I65" i="25"/>
  <c r="I67" i="25"/>
  <c r="I68" i="25"/>
  <c r="I70" i="25"/>
  <c r="I73" i="25"/>
  <c r="I78" i="25"/>
  <c r="I79" i="25"/>
  <c r="I83" i="25"/>
  <c r="I84" i="25"/>
  <c r="I86" i="25"/>
  <c r="I89" i="25"/>
  <c r="I97" i="25"/>
  <c r="I101" i="25"/>
  <c r="I102" i="25"/>
  <c r="I105" i="25"/>
  <c r="I107" i="25"/>
  <c r="I108" i="25"/>
  <c r="I112" i="25"/>
  <c r="I113" i="25"/>
  <c r="I116" i="25"/>
  <c r="I118" i="25"/>
  <c r="I121" i="25"/>
  <c r="I130" i="25"/>
  <c r="I132" i="25"/>
  <c r="I134" i="25"/>
  <c r="I137" i="25"/>
  <c r="I145" i="25"/>
  <c r="I150" i="25"/>
  <c r="I153" i="25"/>
  <c r="I155" i="25"/>
  <c r="I156" i="25"/>
  <c r="I160" i="25"/>
  <c r="I161" i="25"/>
  <c r="I163" i="25"/>
  <c r="I164" i="25"/>
  <c r="I166" i="25"/>
  <c r="I169" i="25"/>
  <c r="I178" i="25"/>
  <c r="I181" i="25"/>
  <c r="I182" i="25"/>
  <c r="I185" i="25"/>
  <c r="I186" i="25"/>
  <c r="I192" i="25"/>
  <c r="I193" i="25"/>
  <c r="I196" i="25"/>
  <c r="I198" i="25"/>
  <c r="I201" i="25"/>
  <c r="I203" i="25"/>
  <c r="I204" i="25"/>
  <c r="I206" i="25"/>
  <c r="I207" i="25"/>
  <c r="I208" i="25"/>
  <c r="I209" i="25"/>
  <c r="I211" i="25"/>
  <c r="I212" i="25"/>
  <c r="I214" i="25"/>
  <c r="I217" i="25"/>
  <c r="I230" i="25"/>
  <c r="I233" i="25"/>
  <c r="I234" i="25"/>
  <c r="I241" i="25"/>
  <c r="I245" i="25"/>
  <c r="I246" i="25"/>
  <c r="I249" i="25"/>
  <c r="I251" i="25"/>
  <c r="I252" i="25"/>
  <c r="I254" i="25"/>
  <c r="I256" i="25"/>
  <c r="I257" i="25"/>
  <c r="I259" i="25"/>
  <c r="I260" i="25"/>
  <c r="I262" i="25"/>
  <c r="I265" i="25"/>
  <c r="I266" i="25"/>
  <c r="I271" i="25"/>
  <c r="I274" i="25"/>
  <c r="I276" i="25"/>
  <c r="I278" i="25"/>
  <c r="I281" i="25"/>
  <c r="I282" i="25"/>
  <c r="I288" i="25"/>
  <c r="I289" i="25"/>
  <c r="I293" i="25"/>
  <c r="I294" i="25"/>
  <c r="I297" i="25"/>
  <c r="I299" i="25"/>
  <c r="I300" i="25"/>
  <c r="I304" i="25"/>
  <c r="I305" i="25"/>
  <c r="I308" i="25"/>
  <c r="I310" i="25"/>
  <c r="I313" i="25"/>
  <c r="I318" i="25"/>
  <c r="I319" i="25"/>
  <c r="I322" i="25"/>
  <c r="I323" i="25"/>
  <c r="I324" i="25"/>
  <c r="I326" i="25"/>
  <c r="I329" i="25"/>
  <c r="AQ329" i="25" s="1"/>
  <c r="I330" i="25"/>
  <c r="I337" i="25"/>
  <c r="I342" i="25"/>
  <c r="I345" i="25"/>
  <c r="AQ345" i="25" s="1"/>
  <c r="I347" i="25"/>
  <c r="I352" i="25"/>
  <c r="I353" i="25"/>
  <c r="I356" i="25"/>
  <c r="I358" i="25"/>
  <c r="I361" i="25"/>
  <c r="I364" i="25"/>
  <c r="I366" i="25"/>
  <c r="I367" i="25"/>
  <c r="I371" i="25"/>
  <c r="I372" i="25"/>
  <c r="I374" i="25"/>
  <c r="I377" i="25"/>
  <c r="I378" i="25"/>
  <c r="I385" i="25"/>
  <c r="I386" i="25"/>
  <c r="I389" i="25"/>
  <c r="I390" i="25"/>
  <c r="I393" i="25"/>
  <c r="I400" i="25"/>
  <c r="I401" i="25"/>
  <c r="I403" i="25"/>
  <c r="I404" i="25"/>
  <c r="I406" i="25"/>
  <c r="I409" i="25"/>
  <c r="I411" i="25"/>
  <c r="I412" i="25"/>
  <c r="I414" i="25"/>
  <c r="I415" i="25"/>
  <c r="I417" i="25"/>
  <c r="I419" i="25"/>
  <c r="I420" i="25"/>
  <c r="I422" i="25"/>
  <c r="I425" i="25"/>
  <c r="I426" i="25"/>
  <c r="I434" i="25"/>
  <c r="I437" i="25"/>
  <c r="I438" i="25"/>
  <c r="I441" i="25"/>
  <c r="I442" i="25"/>
  <c r="I448" i="25"/>
  <c r="I449" i="25"/>
  <c r="I452" i="25"/>
  <c r="I454" i="25"/>
  <c r="I457" i="25"/>
  <c r="I460" i="25"/>
  <c r="I463" i="25"/>
  <c r="I464" i="25"/>
  <c r="I465" i="25"/>
  <c r="I467" i="25"/>
  <c r="I468" i="25"/>
  <c r="I470" i="25"/>
  <c r="I473" i="25"/>
  <c r="I474" i="25"/>
  <c r="AM476" i="25"/>
  <c r="AM475" i="25"/>
  <c r="AM474" i="25"/>
  <c r="AM473" i="25"/>
  <c r="AM472" i="25"/>
  <c r="AM471" i="25"/>
  <c r="AM470" i="25"/>
  <c r="AM469" i="25"/>
  <c r="AM468" i="25"/>
  <c r="AM467" i="25"/>
  <c r="AM466" i="25"/>
  <c r="AM465" i="25"/>
  <c r="AM464" i="25"/>
  <c r="AM463" i="25"/>
  <c r="AM462" i="25"/>
  <c r="AM461" i="25"/>
  <c r="AM460" i="25"/>
  <c r="AM459" i="25"/>
  <c r="AM458" i="25"/>
  <c r="AM457" i="25"/>
  <c r="AM456" i="25"/>
  <c r="AM455" i="25"/>
  <c r="AM454" i="25"/>
  <c r="AM453" i="25"/>
  <c r="AM452" i="25"/>
  <c r="AM451" i="25"/>
  <c r="AM450" i="25"/>
  <c r="AM449" i="25"/>
  <c r="AM448" i="25"/>
  <c r="AM447" i="25"/>
  <c r="AM446" i="25"/>
  <c r="AM445" i="25"/>
  <c r="AM444" i="25"/>
  <c r="AM443" i="25"/>
  <c r="AM442" i="25"/>
  <c r="AM441" i="25"/>
  <c r="AM440" i="25"/>
  <c r="AM439" i="25"/>
  <c r="AM438" i="25"/>
  <c r="AM437" i="25"/>
  <c r="AM436" i="25"/>
  <c r="AM435" i="25"/>
  <c r="AM434" i="25"/>
  <c r="AM433" i="25"/>
  <c r="AM432" i="25"/>
  <c r="AM431" i="25"/>
  <c r="AM430" i="25"/>
  <c r="AM429" i="25"/>
  <c r="AM428" i="25"/>
  <c r="AM427" i="25"/>
  <c r="AM426" i="25"/>
  <c r="AM425" i="25"/>
  <c r="AM424" i="25"/>
  <c r="AM423" i="25"/>
  <c r="AM422" i="25"/>
  <c r="AM421" i="25"/>
  <c r="AM420" i="25"/>
  <c r="AM419" i="25"/>
  <c r="AM418" i="25"/>
  <c r="AM417" i="25"/>
  <c r="AM416" i="25"/>
  <c r="AM415" i="25"/>
  <c r="AM414" i="25"/>
  <c r="AM413" i="25"/>
  <c r="AM412" i="25"/>
  <c r="AM411" i="25"/>
  <c r="AM410" i="25"/>
  <c r="AM409" i="25"/>
  <c r="AM408" i="25"/>
  <c r="AM407" i="25"/>
  <c r="AM406" i="25"/>
  <c r="AM405" i="25"/>
  <c r="AM404" i="25"/>
  <c r="AM403" i="25"/>
  <c r="AM402" i="25"/>
  <c r="AM401" i="25"/>
  <c r="AM400" i="25"/>
  <c r="AM399" i="25"/>
  <c r="AM398" i="25"/>
  <c r="AM397" i="25"/>
  <c r="AM396" i="25"/>
  <c r="AM395" i="25"/>
  <c r="AM394" i="25"/>
  <c r="AM393" i="25"/>
  <c r="AM392" i="25"/>
  <c r="AM391" i="25"/>
  <c r="AM390" i="25"/>
  <c r="AM389" i="25"/>
  <c r="AM388" i="25"/>
  <c r="AM387" i="25"/>
  <c r="AM386" i="25"/>
  <c r="AM385" i="25"/>
  <c r="AM384" i="25"/>
  <c r="AM383" i="25"/>
  <c r="AM382" i="25"/>
  <c r="AM381" i="25"/>
  <c r="AM380" i="25"/>
  <c r="AM379" i="25"/>
  <c r="AM378" i="25"/>
  <c r="AM377" i="25"/>
  <c r="AM376" i="25"/>
  <c r="AM375" i="25"/>
  <c r="AM374" i="25"/>
  <c r="AM373" i="25"/>
  <c r="AM372" i="25"/>
  <c r="AM371" i="25"/>
  <c r="AM370" i="25"/>
  <c r="AM369" i="25"/>
  <c r="AM368" i="25"/>
  <c r="AM367" i="25"/>
  <c r="AM366" i="25"/>
  <c r="AM365" i="25"/>
  <c r="AM364" i="25"/>
  <c r="AM363" i="25"/>
  <c r="AM362" i="25"/>
  <c r="AM361" i="25"/>
  <c r="AM360" i="25"/>
  <c r="AM359" i="25"/>
  <c r="AM358" i="25"/>
  <c r="AM357" i="25"/>
  <c r="AM356" i="25"/>
  <c r="AM355" i="25"/>
  <c r="AM354" i="25"/>
  <c r="AM353" i="25"/>
  <c r="AM352" i="25"/>
  <c r="AM351" i="25"/>
  <c r="AM350" i="25"/>
  <c r="AM349" i="25"/>
  <c r="AM348" i="25"/>
  <c r="AM347" i="25"/>
  <c r="AM346" i="25"/>
  <c r="AM345" i="25"/>
  <c r="AM344" i="25"/>
  <c r="AM343" i="25"/>
  <c r="AM342" i="25"/>
  <c r="AM341" i="25"/>
  <c r="AM340" i="25"/>
  <c r="AM339" i="25"/>
  <c r="AM338" i="25"/>
  <c r="AM337" i="25"/>
  <c r="AM336" i="25"/>
  <c r="AM335" i="25"/>
  <c r="AM334" i="25"/>
  <c r="AM333" i="25"/>
  <c r="AM332" i="25"/>
  <c r="AM331" i="25"/>
  <c r="AM330" i="25"/>
  <c r="AM329" i="25"/>
  <c r="AM328" i="25"/>
  <c r="AM327" i="25"/>
  <c r="AM326" i="25"/>
  <c r="AM325" i="25"/>
  <c r="AM324" i="25"/>
  <c r="AM323" i="25"/>
  <c r="AM322" i="25"/>
  <c r="AM321" i="25"/>
  <c r="AM320" i="25"/>
  <c r="AM319" i="25"/>
  <c r="AM318" i="25"/>
  <c r="AM317" i="25"/>
  <c r="AM316" i="25"/>
  <c r="AM315" i="25"/>
  <c r="AM314" i="25"/>
  <c r="AM313" i="25"/>
  <c r="AM312" i="25"/>
  <c r="AM311" i="25"/>
  <c r="AM310" i="25"/>
  <c r="AM309" i="25"/>
  <c r="AM308" i="25"/>
  <c r="AM307" i="25"/>
  <c r="AM306" i="25"/>
  <c r="AM305" i="25"/>
  <c r="AM304" i="25"/>
  <c r="AM303" i="25"/>
  <c r="AM302" i="25"/>
  <c r="AM301" i="25"/>
  <c r="AM300" i="25"/>
  <c r="AM299" i="25"/>
  <c r="AM298" i="25"/>
  <c r="AM297" i="25"/>
  <c r="AM296" i="25"/>
  <c r="AM295" i="25"/>
  <c r="AM294" i="25"/>
  <c r="AM293" i="25"/>
  <c r="AM292" i="25"/>
  <c r="AM291" i="25"/>
  <c r="AM290" i="25"/>
  <c r="AM289" i="25"/>
  <c r="AM288" i="25"/>
  <c r="AM287" i="25"/>
  <c r="AM286" i="25"/>
  <c r="AM285" i="25"/>
  <c r="AM284" i="25"/>
  <c r="AM283" i="25"/>
  <c r="AM282" i="25"/>
  <c r="AM281" i="25"/>
  <c r="AM280" i="25"/>
  <c r="AM279" i="25"/>
  <c r="AM278" i="25"/>
  <c r="AM277" i="25"/>
  <c r="AM276" i="25"/>
  <c r="AM275" i="25"/>
  <c r="AM274" i="25"/>
  <c r="AM273" i="25"/>
  <c r="AM272" i="25"/>
  <c r="AM271" i="25"/>
  <c r="AM270" i="25"/>
  <c r="AM269" i="25"/>
  <c r="AM268" i="25"/>
  <c r="AM267" i="25"/>
  <c r="AM266" i="25"/>
  <c r="AM265" i="25"/>
  <c r="AM264" i="25"/>
  <c r="AM263" i="25"/>
  <c r="AM262" i="25"/>
  <c r="AM261" i="25"/>
  <c r="AM260" i="25"/>
  <c r="AM259" i="25"/>
  <c r="AM258" i="25"/>
  <c r="AM257" i="25"/>
  <c r="AM256" i="25"/>
  <c r="AM255" i="25"/>
  <c r="AM254" i="25"/>
  <c r="AM253" i="25"/>
  <c r="AM252" i="25"/>
  <c r="AM251" i="25"/>
  <c r="AM250" i="25"/>
  <c r="AM249" i="25"/>
  <c r="AM248" i="25"/>
  <c r="AM247" i="25"/>
  <c r="AM246" i="25"/>
  <c r="AM245" i="25"/>
  <c r="AM244" i="25"/>
  <c r="AM243" i="25"/>
  <c r="AM242" i="25"/>
  <c r="AM241" i="25"/>
  <c r="AM240" i="25"/>
  <c r="AM239" i="25"/>
  <c r="AM238" i="25"/>
  <c r="AM237" i="25"/>
  <c r="AM236" i="25"/>
  <c r="AM235" i="25"/>
  <c r="AM234" i="25"/>
  <c r="AM233" i="25"/>
  <c r="AM232" i="25"/>
  <c r="AM231" i="25"/>
  <c r="AM230" i="25"/>
  <c r="AM229" i="25"/>
  <c r="AM228" i="25"/>
  <c r="AM227" i="25"/>
  <c r="AM226" i="25"/>
  <c r="AM225" i="25"/>
  <c r="AM224" i="25"/>
  <c r="AM223" i="25"/>
  <c r="AM222" i="25"/>
  <c r="AM221" i="25"/>
  <c r="AM220" i="25"/>
  <c r="AM219" i="25"/>
  <c r="AM218" i="25"/>
  <c r="AM217" i="25"/>
  <c r="AM216" i="25"/>
  <c r="AM215" i="25"/>
  <c r="AM214" i="25"/>
  <c r="AM213" i="25"/>
  <c r="AM212" i="25"/>
  <c r="AM211" i="25"/>
  <c r="AM210" i="25"/>
  <c r="AM209" i="25"/>
  <c r="AM208" i="25"/>
  <c r="AM207" i="25"/>
  <c r="AM206" i="25"/>
  <c r="AM205" i="25"/>
  <c r="AM204" i="25"/>
  <c r="AM203" i="25"/>
  <c r="AM202" i="25"/>
  <c r="AM201" i="25"/>
  <c r="AM200" i="25"/>
  <c r="AM199" i="25"/>
  <c r="AM198" i="25"/>
  <c r="AM197" i="25"/>
  <c r="AM196" i="25"/>
  <c r="AM195" i="25"/>
  <c r="AM194" i="25"/>
  <c r="AM193" i="25"/>
  <c r="AM192" i="25"/>
  <c r="AM191" i="25"/>
  <c r="AM190" i="25"/>
  <c r="AM189" i="25"/>
  <c r="AM188" i="25"/>
  <c r="AM187" i="25"/>
  <c r="AM186" i="25"/>
  <c r="AM185" i="25"/>
  <c r="AM184" i="25"/>
  <c r="AM183" i="25"/>
  <c r="AM182" i="25"/>
  <c r="AM181" i="25"/>
  <c r="AM180" i="25"/>
  <c r="AM179" i="25"/>
  <c r="AM178" i="25"/>
  <c r="AM177" i="25"/>
  <c r="AM176" i="25"/>
  <c r="AM175" i="25"/>
  <c r="AM174" i="25"/>
  <c r="AM173" i="25"/>
  <c r="AM172" i="25"/>
  <c r="AM171" i="25"/>
  <c r="AM170" i="25"/>
  <c r="AM169" i="25"/>
  <c r="AM168" i="25"/>
  <c r="AM167" i="25"/>
  <c r="AM166" i="25"/>
  <c r="AM165" i="25"/>
  <c r="AM164" i="25"/>
  <c r="AM163" i="25"/>
  <c r="AM162" i="25"/>
  <c r="AM161" i="25"/>
  <c r="AM160" i="25"/>
  <c r="AM159" i="25"/>
  <c r="AM158" i="25"/>
  <c r="AM157" i="25"/>
  <c r="AM156" i="25"/>
  <c r="AM155" i="25"/>
  <c r="AM154" i="25"/>
  <c r="AM153" i="25"/>
  <c r="AM152" i="25"/>
  <c r="AM151" i="25"/>
  <c r="AM150" i="25"/>
  <c r="AM149" i="25"/>
  <c r="AM148" i="25"/>
  <c r="AM147" i="25"/>
  <c r="AM146" i="25"/>
  <c r="AM145" i="25"/>
  <c r="AM144" i="25"/>
  <c r="AM143" i="25"/>
  <c r="AM142" i="25"/>
  <c r="AM141" i="25"/>
  <c r="AM140" i="25"/>
  <c r="AM139" i="25"/>
  <c r="AM138" i="25"/>
  <c r="AM137" i="25"/>
  <c r="AM136" i="25"/>
  <c r="AM135" i="25"/>
  <c r="AM134" i="25"/>
  <c r="AM133" i="25"/>
  <c r="AM132" i="25"/>
  <c r="AM131" i="25"/>
  <c r="AM130" i="25"/>
  <c r="AM129" i="25"/>
  <c r="AM128" i="25"/>
  <c r="AM127" i="25"/>
  <c r="AM126" i="25"/>
  <c r="AM125" i="25"/>
  <c r="AM124" i="25"/>
  <c r="AM123" i="25"/>
  <c r="AM122" i="25"/>
  <c r="AM121" i="25"/>
  <c r="AM120" i="25"/>
  <c r="AM119" i="25"/>
  <c r="AM118" i="25"/>
  <c r="AM117" i="25"/>
  <c r="AM116" i="25"/>
  <c r="AM115" i="25"/>
  <c r="AM114" i="25"/>
  <c r="AM113" i="25"/>
  <c r="AM112" i="25"/>
  <c r="AM111" i="25"/>
  <c r="AM110" i="25"/>
  <c r="AM109" i="25"/>
  <c r="AM108" i="25"/>
  <c r="AM107" i="25"/>
  <c r="AM106" i="25"/>
  <c r="AM105" i="25"/>
  <c r="AM104" i="25"/>
  <c r="AM103" i="25"/>
  <c r="AM102" i="25"/>
  <c r="AM101" i="25"/>
  <c r="AM100" i="25"/>
  <c r="AM99" i="25"/>
  <c r="AM98" i="25"/>
  <c r="AM97" i="25"/>
  <c r="AM96" i="25"/>
  <c r="AM95" i="25"/>
  <c r="AM94" i="25"/>
  <c r="AM93" i="25"/>
  <c r="AM92" i="25"/>
  <c r="AM91" i="25"/>
  <c r="AM90" i="25"/>
  <c r="AM89" i="25"/>
  <c r="AM88" i="25"/>
  <c r="AM87" i="25"/>
  <c r="AM86" i="25"/>
  <c r="AM85" i="25"/>
  <c r="AM84" i="25"/>
  <c r="AM83" i="25"/>
  <c r="AM82" i="25"/>
  <c r="AM81" i="25"/>
  <c r="AM80" i="25"/>
  <c r="AM79" i="25"/>
  <c r="AM78" i="25"/>
  <c r="AM77" i="25"/>
  <c r="AM76" i="25"/>
  <c r="AM75" i="25"/>
  <c r="AM74" i="25"/>
  <c r="AM73" i="25"/>
  <c r="AM72" i="25"/>
  <c r="AM71" i="25"/>
  <c r="AM70" i="25"/>
  <c r="AM69" i="25"/>
  <c r="AM68" i="25"/>
  <c r="AM67" i="25"/>
  <c r="AM66" i="25"/>
  <c r="AM65" i="25"/>
  <c r="AM64" i="25"/>
  <c r="AM63" i="25"/>
  <c r="AM62" i="25"/>
  <c r="AM61" i="25"/>
  <c r="AM60" i="25"/>
  <c r="AM59" i="25"/>
  <c r="AM58" i="25"/>
  <c r="AM57" i="25"/>
  <c r="AM56" i="25"/>
  <c r="AM55" i="25"/>
  <c r="AM54" i="25"/>
  <c r="AM53" i="25"/>
  <c r="AM52" i="25"/>
  <c r="AM51" i="25"/>
  <c r="AM50" i="25"/>
  <c r="AM49" i="25"/>
  <c r="AM48" i="25"/>
  <c r="AM47" i="25"/>
  <c r="AM46" i="25"/>
  <c r="AM45" i="25"/>
  <c r="AM44" i="25"/>
  <c r="AM43" i="25"/>
  <c r="AM42" i="25"/>
  <c r="AM41" i="25"/>
  <c r="AM40" i="25"/>
  <c r="AM39" i="25"/>
  <c r="AM38" i="25"/>
  <c r="AM37" i="25"/>
  <c r="AM36" i="25"/>
  <c r="AM35" i="25"/>
  <c r="AM34" i="25"/>
  <c r="AM33" i="25"/>
  <c r="AM32" i="25"/>
  <c r="AM31" i="25"/>
  <c r="AM30" i="25"/>
  <c r="AM29" i="25"/>
  <c r="AM28" i="25"/>
  <c r="AM27" i="25"/>
  <c r="AM26" i="25"/>
  <c r="AM25" i="25"/>
  <c r="AM24" i="25"/>
  <c r="AM23" i="25"/>
  <c r="AM22" i="25"/>
  <c r="AM21" i="25"/>
  <c r="AM20" i="25"/>
  <c r="AM19" i="25"/>
  <c r="AM18" i="25"/>
  <c r="AM17" i="25"/>
  <c r="AM16" i="25"/>
  <c r="AM15" i="25"/>
  <c r="AM14" i="25"/>
  <c r="AM13" i="25"/>
  <c r="AM12" i="25"/>
  <c r="AM11" i="25"/>
  <c r="AM10" i="25"/>
  <c r="AM9" i="25"/>
  <c r="AM8" i="25"/>
  <c r="AM7" i="25"/>
  <c r="AM6" i="25"/>
  <c r="AM5" i="25"/>
  <c r="AG476" i="25"/>
  <c r="AG475" i="25"/>
  <c r="AG474" i="25"/>
  <c r="AG473" i="25"/>
  <c r="AG472" i="25"/>
  <c r="AG471" i="25"/>
  <c r="AG470" i="25"/>
  <c r="AG469" i="25"/>
  <c r="AG468" i="25"/>
  <c r="AG467" i="25"/>
  <c r="AG466" i="25"/>
  <c r="AG465" i="25"/>
  <c r="AG464" i="25"/>
  <c r="AG463" i="25"/>
  <c r="AG462" i="25"/>
  <c r="AG461" i="25"/>
  <c r="AG460" i="25"/>
  <c r="AG459" i="25"/>
  <c r="AG458" i="25"/>
  <c r="AG457" i="25"/>
  <c r="AG456" i="25"/>
  <c r="AG455" i="25"/>
  <c r="AG454" i="25"/>
  <c r="AG453" i="25"/>
  <c r="AG452" i="25"/>
  <c r="AG451" i="25"/>
  <c r="AG450" i="25"/>
  <c r="AG449" i="25"/>
  <c r="AG448" i="25"/>
  <c r="AG447" i="25"/>
  <c r="AG446" i="25"/>
  <c r="AG445" i="25"/>
  <c r="AG444" i="25"/>
  <c r="AG443" i="25"/>
  <c r="AG442" i="25"/>
  <c r="AG441" i="25"/>
  <c r="AG440" i="25"/>
  <c r="AG439" i="25"/>
  <c r="AG438" i="25"/>
  <c r="AG437" i="25"/>
  <c r="AG436" i="25"/>
  <c r="AG435" i="25"/>
  <c r="AG434" i="25"/>
  <c r="AG433" i="25"/>
  <c r="AG432" i="25"/>
  <c r="AG431" i="25"/>
  <c r="AG430" i="25"/>
  <c r="AG429" i="25"/>
  <c r="AG428" i="25"/>
  <c r="AG427" i="25"/>
  <c r="AG426" i="25"/>
  <c r="AG425" i="25"/>
  <c r="AG424" i="25"/>
  <c r="AG423" i="25"/>
  <c r="AG422" i="25"/>
  <c r="AG421" i="25"/>
  <c r="AG420" i="25"/>
  <c r="AG419" i="25"/>
  <c r="AG418" i="25"/>
  <c r="AG417" i="25"/>
  <c r="AG416" i="25"/>
  <c r="AG415" i="25"/>
  <c r="AG414" i="25"/>
  <c r="AG413" i="25"/>
  <c r="AG412" i="25"/>
  <c r="AG411" i="25"/>
  <c r="AG410" i="25"/>
  <c r="AG409" i="25"/>
  <c r="AG408" i="25"/>
  <c r="AG407" i="25"/>
  <c r="AG406" i="25"/>
  <c r="AG405" i="25"/>
  <c r="AG404" i="25"/>
  <c r="AG403" i="25"/>
  <c r="AG402" i="25"/>
  <c r="AG401" i="25"/>
  <c r="AG400" i="25"/>
  <c r="AG399" i="25"/>
  <c r="AG398" i="25"/>
  <c r="AG397" i="25"/>
  <c r="AG396" i="25"/>
  <c r="AG395" i="25"/>
  <c r="AG394" i="25"/>
  <c r="AG393" i="25"/>
  <c r="AG392" i="25"/>
  <c r="AG391" i="25"/>
  <c r="AG390" i="25"/>
  <c r="AG389" i="25"/>
  <c r="AG388" i="25"/>
  <c r="AG387" i="25"/>
  <c r="AG386" i="25"/>
  <c r="AG385" i="25"/>
  <c r="AG384" i="25"/>
  <c r="AG383" i="25"/>
  <c r="AG382" i="25"/>
  <c r="AG381" i="25"/>
  <c r="AG380" i="25"/>
  <c r="AG379" i="25"/>
  <c r="AG378" i="25"/>
  <c r="AG377" i="25"/>
  <c r="AG376" i="25"/>
  <c r="AG375" i="25"/>
  <c r="AG374" i="25"/>
  <c r="AG373" i="25"/>
  <c r="AG372" i="25"/>
  <c r="AG371" i="25"/>
  <c r="AG370" i="25"/>
  <c r="AG369" i="25"/>
  <c r="AG368" i="25"/>
  <c r="AG367" i="25"/>
  <c r="AG366" i="25"/>
  <c r="AG365" i="25"/>
  <c r="AG364" i="25"/>
  <c r="AG363" i="25"/>
  <c r="AG362" i="25"/>
  <c r="AG361" i="25"/>
  <c r="AG360" i="25"/>
  <c r="AG359" i="25"/>
  <c r="AG358" i="25"/>
  <c r="AG357" i="25"/>
  <c r="AG356" i="25"/>
  <c r="AG355" i="25"/>
  <c r="AG354" i="25"/>
  <c r="AG353" i="25"/>
  <c r="AG352" i="25"/>
  <c r="AG351" i="25"/>
  <c r="AG350" i="25"/>
  <c r="AG349" i="25"/>
  <c r="AG348" i="25"/>
  <c r="AG347" i="25"/>
  <c r="AG346" i="25"/>
  <c r="AG345" i="25"/>
  <c r="AG344" i="25"/>
  <c r="AG343" i="25"/>
  <c r="AG342" i="25"/>
  <c r="AG341" i="25"/>
  <c r="AG340" i="25"/>
  <c r="AG339" i="25"/>
  <c r="AG338" i="25"/>
  <c r="AG337" i="25"/>
  <c r="AG336" i="25"/>
  <c r="AG335" i="25"/>
  <c r="AG334" i="25"/>
  <c r="AG333" i="25"/>
  <c r="AG332" i="25"/>
  <c r="AG331" i="25"/>
  <c r="AG330" i="25"/>
  <c r="AG329" i="25"/>
  <c r="AG328" i="25"/>
  <c r="AG327" i="25"/>
  <c r="AG326" i="25"/>
  <c r="AG325" i="25"/>
  <c r="AG324" i="25"/>
  <c r="AG323" i="25"/>
  <c r="AG322" i="25"/>
  <c r="AG321" i="25"/>
  <c r="AG320" i="25"/>
  <c r="AG319" i="25"/>
  <c r="AG318" i="25"/>
  <c r="AG317" i="25"/>
  <c r="AG316" i="25"/>
  <c r="AG315" i="25"/>
  <c r="AG314" i="25"/>
  <c r="AG313" i="25"/>
  <c r="AG312" i="25"/>
  <c r="AG311" i="25"/>
  <c r="AG310" i="25"/>
  <c r="AG309" i="25"/>
  <c r="AG308" i="25"/>
  <c r="AG307" i="25"/>
  <c r="AG306" i="25"/>
  <c r="AG305" i="25"/>
  <c r="AG304" i="25"/>
  <c r="AG303" i="25"/>
  <c r="AG302" i="25"/>
  <c r="AG301" i="25"/>
  <c r="AG300" i="25"/>
  <c r="AG299" i="25"/>
  <c r="AG298" i="25"/>
  <c r="AG297" i="25"/>
  <c r="AG296" i="25"/>
  <c r="AG295" i="25"/>
  <c r="AG294" i="25"/>
  <c r="AG293" i="25"/>
  <c r="AG292" i="25"/>
  <c r="AG291" i="25"/>
  <c r="AG290" i="25"/>
  <c r="AG289" i="25"/>
  <c r="AG288" i="25"/>
  <c r="AG287" i="25"/>
  <c r="AG286" i="25"/>
  <c r="AG285" i="25"/>
  <c r="AG284" i="25"/>
  <c r="AG283" i="25"/>
  <c r="AG282" i="25"/>
  <c r="AG281" i="25"/>
  <c r="AG280" i="25"/>
  <c r="AG279" i="25"/>
  <c r="AG278" i="25"/>
  <c r="AG277" i="25"/>
  <c r="AG276" i="25"/>
  <c r="AG275" i="25"/>
  <c r="AG274" i="25"/>
  <c r="AG273" i="25"/>
  <c r="AG272" i="25"/>
  <c r="AG271" i="25"/>
  <c r="AG270" i="25"/>
  <c r="AG269" i="25"/>
  <c r="AG268" i="25"/>
  <c r="AG267" i="25"/>
  <c r="AG266" i="25"/>
  <c r="AG265" i="25"/>
  <c r="AG264" i="25"/>
  <c r="AG263" i="25"/>
  <c r="AG262" i="25"/>
  <c r="AG261" i="25"/>
  <c r="AG260" i="25"/>
  <c r="AG259" i="25"/>
  <c r="AG258" i="25"/>
  <c r="AG257" i="25"/>
  <c r="AG256" i="25"/>
  <c r="AG255" i="25"/>
  <c r="AG254" i="25"/>
  <c r="AG253" i="25"/>
  <c r="AG252" i="25"/>
  <c r="AG251" i="25"/>
  <c r="AG250" i="25"/>
  <c r="AG249" i="25"/>
  <c r="AG248" i="25"/>
  <c r="AG247" i="25"/>
  <c r="AG246" i="25"/>
  <c r="AG245" i="25"/>
  <c r="AG244" i="25"/>
  <c r="AG243" i="25"/>
  <c r="AG242" i="25"/>
  <c r="AG241" i="25"/>
  <c r="AG240" i="25"/>
  <c r="AG239" i="25"/>
  <c r="AG238" i="25"/>
  <c r="AG237" i="25"/>
  <c r="AG236" i="25"/>
  <c r="AG235" i="25"/>
  <c r="AG234" i="25"/>
  <c r="AG233" i="25"/>
  <c r="AG232" i="25"/>
  <c r="AG231" i="25"/>
  <c r="AG230" i="25"/>
  <c r="AG229" i="25"/>
  <c r="AG228" i="25"/>
  <c r="AG227" i="25"/>
  <c r="AG226" i="25"/>
  <c r="AG225" i="25"/>
  <c r="AG224" i="25"/>
  <c r="AG223" i="25"/>
  <c r="AG222" i="25"/>
  <c r="AG221" i="25"/>
  <c r="AG220" i="25"/>
  <c r="AG219" i="25"/>
  <c r="AG218" i="25"/>
  <c r="AG217" i="25"/>
  <c r="AG216" i="25"/>
  <c r="AG215" i="25"/>
  <c r="AG214" i="25"/>
  <c r="AG213" i="25"/>
  <c r="AG212" i="25"/>
  <c r="AG211" i="25"/>
  <c r="AG210" i="25"/>
  <c r="AG209" i="25"/>
  <c r="AG208" i="25"/>
  <c r="AG207" i="25"/>
  <c r="AG206" i="25"/>
  <c r="AG205" i="25"/>
  <c r="AG204" i="25"/>
  <c r="AG203" i="25"/>
  <c r="AG202" i="25"/>
  <c r="AG201" i="25"/>
  <c r="AG200" i="25"/>
  <c r="AG199" i="25"/>
  <c r="AG198" i="25"/>
  <c r="AG197" i="25"/>
  <c r="AG196" i="25"/>
  <c r="AG195" i="25"/>
  <c r="AG194" i="25"/>
  <c r="AG193" i="25"/>
  <c r="AG192" i="25"/>
  <c r="AG191" i="25"/>
  <c r="AG190" i="25"/>
  <c r="AG189" i="25"/>
  <c r="AG188" i="25"/>
  <c r="AG187" i="25"/>
  <c r="AG186" i="25"/>
  <c r="AG185" i="25"/>
  <c r="AG184" i="25"/>
  <c r="AG183" i="25"/>
  <c r="AG182" i="25"/>
  <c r="AG181" i="25"/>
  <c r="AG180" i="25"/>
  <c r="AG179" i="25"/>
  <c r="AG178" i="25"/>
  <c r="AG177" i="25"/>
  <c r="AG176" i="25"/>
  <c r="AG175" i="25"/>
  <c r="AG174" i="25"/>
  <c r="AG173" i="25"/>
  <c r="AG172" i="25"/>
  <c r="AG171" i="25"/>
  <c r="AG170" i="25"/>
  <c r="AG169" i="25"/>
  <c r="AG168" i="25"/>
  <c r="AG167" i="25"/>
  <c r="AG166" i="25"/>
  <c r="AG165" i="25"/>
  <c r="AG164" i="25"/>
  <c r="AG163" i="25"/>
  <c r="AG162" i="25"/>
  <c r="AG161" i="25"/>
  <c r="AG160" i="25"/>
  <c r="AG159" i="25"/>
  <c r="AG158" i="25"/>
  <c r="AG157" i="25"/>
  <c r="AG156" i="25"/>
  <c r="AG155" i="25"/>
  <c r="AG154" i="25"/>
  <c r="AG153" i="25"/>
  <c r="AG152" i="25"/>
  <c r="AG151" i="25"/>
  <c r="AG150" i="25"/>
  <c r="AG149" i="25"/>
  <c r="AG148" i="25"/>
  <c r="AG147" i="25"/>
  <c r="AG146" i="25"/>
  <c r="AG145" i="25"/>
  <c r="AG144" i="25"/>
  <c r="AG143" i="25"/>
  <c r="AG142" i="25"/>
  <c r="AG141" i="25"/>
  <c r="AG140" i="25"/>
  <c r="AG139" i="25"/>
  <c r="AG138" i="25"/>
  <c r="AG137" i="25"/>
  <c r="AG136" i="25"/>
  <c r="AG135" i="25"/>
  <c r="AG134" i="25"/>
  <c r="AG133" i="25"/>
  <c r="AG132" i="25"/>
  <c r="AG131" i="25"/>
  <c r="AG130" i="25"/>
  <c r="AG129" i="25"/>
  <c r="AG128" i="25"/>
  <c r="AG127" i="25"/>
  <c r="AG126" i="25"/>
  <c r="AG125" i="25"/>
  <c r="AG124" i="25"/>
  <c r="AG123" i="25"/>
  <c r="AG122" i="25"/>
  <c r="AG121" i="25"/>
  <c r="AG120" i="25"/>
  <c r="AG119" i="25"/>
  <c r="AG118" i="25"/>
  <c r="AG117" i="25"/>
  <c r="AG116" i="25"/>
  <c r="AG115" i="25"/>
  <c r="AG114" i="25"/>
  <c r="AG113" i="25"/>
  <c r="AG112" i="25"/>
  <c r="AG111" i="25"/>
  <c r="AG110" i="25"/>
  <c r="AG109" i="25"/>
  <c r="AG108" i="25"/>
  <c r="AG107" i="25"/>
  <c r="AG106" i="25"/>
  <c r="AG105" i="25"/>
  <c r="AG104" i="25"/>
  <c r="AG103" i="25"/>
  <c r="AG102" i="25"/>
  <c r="AG101" i="25"/>
  <c r="AG100" i="25"/>
  <c r="AG99" i="25"/>
  <c r="AG98" i="25"/>
  <c r="AG97" i="25"/>
  <c r="AG96" i="25"/>
  <c r="AG95" i="25"/>
  <c r="AG94" i="25"/>
  <c r="AG93" i="25"/>
  <c r="AG92" i="25"/>
  <c r="AG91" i="25"/>
  <c r="AG90" i="25"/>
  <c r="AG89" i="25"/>
  <c r="AG88" i="25"/>
  <c r="AG87" i="25"/>
  <c r="AG86" i="25"/>
  <c r="AG85" i="25"/>
  <c r="AG84" i="25"/>
  <c r="AG83" i="25"/>
  <c r="AG82" i="25"/>
  <c r="AG81" i="25"/>
  <c r="AG80" i="25"/>
  <c r="AG79" i="25"/>
  <c r="AG78" i="25"/>
  <c r="AG77" i="25"/>
  <c r="AG76" i="25"/>
  <c r="AG75" i="25"/>
  <c r="AG74" i="25"/>
  <c r="AG73" i="25"/>
  <c r="AG72" i="25"/>
  <c r="AG71" i="25"/>
  <c r="AG70" i="25"/>
  <c r="AG69" i="25"/>
  <c r="AG68" i="25"/>
  <c r="AG67" i="25"/>
  <c r="AG66" i="25"/>
  <c r="AG65" i="25"/>
  <c r="AG64" i="25"/>
  <c r="AG63" i="25"/>
  <c r="AG62" i="25"/>
  <c r="AG61" i="25"/>
  <c r="AG60" i="25"/>
  <c r="AG59" i="25"/>
  <c r="AG58" i="25"/>
  <c r="AG57" i="25"/>
  <c r="AG56" i="25"/>
  <c r="AG55" i="25"/>
  <c r="AG54" i="25"/>
  <c r="AG53" i="25"/>
  <c r="AG52" i="25"/>
  <c r="AG51" i="25"/>
  <c r="AG50" i="25"/>
  <c r="AG49" i="25"/>
  <c r="AG48" i="25"/>
  <c r="AG47" i="25"/>
  <c r="AG46" i="25"/>
  <c r="AG45" i="25"/>
  <c r="AG44" i="25"/>
  <c r="AG43" i="25"/>
  <c r="AG42" i="25"/>
  <c r="AG41" i="25"/>
  <c r="AG40" i="25"/>
  <c r="AG39" i="25"/>
  <c r="AG38" i="25"/>
  <c r="AG37" i="25"/>
  <c r="AG36" i="25"/>
  <c r="AG35" i="25"/>
  <c r="AG34" i="25"/>
  <c r="AG33" i="25"/>
  <c r="AG32" i="25"/>
  <c r="AG31" i="25"/>
  <c r="AG30" i="25"/>
  <c r="AG29" i="25"/>
  <c r="AG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A476" i="25"/>
  <c r="AA475" i="25"/>
  <c r="AA474" i="25"/>
  <c r="AA473" i="25"/>
  <c r="AA472" i="25"/>
  <c r="AA471" i="25"/>
  <c r="AA470" i="25"/>
  <c r="AA469" i="25"/>
  <c r="AA468" i="25"/>
  <c r="AA467" i="25"/>
  <c r="AA466" i="25"/>
  <c r="AA465" i="25"/>
  <c r="AA464" i="25"/>
  <c r="AA463" i="25"/>
  <c r="AA462" i="25"/>
  <c r="AA461" i="25"/>
  <c r="AA460" i="25"/>
  <c r="AA459" i="25"/>
  <c r="AA458" i="25"/>
  <c r="AA457" i="25"/>
  <c r="AA456" i="25"/>
  <c r="AA455" i="25"/>
  <c r="AA454" i="25"/>
  <c r="AA453" i="25"/>
  <c r="AA452" i="25"/>
  <c r="AA451" i="25"/>
  <c r="AA450" i="25"/>
  <c r="AA449" i="25"/>
  <c r="AA448" i="25"/>
  <c r="AA447" i="25"/>
  <c r="AA446" i="25"/>
  <c r="AA445" i="25"/>
  <c r="AA444" i="25"/>
  <c r="AA443" i="25"/>
  <c r="AA442" i="25"/>
  <c r="AA441" i="25"/>
  <c r="AA440" i="25"/>
  <c r="AA439" i="25"/>
  <c r="AA438" i="25"/>
  <c r="AA437" i="25"/>
  <c r="AA436" i="25"/>
  <c r="AA435" i="25"/>
  <c r="AA434" i="25"/>
  <c r="AA433" i="25"/>
  <c r="AA432" i="25"/>
  <c r="AA431" i="25"/>
  <c r="AA430" i="25"/>
  <c r="AA429" i="25"/>
  <c r="AA428" i="25"/>
  <c r="AA427" i="25"/>
  <c r="AA426" i="25"/>
  <c r="AA425" i="25"/>
  <c r="AA424" i="25"/>
  <c r="AA423" i="25"/>
  <c r="AA422" i="25"/>
  <c r="AA421" i="25"/>
  <c r="AA420" i="25"/>
  <c r="AA419" i="25"/>
  <c r="AA418" i="25"/>
  <c r="AA417" i="25"/>
  <c r="AA416" i="25"/>
  <c r="AA415" i="25"/>
  <c r="AA414" i="25"/>
  <c r="AA413" i="25"/>
  <c r="AA412" i="25"/>
  <c r="AA411" i="25"/>
  <c r="AA410" i="25"/>
  <c r="AA409" i="25"/>
  <c r="AA408" i="25"/>
  <c r="AA407" i="25"/>
  <c r="AA406" i="25"/>
  <c r="AA405" i="25"/>
  <c r="AA404" i="25"/>
  <c r="AA403" i="25"/>
  <c r="AA402" i="25"/>
  <c r="AA401" i="25"/>
  <c r="AA400" i="25"/>
  <c r="AA399" i="25"/>
  <c r="AA398" i="25"/>
  <c r="AA397" i="25"/>
  <c r="AA396" i="25"/>
  <c r="AA395" i="25"/>
  <c r="AA394" i="25"/>
  <c r="AA393" i="25"/>
  <c r="AA392" i="25"/>
  <c r="AA391" i="25"/>
  <c r="AA390" i="25"/>
  <c r="AA389" i="25"/>
  <c r="AA388" i="25"/>
  <c r="AA387" i="25"/>
  <c r="AA386" i="25"/>
  <c r="AA385" i="25"/>
  <c r="AA384" i="25"/>
  <c r="AA383" i="25"/>
  <c r="AA382" i="25"/>
  <c r="AA381" i="25"/>
  <c r="AA380" i="25"/>
  <c r="AA379" i="25"/>
  <c r="AA378" i="25"/>
  <c r="AA377" i="25"/>
  <c r="AA376" i="25"/>
  <c r="AA375" i="25"/>
  <c r="AA374" i="25"/>
  <c r="AA373" i="25"/>
  <c r="AA372" i="25"/>
  <c r="AA371" i="25"/>
  <c r="AA370" i="25"/>
  <c r="AA369" i="25"/>
  <c r="AA368" i="25"/>
  <c r="AA367" i="25"/>
  <c r="AA366" i="25"/>
  <c r="AA365" i="25"/>
  <c r="AA364" i="25"/>
  <c r="AA363" i="25"/>
  <c r="AA362" i="25"/>
  <c r="AA361" i="25"/>
  <c r="AA360" i="25"/>
  <c r="AA359" i="25"/>
  <c r="AA358" i="25"/>
  <c r="AA357" i="25"/>
  <c r="AA356" i="25"/>
  <c r="AA355" i="25"/>
  <c r="AA354" i="25"/>
  <c r="AA353" i="25"/>
  <c r="AA352" i="25"/>
  <c r="AA351" i="25"/>
  <c r="AA350" i="25"/>
  <c r="AA349" i="25"/>
  <c r="AA348" i="25"/>
  <c r="AA347" i="25"/>
  <c r="AA346" i="25"/>
  <c r="AA345" i="25"/>
  <c r="AA344" i="25"/>
  <c r="AA343" i="25"/>
  <c r="AA342" i="25"/>
  <c r="AA341" i="25"/>
  <c r="AA340" i="25"/>
  <c r="AA339" i="25"/>
  <c r="AA338" i="25"/>
  <c r="AA337" i="25"/>
  <c r="AA336" i="25"/>
  <c r="AA335" i="25"/>
  <c r="AA334" i="25"/>
  <c r="AA333" i="25"/>
  <c r="AA332" i="25"/>
  <c r="AA331" i="25"/>
  <c r="AA330" i="25"/>
  <c r="AA329" i="25"/>
  <c r="AA328" i="25"/>
  <c r="AA327" i="25"/>
  <c r="AA326" i="25"/>
  <c r="AA325" i="25"/>
  <c r="AA324" i="25"/>
  <c r="AA323" i="25"/>
  <c r="AA322" i="25"/>
  <c r="AA321" i="25"/>
  <c r="AA320" i="25"/>
  <c r="AA319" i="25"/>
  <c r="AA318" i="25"/>
  <c r="AA317" i="25"/>
  <c r="AA316" i="25"/>
  <c r="AA315" i="25"/>
  <c r="AA314" i="25"/>
  <c r="AA313" i="25"/>
  <c r="AA312" i="25"/>
  <c r="AA311" i="25"/>
  <c r="AA310" i="25"/>
  <c r="AA309" i="25"/>
  <c r="AA308" i="25"/>
  <c r="AA307" i="25"/>
  <c r="AA306" i="25"/>
  <c r="AA305" i="25"/>
  <c r="AA304" i="25"/>
  <c r="AA303" i="25"/>
  <c r="AA302" i="25"/>
  <c r="AA301" i="25"/>
  <c r="AA300" i="25"/>
  <c r="AA299" i="25"/>
  <c r="AA298" i="25"/>
  <c r="AA297" i="25"/>
  <c r="AA296" i="25"/>
  <c r="AA295" i="25"/>
  <c r="AA294" i="25"/>
  <c r="AA293" i="25"/>
  <c r="AA292" i="25"/>
  <c r="AA291" i="25"/>
  <c r="AA290" i="25"/>
  <c r="AA289" i="25"/>
  <c r="AA288" i="25"/>
  <c r="AA287" i="25"/>
  <c r="AA286" i="25"/>
  <c r="AA285" i="25"/>
  <c r="AA284" i="25"/>
  <c r="AA283" i="25"/>
  <c r="AA282" i="25"/>
  <c r="AA281" i="25"/>
  <c r="AA280" i="25"/>
  <c r="AA279" i="25"/>
  <c r="AA278" i="25"/>
  <c r="AA277" i="25"/>
  <c r="AA276" i="25"/>
  <c r="AA275" i="25"/>
  <c r="AA274" i="25"/>
  <c r="AA273" i="25"/>
  <c r="AA272" i="25"/>
  <c r="AA271" i="25"/>
  <c r="AA270" i="25"/>
  <c r="AA269" i="25"/>
  <c r="AA268" i="25"/>
  <c r="AA267" i="25"/>
  <c r="AA266" i="25"/>
  <c r="AA265" i="25"/>
  <c r="AA264" i="25"/>
  <c r="AA263" i="25"/>
  <c r="AA262" i="25"/>
  <c r="AA261" i="25"/>
  <c r="AA260" i="25"/>
  <c r="AA259" i="25"/>
  <c r="AA258" i="25"/>
  <c r="AA257" i="25"/>
  <c r="AA256" i="25"/>
  <c r="AA255" i="25"/>
  <c r="AA254" i="25"/>
  <c r="AA253" i="25"/>
  <c r="AA252" i="25"/>
  <c r="AA251" i="25"/>
  <c r="AA250" i="25"/>
  <c r="AA249" i="25"/>
  <c r="AA248" i="25"/>
  <c r="AA247" i="25"/>
  <c r="AA246" i="25"/>
  <c r="AA245" i="25"/>
  <c r="AA244" i="25"/>
  <c r="AA243" i="25"/>
  <c r="AA242" i="25"/>
  <c r="AA241" i="25"/>
  <c r="AA240" i="25"/>
  <c r="AA239" i="25"/>
  <c r="AA238" i="25"/>
  <c r="AA237" i="25"/>
  <c r="AA236" i="25"/>
  <c r="AA235" i="25"/>
  <c r="AA234" i="25"/>
  <c r="AA233" i="25"/>
  <c r="AA232" i="25"/>
  <c r="AA231" i="25"/>
  <c r="AA230" i="25"/>
  <c r="AA229" i="25"/>
  <c r="AA228" i="25"/>
  <c r="AA227" i="25"/>
  <c r="AA226" i="25"/>
  <c r="AA225" i="25"/>
  <c r="AA224" i="25"/>
  <c r="AA223" i="25"/>
  <c r="AA222" i="25"/>
  <c r="AA221" i="25"/>
  <c r="AA220" i="25"/>
  <c r="AA219" i="25"/>
  <c r="AA218" i="25"/>
  <c r="AA217" i="25"/>
  <c r="AA216" i="25"/>
  <c r="AA215" i="25"/>
  <c r="AA214" i="25"/>
  <c r="AA213" i="25"/>
  <c r="AA212" i="25"/>
  <c r="AA211" i="25"/>
  <c r="AA210" i="25"/>
  <c r="AA209" i="25"/>
  <c r="AA208" i="25"/>
  <c r="AA207" i="25"/>
  <c r="AA206" i="25"/>
  <c r="AA205" i="25"/>
  <c r="AA204" i="25"/>
  <c r="AA203" i="25"/>
  <c r="AA202" i="25"/>
  <c r="AA201" i="25"/>
  <c r="AA200" i="25"/>
  <c r="AA199" i="25"/>
  <c r="AA198" i="25"/>
  <c r="AA197" i="25"/>
  <c r="AA196" i="25"/>
  <c r="AA195" i="25"/>
  <c r="AA194" i="25"/>
  <c r="AA193" i="25"/>
  <c r="AA192" i="25"/>
  <c r="AA191" i="25"/>
  <c r="AA190" i="25"/>
  <c r="AA189" i="25"/>
  <c r="AA188" i="25"/>
  <c r="AA187" i="25"/>
  <c r="AA186" i="25"/>
  <c r="AA185" i="25"/>
  <c r="AA184" i="25"/>
  <c r="AA183" i="25"/>
  <c r="AA182" i="25"/>
  <c r="AA181" i="25"/>
  <c r="AA180" i="25"/>
  <c r="AA179" i="25"/>
  <c r="AA178" i="25"/>
  <c r="AA177" i="25"/>
  <c r="AA176" i="25"/>
  <c r="AA175" i="25"/>
  <c r="AA174" i="25"/>
  <c r="AA173" i="25"/>
  <c r="AA172" i="25"/>
  <c r="AA171" i="25"/>
  <c r="AA170" i="25"/>
  <c r="AA169" i="25"/>
  <c r="AA168" i="25"/>
  <c r="AA167" i="25"/>
  <c r="AA166" i="25"/>
  <c r="AA165" i="25"/>
  <c r="AA164" i="25"/>
  <c r="AA163" i="25"/>
  <c r="AA162" i="25"/>
  <c r="AA161" i="25"/>
  <c r="AA160" i="25"/>
  <c r="AA159" i="25"/>
  <c r="AA158" i="25"/>
  <c r="AA157" i="25"/>
  <c r="AA156" i="25"/>
  <c r="AA155" i="25"/>
  <c r="AA154" i="25"/>
  <c r="AA153" i="25"/>
  <c r="AA152" i="25"/>
  <c r="AA151" i="25"/>
  <c r="AA150" i="25"/>
  <c r="AA149" i="25"/>
  <c r="AA148" i="25"/>
  <c r="AA147" i="25"/>
  <c r="AA146" i="25"/>
  <c r="AA145" i="25"/>
  <c r="AA144" i="25"/>
  <c r="AA143" i="25"/>
  <c r="AA142" i="25"/>
  <c r="AA141" i="25"/>
  <c r="AA140" i="25"/>
  <c r="AA139" i="25"/>
  <c r="AA138" i="25"/>
  <c r="AA137" i="25"/>
  <c r="AA136" i="25"/>
  <c r="AA135" i="25"/>
  <c r="AA134" i="25"/>
  <c r="AA133" i="25"/>
  <c r="AA132" i="25"/>
  <c r="AA131" i="25"/>
  <c r="AA130" i="25"/>
  <c r="AA129" i="25"/>
  <c r="AA128" i="25"/>
  <c r="AA127" i="25"/>
  <c r="AA126" i="25"/>
  <c r="AA125" i="25"/>
  <c r="AA124" i="25"/>
  <c r="AA123" i="25"/>
  <c r="AA122" i="25"/>
  <c r="AA121" i="25"/>
  <c r="AA120" i="25"/>
  <c r="AA119" i="25"/>
  <c r="AA118" i="25"/>
  <c r="AA117" i="25"/>
  <c r="AA116" i="25"/>
  <c r="AA115" i="25"/>
  <c r="AA114" i="25"/>
  <c r="AA113" i="25"/>
  <c r="AA112" i="25"/>
  <c r="AA111" i="25"/>
  <c r="AA110" i="25"/>
  <c r="AA109" i="25"/>
  <c r="AA108" i="25"/>
  <c r="AA107" i="25"/>
  <c r="AA106" i="25"/>
  <c r="AA105" i="25"/>
  <c r="AA104" i="25"/>
  <c r="AA103" i="25"/>
  <c r="AA102" i="25"/>
  <c r="AA101" i="25"/>
  <c r="AA100" i="25"/>
  <c r="AA99" i="25"/>
  <c r="AA98" i="25"/>
  <c r="AA97" i="25"/>
  <c r="AA96" i="25"/>
  <c r="AA95" i="25"/>
  <c r="AA94" i="25"/>
  <c r="AA93" i="25"/>
  <c r="AA92" i="25"/>
  <c r="AA91" i="25"/>
  <c r="AA90" i="25"/>
  <c r="AA89" i="25"/>
  <c r="AA88" i="25"/>
  <c r="AA87" i="25"/>
  <c r="AA86" i="25"/>
  <c r="AA85" i="25"/>
  <c r="AA84" i="25"/>
  <c r="AA83" i="25"/>
  <c r="AA82" i="25"/>
  <c r="AA81" i="25"/>
  <c r="AA80" i="25"/>
  <c r="AA79" i="25"/>
  <c r="AA78" i="25"/>
  <c r="AA77" i="25"/>
  <c r="AA76" i="25"/>
  <c r="AA75" i="25"/>
  <c r="AA74" i="25"/>
  <c r="AA73" i="25"/>
  <c r="AA72" i="25"/>
  <c r="AA71" i="25"/>
  <c r="AA70" i="25"/>
  <c r="AA69" i="25"/>
  <c r="AA68" i="25"/>
  <c r="AA67" i="25"/>
  <c r="AA66" i="25"/>
  <c r="AA65" i="25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AA5" i="25"/>
  <c r="U476" i="25"/>
  <c r="U475" i="25"/>
  <c r="U474" i="25"/>
  <c r="U473" i="25"/>
  <c r="U472" i="25"/>
  <c r="U471" i="25"/>
  <c r="U470" i="25"/>
  <c r="U469" i="25"/>
  <c r="U468" i="25"/>
  <c r="U467" i="25"/>
  <c r="U466" i="25"/>
  <c r="U465" i="25"/>
  <c r="U464" i="25"/>
  <c r="U463" i="25"/>
  <c r="U462" i="25"/>
  <c r="U461" i="25"/>
  <c r="U460" i="25"/>
  <c r="U459" i="25"/>
  <c r="U458" i="25"/>
  <c r="U457" i="25"/>
  <c r="U456" i="25"/>
  <c r="U455" i="25"/>
  <c r="U454" i="25"/>
  <c r="U453" i="25"/>
  <c r="U452" i="25"/>
  <c r="U451" i="25"/>
  <c r="U450" i="25"/>
  <c r="U449" i="25"/>
  <c r="U448" i="25"/>
  <c r="U447" i="25"/>
  <c r="U446" i="25"/>
  <c r="U445" i="25"/>
  <c r="U444" i="25"/>
  <c r="U443" i="25"/>
  <c r="U442" i="25"/>
  <c r="U441" i="25"/>
  <c r="U440" i="25"/>
  <c r="U439" i="25"/>
  <c r="U438" i="25"/>
  <c r="U437" i="25"/>
  <c r="U436" i="25"/>
  <c r="U435" i="25"/>
  <c r="U434" i="25"/>
  <c r="U433" i="25"/>
  <c r="U432" i="25"/>
  <c r="U431" i="25"/>
  <c r="U430" i="25"/>
  <c r="U429" i="25"/>
  <c r="U428" i="25"/>
  <c r="U427" i="25"/>
  <c r="U426" i="25"/>
  <c r="U425" i="25"/>
  <c r="U424" i="25"/>
  <c r="U423" i="25"/>
  <c r="U422" i="25"/>
  <c r="U421" i="25"/>
  <c r="U420" i="25"/>
  <c r="U419" i="25"/>
  <c r="U418" i="25"/>
  <c r="U417" i="25"/>
  <c r="U416" i="25"/>
  <c r="U415" i="25"/>
  <c r="U414" i="25"/>
  <c r="U413" i="25"/>
  <c r="U412" i="25"/>
  <c r="U411" i="25"/>
  <c r="U410" i="25"/>
  <c r="U409" i="25"/>
  <c r="U408" i="25"/>
  <c r="U407" i="25"/>
  <c r="U406" i="25"/>
  <c r="U405" i="25"/>
  <c r="U404" i="25"/>
  <c r="U403" i="25"/>
  <c r="U402" i="25"/>
  <c r="U401" i="25"/>
  <c r="U400" i="25"/>
  <c r="U399" i="25"/>
  <c r="U398" i="25"/>
  <c r="U397" i="25"/>
  <c r="U396" i="25"/>
  <c r="U395" i="25"/>
  <c r="U394" i="25"/>
  <c r="U393" i="25"/>
  <c r="U392" i="25"/>
  <c r="U391" i="25"/>
  <c r="U390" i="25"/>
  <c r="U389" i="25"/>
  <c r="U388" i="25"/>
  <c r="U387" i="25"/>
  <c r="U386" i="25"/>
  <c r="U385" i="25"/>
  <c r="U384" i="25"/>
  <c r="U383" i="25"/>
  <c r="U382" i="25"/>
  <c r="U381" i="25"/>
  <c r="U380" i="25"/>
  <c r="U379" i="25"/>
  <c r="U378" i="25"/>
  <c r="U377" i="25"/>
  <c r="U376" i="25"/>
  <c r="U375" i="25"/>
  <c r="U374" i="25"/>
  <c r="U373" i="25"/>
  <c r="U372" i="25"/>
  <c r="U371" i="25"/>
  <c r="U370" i="25"/>
  <c r="U369" i="25"/>
  <c r="U368" i="25"/>
  <c r="U367" i="25"/>
  <c r="U366" i="25"/>
  <c r="U365" i="25"/>
  <c r="U364" i="25"/>
  <c r="U363" i="25"/>
  <c r="U362" i="25"/>
  <c r="U361" i="25"/>
  <c r="U360" i="25"/>
  <c r="U359" i="25"/>
  <c r="U358" i="25"/>
  <c r="U357" i="25"/>
  <c r="U356" i="25"/>
  <c r="U355" i="25"/>
  <c r="U354" i="25"/>
  <c r="U353" i="25"/>
  <c r="U352" i="25"/>
  <c r="U351" i="25"/>
  <c r="U350" i="25"/>
  <c r="U349" i="25"/>
  <c r="U348" i="25"/>
  <c r="U347" i="25"/>
  <c r="U346" i="25"/>
  <c r="U345" i="25"/>
  <c r="U344" i="25"/>
  <c r="U343" i="25"/>
  <c r="U342" i="25"/>
  <c r="U341" i="25"/>
  <c r="U340" i="25"/>
  <c r="U339" i="25"/>
  <c r="U338" i="25"/>
  <c r="U337" i="25"/>
  <c r="U336" i="25"/>
  <c r="U335" i="25"/>
  <c r="U334" i="25"/>
  <c r="U333" i="25"/>
  <c r="U332" i="25"/>
  <c r="U331" i="25"/>
  <c r="U330" i="25"/>
  <c r="U329" i="25"/>
  <c r="U328" i="25"/>
  <c r="U327" i="25"/>
  <c r="U326" i="25"/>
  <c r="U325" i="25"/>
  <c r="U324" i="25"/>
  <c r="U323" i="25"/>
  <c r="U322" i="25"/>
  <c r="U321" i="25"/>
  <c r="U320" i="25"/>
  <c r="U319" i="25"/>
  <c r="U318" i="25"/>
  <c r="U317" i="25"/>
  <c r="U316" i="25"/>
  <c r="U315" i="25"/>
  <c r="U314" i="25"/>
  <c r="U313" i="25"/>
  <c r="U312" i="25"/>
  <c r="U311" i="25"/>
  <c r="U310" i="25"/>
  <c r="U309" i="25"/>
  <c r="U308" i="25"/>
  <c r="U307" i="25"/>
  <c r="U306" i="25"/>
  <c r="U305" i="25"/>
  <c r="U304" i="25"/>
  <c r="U303" i="25"/>
  <c r="U302" i="25"/>
  <c r="U301" i="25"/>
  <c r="U300" i="25"/>
  <c r="U299" i="25"/>
  <c r="U298" i="25"/>
  <c r="U297" i="25"/>
  <c r="U296" i="25"/>
  <c r="U295" i="25"/>
  <c r="U294" i="25"/>
  <c r="U293" i="25"/>
  <c r="U292" i="25"/>
  <c r="U291" i="25"/>
  <c r="U290" i="25"/>
  <c r="U289" i="25"/>
  <c r="U288" i="25"/>
  <c r="U287" i="25"/>
  <c r="U286" i="25"/>
  <c r="U285" i="25"/>
  <c r="U284" i="25"/>
  <c r="U283" i="25"/>
  <c r="U282" i="25"/>
  <c r="U281" i="25"/>
  <c r="U280" i="25"/>
  <c r="U279" i="25"/>
  <c r="U278" i="25"/>
  <c r="U277" i="25"/>
  <c r="U276" i="25"/>
  <c r="U275" i="25"/>
  <c r="U274" i="25"/>
  <c r="U273" i="25"/>
  <c r="U272" i="25"/>
  <c r="U271" i="25"/>
  <c r="U270" i="25"/>
  <c r="U269" i="25"/>
  <c r="U268" i="25"/>
  <c r="U267" i="25"/>
  <c r="U266" i="25"/>
  <c r="U265" i="25"/>
  <c r="U264" i="25"/>
  <c r="U263" i="25"/>
  <c r="U262" i="25"/>
  <c r="U261" i="25"/>
  <c r="U260" i="25"/>
  <c r="U259" i="25"/>
  <c r="U258" i="25"/>
  <c r="U257" i="25"/>
  <c r="U256" i="25"/>
  <c r="U255" i="25"/>
  <c r="U254" i="25"/>
  <c r="U253" i="25"/>
  <c r="U252" i="25"/>
  <c r="U251" i="25"/>
  <c r="U250" i="25"/>
  <c r="U249" i="25"/>
  <c r="U248" i="25"/>
  <c r="U247" i="25"/>
  <c r="U246" i="25"/>
  <c r="U245" i="25"/>
  <c r="U244" i="25"/>
  <c r="U243" i="25"/>
  <c r="U242" i="25"/>
  <c r="U241" i="25"/>
  <c r="U240" i="25"/>
  <c r="U239" i="25"/>
  <c r="U238" i="25"/>
  <c r="U237" i="25"/>
  <c r="U236" i="25"/>
  <c r="U235" i="25"/>
  <c r="U234" i="25"/>
  <c r="U233" i="25"/>
  <c r="U232" i="25"/>
  <c r="U231" i="25"/>
  <c r="U230" i="25"/>
  <c r="U229" i="25"/>
  <c r="U228" i="25"/>
  <c r="U227" i="25"/>
  <c r="U226" i="25"/>
  <c r="U225" i="25"/>
  <c r="U224" i="25"/>
  <c r="U223" i="25"/>
  <c r="U222" i="25"/>
  <c r="U221" i="25"/>
  <c r="U220" i="25"/>
  <c r="U219" i="25"/>
  <c r="U218" i="25"/>
  <c r="U217" i="25"/>
  <c r="U216" i="25"/>
  <c r="U215" i="25"/>
  <c r="U214" i="25"/>
  <c r="U213" i="25"/>
  <c r="U212" i="25"/>
  <c r="U211" i="25"/>
  <c r="U210" i="25"/>
  <c r="U209" i="25"/>
  <c r="U208" i="25"/>
  <c r="U207" i="25"/>
  <c r="U206" i="25"/>
  <c r="U205" i="25"/>
  <c r="U204" i="25"/>
  <c r="U203" i="25"/>
  <c r="U202" i="25"/>
  <c r="U201" i="25"/>
  <c r="U200" i="25"/>
  <c r="U199" i="25"/>
  <c r="U198" i="25"/>
  <c r="U197" i="25"/>
  <c r="U196" i="25"/>
  <c r="U195" i="25"/>
  <c r="U194" i="25"/>
  <c r="U193" i="25"/>
  <c r="U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U173" i="25"/>
  <c r="U172" i="25"/>
  <c r="U171" i="25"/>
  <c r="U170" i="25"/>
  <c r="U169" i="25"/>
  <c r="U168" i="25"/>
  <c r="U167" i="25"/>
  <c r="U166" i="25"/>
  <c r="U165" i="25"/>
  <c r="U164" i="25"/>
  <c r="U163" i="25"/>
  <c r="U162" i="25"/>
  <c r="U161" i="25"/>
  <c r="U160" i="25"/>
  <c r="U159" i="25"/>
  <c r="U158" i="25"/>
  <c r="U157" i="25"/>
  <c r="U156" i="25"/>
  <c r="U155" i="25"/>
  <c r="U154" i="25"/>
  <c r="U153" i="25"/>
  <c r="U152" i="25"/>
  <c r="U151" i="25"/>
  <c r="U150" i="25"/>
  <c r="U149" i="25"/>
  <c r="U148" i="25"/>
  <c r="U147" i="25"/>
  <c r="U146" i="25"/>
  <c r="U145" i="25"/>
  <c r="U144" i="25"/>
  <c r="U143" i="25"/>
  <c r="U142" i="25"/>
  <c r="U141" i="25"/>
  <c r="U140" i="25"/>
  <c r="U139" i="25"/>
  <c r="U138" i="25"/>
  <c r="U137" i="25"/>
  <c r="U136" i="25"/>
  <c r="U135" i="25"/>
  <c r="U134" i="25"/>
  <c r="U133" i="25"/>
  <c r="U132" i="25"/>
  <c r="U131" i="25"/>
  <c r="U130" i="25"/>
  <c r="U129" i="25"/>
  <c r="U128" i="25"/>
  <c r="U127" i="25"/>
  <c r="U126" i="25"/>
  <c r="U125" i="25"/>
  <c r="U124" i="25"/>
  <c r="U123" i="25"/>
  <c r="U122" i="25"/>
  <c r="U121" i="25"/>
  <c r="U120" i="25"/>
  <c r="U119" i="25"/>
  <c r="U118" i="25"/>
  <c r="U117" i="25"/>
  <c r="U116" i="25"/>
  <c r="U115" i="25"/>
  <c r="U114" i="25"/>
  <c r="U113" i="25"/>
  <c r="U112" i="25"/>
  <c r="U111" i="25"/>
  <c r="U110" i="25"/>
  <c r="U109" i="25"/>
  <c r="U108" i="25"/>
  <c r="U107" i="25"/>
  <c r="U106" i="25"/>
  <c r="U105" i="25"/>
  <c r="U104" i="25"/>
  <c r="U103" i="25"/>
  <c r="U102" i="25"/>
  <c r="U101" i="25"/>
  <c r="U100" i="25"/>
  <c r="U99" i="25"/>
  <c r="U98" i="25"/>
  <c r="U97" i="25"/>
  <c r="U96" i="25"/>
  <c r="U95" i="25"/>
  <c r="U94" i="25"/>
  <c r="U93" i="25"/>
  <c r="U92" i="25"/>
  <c r="U91" i="25"/>
  <c r="U90" i="25"/>
  <c r="U89" i="25"/>
  <c r="U88" i="25"/>
  <c r="U87" i="25"/>
  <c r="U86" i="25"/>
  <c r="U85" i="25"/>
  <c r="U84" i="25"/>
  <c r="U83" i="25"/>
  <c r="U82" i="25"/>
  <c r="U81" i="25"/>
  <c r="U80" i="25"/>
  <c r="U79" i="25"/>
  <c r="U78" i="25"/>
  <c r="U77" i="25"/>
  <c r="U76" i="25"/>
  <c r="U75" i="25"/>
  <c r="U74" i="25"/>
  <c r="U73" i="25"/>
  <c r="U72" i="25"/>
  <c r="U71" i="25"/>
  <c r="U70" i="25"/>
  <c r="U69" i="25"/>
  <c r="U68" i="25"/>
  <c r="U67" i="25"/>
  <c r="U66" i="25"/>
  <c r="U65" i="25"/>
  <c r="U64" i="25"/>
  <c r="U63" i="25"/>
  <c r="U62" i="25"/>
  <c r="U61" i="25"/>
  <c r="U60" i="25"/>
  <c r="U59" i="25"/>
  <c r="U58" i="25"/>
  <c r="U57" i="25"/>
  <c r="U56" i="25"/>
  <c r="U55" i="25"/>
  <c r="U54" i="25"/>
  <c r="U53" i="25"/>
  <c r="U52" i="25"/>
  <c r="U51" i="25"/>
  <c r="U50" i="25"/>
  <c r="U49" i="25"/>
  <c r="U48" i="25"/>
  <c r="U47" i="25"/>
  <c r="U46" i="25"/>
  <c r="U45" i="25"/>
  <c r="U44" i="25"/>
  <c r="U43" i="25"/>
  <c r="U42" i="25"/>
  <c r="U41" i="25"/>
  <c r="U40" i="25"/>
  <c r="U39" i="25"/>
  <c r="U38" i="25"/>
  <c r="U37" i="25"/>
  <c r="U36" i="25"/>
  <c r="U35" i="25"/>
  <c r="U34" i="25"/>
  <c r="U33" i="25"/>
  <c r="U32" i="25"/>
  <c r="U31" i="25"/>
  <c r="U30" i="25"/>
  <c r="U29" i="25"/>
  <c r="U28" i="25"/>
  <c r="U27" i="25"/>
  <c r="U26" i="25"/>
  <c r="U25" i="25"/>
  <c r="U24" i="25"/>
  <c r="U23" i="25"/>
  <c r="U22" i="25"/>
  <c r="U21" i="25"/>
  <c r="U20" i="25"/>
  <c r="U19" i="25"/>
  <c r="U18" i="25"/>
  <c r="U17" i="25"/>
  <c r="U16" i="25"/>
  <c r="U15" i="25"/>
  <c r="U14" i="25"/>
  <c r="U13" i="25"/>
  <c r="U12" i="25"/>
  <c r="U11" i="25"/>
  <c r="U10" i="25"/>
  <c r="U9" i="25"/>
  <c r="U8" i="25"/>
  <c r="U7" i="25"/>
  <c r="U6" i="25"/>
  <c r="U5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I19" i="25"/>
  <c r="I32" i="25"/>
  <c r="I48" i="25"/>
  <c r="I51" i="25"/>
  <c r="I52" i="25"/>
  <c r="I58" i="25"/>
  <c r="I80" i="25"/>
  <c r="I81" i="25"/>
  <c r="I96" i="25"/>
  <c r="I99" i="25"/>
  <c r="I100" i="25"/>
  <c r="I115" i="25"/>
  <c r="I128" i="25"/>
  <c r="I129" i="25"/>
  <c r="I131" i="25"/>
  <c r="I144" i="25"/>
  <c r="I147" i="25"/>
  <c r="I148" i="25"/>
  <c r="I158" i="25"/>
  <c r="I159" i="25"/>
  <c r="I176" i="25"/>
  <c r="I177" i="25"/>
  <c r="I179" i="25"/>
  <c r="I180" i="25"/>
  <c r="I195" i="25"/>
  <c r="I202" i="25"/>
  <c r="AQ202" i="25" s="1"/>
  <c r="I218" i="25"/>
  <c r="I224" i="25"/>
  <c r="I225" i="25"/>
  <c r="I226" i="25"/>
  <c r="I227" i="25"/>
  <c r="I228" i="25"/>
  <c r="I240" i="25"/>
  <c r="I243" i="25"/>
  <c r="I244" i="25"/>
  <c r="I250" i="25"/>
  <c r="I272" i="25"/>
  <c r="I273" i="25"/>
  <c r="I275" i="25"/>
  <c r="I291" i="25"/>
  <c r="I292" i="25"/>
  <c r="I298" i="25"/>
  <c r="I307" i="25"/>
  <c r="I314" i="25"/>
  <c r="I320" i="25"/>
  <c r="I321" i="25"/>
  <c r="I336" i="25"/>
  <c r="I339" i="25"/>
  <c r="I340" i="25"/>
  <c r="I341" i="25"/>
  <c r="I346" i="25"/>
  <c r="I355" i="25"/>
  <c r="I362" i="25"/>
  <c r="AQ362" i="25" s="1"/>
  <c r="I368" i="25"/>
  <c r="I369" i="25"/>
  <c r="I384" i="25"/>
  <c r="I387" i="25"/>
  <c r="I388" i="25"/>
  <c r="I394" i="25"/>
  <c r="I410" i="25"/>
  <c r="I416" i="25"/>
  <c r="I432" i="25"/>
  <c r="I433" i="25"/>
  <c r="I435" i="25"/>
  <c r="I436" i="25"/>
  <c r="I451" i="25"/>
  <c r="I458" i="25"/>
  <c r="I459" i="25"/>
  <c r="I462" i="25"/>
  <c r="J477" i="25"/>
  <c r="K477" i="25"/>
  <c r="L477" i="25"/>
  <c r="M477" i="25"/>
  <c r="N477" i="25"/>
  <c r="P477" i="25"/>
  <c r="Q477" i="25"/>
  <c r="R477" i="25"/>
  <c r="S477" i="25"/>
  <c r="T477" i="25"/>
  <c r="V477" i="25"/>
  <c r="W477" i="25"/>
  <c r="X477" i="25"/>
  <c r="Y477" i="25"/>
  <c r="Z477" i="25"/>
  <c r="AB477" i="25"/>
  <c r="AC477" i="25"/>
  <c r="AD477" i="25"/>
  <c r="AE477" i="25"/>
  <c r="AF477" i="25"/>
  <c r="AH477" i="25"/>
  <c r="AI477" i="25"/>
  <c r="AJ477" i="25"/>
  <c r="AK477" i="25"/>
  <c r="AL477" i="25"/>
  <c r="AN477" i="25"/>
  <c r="AO477" i="25"/>
  <c r="AP250" i="25"/>
  <c r="AP251" i="25"/>
  <c r="AP252" i="25"/>
  <c r="AP253" i="25"/>
  <c r="AP254" i="25"/>
  <c r="AP255" i="25"/>
  <c r="AP256" i="25"/>
  <c r="AP257" i="25"/>
  <c r="AP258" i="25"/>
  <c r="AP259" i="25"/>
  <c r="AP260" i="25"/>
  <c r="AP261" i="25"/>
  <c r="AP262" i="25"/>
  <c r="AP263" i="25"/>
  <c r="AP264" i="25"/>
  <c r="AP265" i="25"/>
  <c r="AP266" i="25"/>
  <c r="AP267" i="25"/>
  <c r="AP268" i="25"/>
  <c r="AP269" i="25"/>
  <c r="AP270" i="25"/>
  <c r="AP271" i="25"/>
  <c r="AP272" i="25"/>
  <c r="AP273" i="25"/>
  <c r="AP274" i="25"/>
  <c r="AP275" i="25"/>
  <c r="AP276" i="25"/>
  <c r="AP277" i="25"/>
  <c r="AP278" i="25"/>
  <c r="AP279" i="25"/>
  <c r="AP280" i="25"/>
  <c r="AP281" i="25"/>
  <c r="AP282" i="25"/>
  <c r="AP283" i="25"/>
  <c r="AP284" i="25"/>
  <c r="AP285" i="25"/>
  <c r="AP286" i="25"/>
  <c r="AP287" i="25"/>
  <c r="AP288" i="25"/>
  <c r="AP289" i="25"/>
  <c r="AP290" i="25"/>
  <c r="AP291" i="25"/>
  <c r="AP292" i="25"/>
  <c r="AP293" i="25"/>
  <c r="AP294" i="25"/>
  <c r="AP295" i="25"/>
  <c r="AP296" i="25"/>
  <c r="AP297" i="25"/>
  <c r="AP298" i="25"/>
  <c r="AP299" i="25"/>
  <c r="AP300" i="25"/>
  <c r="AP301" i="25"/>
  <c r="AP302" i="25"/>
  <c r="AP303" i="25"/>
  <c r="AP304" i="25"/>
  <c r="AP305" i="25"/>
  <c r="AP306" i="25"/>
  <c r="AP307" i="25"/>
  <c r="AP308" i="25"/>
  <c r="AP309" i="25"/>
  <c r="AP310" i="25"/>
  <c r="AP311" i="25"/>
  <c r="AP312" i="25"/>
  <c r="AP313" i="25"/>
  <c r="AP314" i="25"/>
  <c r="AP315" i="25"/>
  <c r="AP316" i="25"/>
  <c r="AP317" i="25"/>
  <c r="AP318" i="25"/>
  <c r="AP319" i="25"/>
  <c r="AP320" i="25"/>
  <c r="AP321" i="25"/>
  <c r="AP322" i="25"/>
  <c r="AP323" i="25"/>
  <c r="AP324" i="25"/>
  <c r="AP325" i="25"/>
  <c r="AP326" i="25"/>
  <c r="AP327" i="25"/>
  <c r="AP328" i="25"/>
  <c r="AP329" i="25"/>
  <c r="AP330" i="25"/>
  <c r="AP331" i="25"/>
  <c r="AP332" i="25"/>
  <c r="AP333" i="25"/>
  <c r="AP334" i="25"/>
  <c r="AP335" i="25"/>
  <c r="AP336" i="25"/>
  <c r="AP337" i="25"/>
  <c r="AP338" i="25"/>
  <c r="AP339" i="25"/>
  <c r="AP340" i="25"/>
  <c r="AP341" i="25"/>
  <c r="AP342" i="25"/>
  <c r="AP343" i="25"/>
  <c r="AP344" i="25"/>
  <c r="AP345" i="25"/>
  <c r="AP346" i="25"/>
  <c r="AP347" i="25"/>
  <c r="AP348" i="25"/>
  <c r="AP349" i="25"/>
  <c r="AP350" i="25"/>
  <c r="AP351" i="25"/>
  <c r="AP352" i="25"/>
  <c r="AP353" i="25"/>
  <c r="AP354" i="25"/>
  <c r="AP355" i="25"/>
  <c r="AP356" i="25"/>
  <c r="AP357" i="25"/>
  <c r="AP358" i="25"/>
  <c r="AP359" i="25"/>
  <c r="AP360" i="25"/>
  <c r="AP361" i="25"/>
  <c r="AP362" i="25"/>
  <c r="AP363" i="25"/>
  <c r="AP364" i="25"/>
  <c r="AP365" i="25"/>
  <c r="AP366" i="25"/>
  <c r="AP367" i="25"/>
  <c r="AP368" i="25"/>
  <c r="AP369" i="25"/>
  <c r="AP370" i="25"/>
  <c r="AP371" i="25"/>
  <c r="AP372" i="25"/>
  <c r="AP373" i="25"/>
  <c r="AP374" i="25"/>
  <c r="AP375" i="25"/>
  <c r="AP376" i="25"/>
  <c r="AP377" i="25"/>
  <c r="AP378" i="25"/>
  <c r="AP379" i="25"/>
  <c r="AP380" i="25"/>
  <c r="AP381" i="25"/>
  <c r="AP382" i="25"/>
  <c r="AP383" i="25"/>
  <c r="AP384" i="25"/>
  <c r="AP385" i="25"/>
  <c r="AP386" i="25"/>
  <c r="AP387" i="25"/>
  <c r="AP388" i="25"/>
  <c r="AP389" i="25"/>
  <c r="AP390" i="25"/>
  <c r="AP391" i="25"/>
  <c r="AP392" i="25"/>
  <c r="AP393" i="25"/>
  <c r="AP394" i="25"/>
  <c r="AP395" i="25"/>
  <c r="AP396" i="25"/>
  <c r="AP397" i="25"/>
  <c r="AP398" i="25"/>
  <c r="AP399" i="25"/>
  <c r="AP400" i="25"/>
  <c r="AP401" i="25"/>
  <c r="AP402" i="25"/>
  <c r="AP403" i="25"/>
  <c r="AP404" i="25"/>
  <c r="AP405" i="25"/>
  <c r="AP406" i="25"/>
  <c r="AP407" i="25"/>
  <c r="AP408" i="25"/>
  <c r="AP409" i="25"/>
  <c r="AP410" i="25"/>
  <c r="AP411" i="25"/>
  <c r="AP412" i="25"/>
  <c r="AP413" i="25"/>
  <c r="AP414" i="25"/>
  <c r="AP415" i="25"/>
  <c r="AP416" i="25"/>
  <c r="AP417" i="25"/>
  <c r="AP418" i="25"/>
  <c r="AP419" i="25"/>
  <c r="AP420" i="25"/>
  <c r="AP421" i="25"/>
  <c r="AP422" i="25"/>
  <c r="AP423" i="25"/>
  <c r="AP424" i="25"/>
  <c r="AP425" i="25"/>
  <c r="AP426" i="25"/>
  <c r="AP427" i="25"/>
  <c r="AP428" i="25"/>
  <c r="AP429" i="25"/>
  <c r="AP430" i="25"/>
  <c r="AP431" i="25"/>
  <c r="AP432" i="25"/>
  <c r="AP433" i="25"/>
  <c r="AP434" i="25"/>
  <c r="AP435" i="25"/>
  <c r="AP436" i="25"/>
  <c r="AP437" i="25"/>
  <c r="AP438" i="25"/>
  <c r="AP439" i="25"/>
  <c r="AP440" i="25"/>
  <c r="AP441" i="25"/>
  <c r="AP442" i="25"/>
  <c r="AP443" i="25"/>
  <c r="AP444" i="25"/>
  <c r="AP445" i="25"/>
  <c r="AP446" i="25"/>
  <c r="AP447" i="25"/>
  <c r="AP448" i="25"/>
  <c r="AP449" i="25"/>
  <c r="AP450" i="25"/>
  <c r="AP451" i="25"/>
  <c r="AP452" i="25"/>
  <c r="AP453" i="25"/>
  <c r="AP454" i="25"/>
  <c r="AP455" i="25"/>
  <c r="AP456" i="25"/>
  <c r="AP457" i="25"/>
  <c r="AP458" i="25"/>
  <c r="AP459" i="25"/>
  <c r="AP460" i="25"/>
  <c r="AP461" i="25"/>
  <c r="AP462" i="25"/>
  <c r="AP463" i="25"/>
  <c r="AP464" i="25"/>
  <c r="AP465" i="25"/>
  <c r="AP466" i="25"/>
  <c r="AP467" i="25"/>
  <c r="AP468" i="25"/>
  <c r="AP469" i="25"/>
  <c r="AP470" i="25"/>
  <c r="AP471" i="25"/>
  <c r="AP472" i="25"/>
  <c r="AP473" i="25"/>
  <c r="AP474" i="25"/>
  <c r="AP475" i="25"/>
  <c r="AP476" i="25"/>
  <c r="AP6" i="25"/>
  <c r="AP7" i="25"/>
  <c r="AP8" i="25"/>
  <c r="AP9" i="25"/>
  <c r="AP10" i="25"/>
  <c r="AP11" i="25"/>
  <c r="AP12" i="25"/>
  <c r="AP13" i="25"/>
  <c r="AP14" i="25"/>
  <c r="AP15" i="25"/>
  <c r="AP16" i="25"/>
  <c r="AP17" i="25"/>
  <c r="AP18" i="25"/>
  <c r="AP19" i="25"/>
  <c r="AP20" i="25"/>
  <c r="AP21" i="25"/>
  <c r="AP22" i="25"/>
  <c r="AP23" i="25"/>
  <c r="AP24" i="25"/>
  <c r="AP25" i="25"/>
  <c r="AP26" i="25"/>
  <c r="AP27" i="25"/>
  <c r="AP28" i="25"/>
  <c r="AP29" i="25"/>
  <c r="AP30" i="25"/>
  <c r="AP31" i="25"/>
  <c r="AP32" i="25"/>
  <c r="AP33" i="25"/>
  <c r="AP34" i="25"/>
  <c r="AP35" i="25"/>
  <c r="AP36" i="25"/>
  <c r="AP37" i="25"/>
  <c r="AP38" i="25"/>
  <c r="AP39" i="25"/>
  <c r="AP40" i="25"/>
  <c r="AP41" i="25"/>
  <c r="AP42" i="25"/>
  <c r="AP43" i="25"/>
  <c r="AP44" i="25"/>
  <c r="AP45" i="25"/>
  <c r="AP46" i="25"/>
  <c r="AP47" i="25"/>
  <c r="AP48" i="25"/>
  <c r="AP49" i="25"/>
  <c r="AP50" i="25"/>
  <c r="AP51" i="25"/>
  <c r="AP52" i="25"/>
  <c r="AP53" i="25"/>
  <c r="AP54" i="25"/>
  <c r="AP55" i="25"/>
  <c r="AP56" i="25"/>
  <c r="AP57" i="25"/>
  <c r="AP58" i="25"/>
  <c r="AP59" i="25"/>
  <c r="AP60" i="25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P81" i="25"/>
  <c r="AP82" i="25"/>
  <c r="AP83" i="25"/>
  <c r="AP84" i="25"/>
  <c r="AP85" i="25"/>
  <c r="AP86" i="25"/>
  <c r="AP87" i="25"/>
  <c r="AP88" i="25"/>
  <c r="AP89" i="25"/>
  <c r="AP90" i="25"/>
  <c r="AP91" i="25"/>
  <c r="AP92" i="25"/>
  <c r="AP93" i="25"/>
  <c r="AP94" i="25"/>
  <c r="AP95" i="25"/>
  <c r="AP96" i="25"/>
  <c r="AP97" i="25"/>
  <c r="AP98" i="25"/>
  <c r="AP99" i="25"/>
  <c r="AP100" i="25"/>
  <c r="AP101" i="25"/>
  <c r="AP102" i="25"/>
  <c r="AP103" i="25"/>
  <c r="AP104" i="25"/>
  <c r="AP105" i="25"/>
  <c r="AP106" i="25"/>
  <c r="AP107" i="25"/>
  <c r="AP108" i="25"/>
  <c r="AP109" i="25"/>
  <c r="AP110" i="25"/>
  <c r="AP111" i="25"/>
  <c r="AP112" i="25"/>
  <c r="AP113" i="25"/>
  <c r="AP114" i="25"/>
  <c r="AP115" i="25"/>
  <c r="AP116" i="25"/>
  <c r="AP117" i="25"/>
  <c r="AP118" i="25"/>
  <c r="AP119" i="25"/>
  <c r="AP120" i="25"/>
  <c r="AP121" i="25"/>
  <c r="AP122" i="25"/>
  <c r="AP123" i="25"/>
  <c r="AP124" i="25"/>
  <c r="AP125" i="25"/>
  <c r="AP126" i="25"/>
  <c r="AP127" i="25"/>
  <c r="AP128" i="25"/>
  <c r="AP129" i="25"/>
  <c r="AP130" i="25"/>
  <c r="AP131" i="25"/>
  <c r="AP132" i="25"/>
  <c r="AP133" i="25"/>
  <c r="AP134" i="25"/>
  <c r="AP135" i="25"/>
  <c r="AP136" i="25"/>
  <c r="AP137" i="25"/>
  <c r="AP138" i="25"/>
  <c r="AP139" i="25"/>
  <c r="AP140" i="25"/>
  <c r="AP141" i="25"/>
  <c r="AP142" i="25"/>
  <c r="AP143" i="25"/>
  <c r="AP144" i="25"/>
  <c r="AP145" i="25"/>
  <c r="AP146" i="25"/>
  <c r="AP147" i="25"/>
  <c r="AP148" i="25"/>
  <c r="AP149" i="25"/>
  <c r="AP150" i="25"/>
  <c r="AP151" i="25"/>
  <c r="AP152" i="25"/>
  <c r="AP153" i="25"/>
  <c r="AP154" i="25"/>
  <c r="AP155" i="25"/>
  <c r="AP156" i="25"/>
  <c r="AP157" i="25"/>
  <c r="AP158" i="25"/>
  <c r="AP159" i="25"/>
  <c r="AP160" i="25"/>
  <c r="AP161" i="25"/>
  <c r="AP162" i="25"/>
  <c r="AP163" i="25"/>
  <c r="AP164" i="25"/>
  <c r="AP165" i="25"/>
  <c r="AP166" i="25"/>
  <c r="AP167" i="25"/>
  <c r="AP168" i="25"/>
  <c r="AP169" i="25"/>
  <c r="AP170" i="25"/>
  <c r="AP171" i="25"/>
  <c r="AP172" i="25"/>
  <c r="AP173" i="25"/>
  <c r="AP174" i="25"/>
  <c r="AP175" i="25"/>
  <c r="AP176" i="25"/>
  <c r="AP177" i="25"/>
  <c r="AP178" i="25"/>
  <c r="AP179" i="25"/>
  <c r="AP180" i="25"/>
  <c r="AP181" i="25"/>
  <c r="AP182" i="25"/>
  <c r="AP183" i="25"/>
  <c r="AP184" i="25"/>
  <c r="AP185" i="25"/>
  <c r="AP186" i="25"/>
  <c r="AP187" i="25"/>
  <c r="AP188" i="25"/>
  <c r="AP189" i="25"/>
  <c r="AP190" i="25"/>
  <c r="AP191" i="25"/>
  <c r="AP192" i="25"/>
  <c r="AP193" i="25"/>
  <c r="AP194" i="25"/>
  <c r="AP195" i="25"/>
  <c r="AP196" i="25"/>
  <c r="AP197" i="25"/>
  <c r="AP198" i="25"/>
  <c r="AP199" i="25"/>
  <c r="AP200" i="25"/>
  <c r="AP201" i="25"/>
  <c r="AP202" i="25"/>
  <c r="AP203" i="25"/>
  <c r="AP204" i="25"/>
  <c r="AP205" i="25"/>
  <c r="AP206" i="25"/>
  <c r="AP207" i="25"/>
  <c r="AP208" i="25"/>
  <c r="AP209" i="25"/>
  <c r="AP210" i="25"/>
  <c r="AP211" i="25"/>
  <c r="AP212" i="25"/>
  <c r="AP213" i="25"/>
  <c r="AP214" i="25"/>
  <c r="AP215" i="25"/>
  <c r="AP216" i="25"/>
  <c r="AP217" i="25"/>
  <c r="AP218" i="25"/>
  <c r="AP219" i="25"/>
  <c r="AP220" i="25"/>
  <c r="AP221" i="25"/>
  <c r="AP222" i="25"/>
  <c r="AP223" i="25"/>
  <c r="AP224" i="25"/>
  <c r="AP225" i="25"/>
  <c r="AP226" i="25"/>
  <c r="AP227" i="25"/>
  <c r="AP228" i="25"/>
  <c r="AP229" i="25"/>
  <c r="AP230" i="25"/>
  <c r="AP231" i="25"/>
  <c r="AP232" i="25"/>
  <c r="AP233" i="25"/>
  <c r="AP234" i="25"/>
  <c r="AP235" i="25"/>
  <c r="AP236" i="25"/>
  <c r="AP237" i="25"/>
  <c r="AP238" i="25"/>
  <c r="AP239" i="25"/>
  <c r="AP240" i="25"/>
  <c r="AP241" i="25"/>
  <c r="AP242" i="25"/>
  <c r="AP243" i="25"/>
  <c r="AP244" i="25"/>
  <c r="AP245" i="25"/>
  <c r="AP246" i="25"/>
  <c r="AP247" i="25"/>
  <c r="AP248" i="25"/>
  <c r="AP249" i="25"/>
  <c r="AP5" i="25"/>
  <c r="I5" i="25"/>
  <c r="AQ5" i="25" s="1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  <c r="K280" i="2"/>
  <c r="L280" i="2"/>
  <c r="K281" i="2"/>
  <c r="L281" i="2"/>
  <c r="K282" i="2"/>
  <c r="L282" i="2"/>
  <c r="K283" i="2"/>
  <c r="L283" i="2"/>
  <c r="K284" i="2"/>
  <c r="L284" i="2"/>
  <c r="K285" i="2"/>
  <c r="L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5" i="2"/>
  <c r="L295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K348" i="2"/>
  <c r="L348" i="2"/>
  <c r="K349" i="2"/>
  <c r="L349" i="2"/>
  <c r="K350" i="2"/>
  <c r="L350" i="2"/>
  <c r="K351" i="2"/>
  <c r="L351" i="2"/>
  <c r="K352" i="2"/>
  <c r="L352" i="2"/>
  <c r="K353" i="2"/>
  <c r="L353" i="2"/>
  <c r="K354" i="2"/>
  <c r="L354" i="2"/>
  <c r="K355" i="2"/>
  <c r="L355" i="2"/>
  <c r="K356" i="2"/>
  <c r="L356" i="2"/>
  <c r="K357" i="2"/>
  <c r="L357" i="2"/>
  <c r="K358" i="2"/>
  <c r="L358" i="2"/>
  <c r="K359" i="2"/>
  <c r="L359" i="2"/>
  <c r="K360" i="2"/>
  <c r="L360" i="2"/>
  <c r="K361" i="2"/>
  <c r="L361" i="2"/>
  <c r="K362" i="2"/>
  <c r="L362" i="2"/>
  <c r="K363" i="2"/>
  <c r="L363" i="2"/>
  <c r="K364" i="2"/>
  <c r="L364" i="2"/>
  <c r="K365" i="2"/>
  <c r="L365" i="2"/>
  <c r="K366" i="2"/>
  <c r="L366" i="2"/>
  <c r="K367" i="2"/>
  <c r="L367" i="2"/>
  <c r="K368" i="2"/>
  <c r="L368" i="2"/>
  <c r="K369" i="2"/>
  <c r="L369" i="2"/>
  <c r="K370" i="2"/>
  <c r="L370" i="2"/>
  <c r="K371" i="2"/>
  <c r="L371" i="2"/>
  <c r="K372" i="2"/>
  <c r="L372" i="2"/>
  <c r="K373" i="2"/>
  <c r="L373" i="2"/>
  <c r="K374" i="2"/>
  <c r="L374" i="2"/>
  <c r="K375" i="2"/>
  <c r="L375" i="2"/>
  <c r="K376" i="2"/>
  <c r="L376" i="2"/>
  <c r="K377" i="2"/>
  <c r="L377" i="2"/>
  <c r="K378" i="2"/>
  <c r="L378" i="2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K431" i="2"/>
  <c r="L431" i="2"/>
  <c r="K432" i="2"/>
  <c r="L432" i="2"/>
  <c r="K433" i="2"/>
  <c r="L433" i="2"/>
  <c r="K434" i="2"/>
  <c r="L434" i="2"/>
  <c r="K435" i="2"/>
  <c r="L435" i="2"/>
  <c r="K436" i="2"/>
  <c r="L436" i="2"/>
  <c r="K437" i="2"/>
  <c r="L437" i="2"/>
  <c r="K438" i="2"/>
  <c r="L438" i="2"/>
  <c r="K439" i="2"/>
  <c r="L439" i="2"/>
  <c r="K440" i="2"/>
  <c r="L440" i="2"/>
  <c r="K441" i="2"/>
  <c r="L441" i="2"/>
  <c r="K442" i="2"/>
  <c r="L442" i="2"/>
  <c r="K443" i="2"/>
  <c r="L443" i="2"/>
  <c r="K444" i="2"/>
  <c r="L444" i="2"/>
  <c r="K445" i="2"/>
  <c r="L445" i="2"/>
  <c r="K446" i="2"/>
  <c r="L446" i="2"/>
  <c r="K447" i="2"/>
  <c r="L447" i="2"/>
  <c r="K448" i="2"/>
  <c r="L448" i="2"/>
  <c r="K449" i="2"/>
  <c r="L449" i="2"/>
  <c r="K450" i="2"/>
  <c r="L450" i="2"/>
  <c r="K451" i="2"/>
  <c r="L451" i="2"/>
  <c r="K452" i="2"/>
  <c r="L452" i="2"/>
  <c r="K453" i="2"/>
  <c r="L453" i="2"/>
  <c r="K454" i="2"/>
  <c r="L454" i="2"/>
  <c r="K455" i="2"/>
  <c r="L455" i="2"/>
  <c r="K456" i="2"/>
  <c r="L456" i="2"/>
  <c r="K457" i="2"/>
  <c r="L457" i="2"/>
  <c r="K458" i="2"/>
  <c r="L458" i="2"/>
  <c r="K459" i="2"/>
  <c r="L459" i="2"/>
  <c r="K460" i="2"/>
  <c r="L460" i="2"/>
  <c r="K461" i="2"/>
  <c r="L461" i="2"/>
  <c r="K462" i="2"/>
  <c r="L462" i="2"/>
  <c r="K463" i="2"/>
  <c r="L463" i="2"/>
  <c r="K464" i="2"/>
  <c r="L464" i="2"/>
  <c r="K465" i="2"/>
  <c r="L465" i="2"/>
  <c r="K466" i="2"/>
  <c r="L466" i="2"/>
  <c r="K467" i="2"/>
  <c r="L467" i="2"/>
  <c r="K468" i="2"/>
  <c r="L468" i="2"/>
  <c r="K469" i="2"/>
  <c r="L469" i="2"/>
  <c r="K470" i="2"/>
  <c r="L470" i="2"/>
  <c r="K471" i="2"/>
  <c r="L471" i="2"/>
  <c r="K472" i="2"/>
  <c r="L472" i="2"/>
  <c r="K473" i="2"/>
  <c r="L473" i="2"/>
  <c r="K474" i="2"/>
  <c r="L474" i="2"/>
  <c r="K475" i="2"/>
  <c r="L475" i="2"/>
  <c r="K476" i="2"/>
  <c r="L476" i="2"/>
  <c r="L5" i="2"/>
  <c r="K5" i="2"/>
  <c r="C58" i="4"/>
  <c r="D58" i="4"/>
  <c r="E58" i="4"/>
  <c r="F58" i="4"/>
  <c r="G58" i="4"/>
  <c r="H58" i="4"/>
  <c r="I58" i="4"/>
  <c r="K6" i="4"/>
  <c r="K80" i="4" s="1"/>
  <c r="K5" i="4"/>
  <c r="J52" i="4"/>
  <c r="J30" i="4"/>
  <c r="B80" i="4"/>
  <c r="D16" i="1"/>
  <c r="C16" i="1"/>
  <c r="AP477" i="25" l="1"/>
  <c r="AQ300" i="25"/>
  <c r="AG477" i="25"/>
  <c r="AQ121" i="25"/>
  <c r="AA477" i="25"/>
  <c r="AQ460" i="25"/>
  <c r="AQ73" i="25"/>
  <c r="AQ58" i="25"/>
  <c r="AQ25" i="25"/>
  <c r="AQ459" i="25"/>
  <c r="AQ412" i="25"/>
  <c r="AQ252" i="25"/>
  <c r="AQ347" i="25"/>
  <c r="AQ299" i="25"/>
  <c r="O477" i="25"/>
  <c r="AQ411" i="25"/>
  <c r="AQ251" i="25"/>
  <c r="AQ204" i="25"/>
  <c r="AQ108" i="25"/>
  <c r="AQ282" i="25"/>
  <c r="AQ203" i="25"/>
  <c r="AQ107" i="25"/>
  <c r="AQ473" i="25"/>
  <c r="AQ313" i="25"/>
  <c r="AQ234" i="25"/>
  <c r="AQ233" i="25"/>
  <c r="AQ89" i="25"/>
  <c r="AQ41" i="25"/>
  <c r="AQ441" i="25"/>
  <c r="AQ364" i="25"/>
  <c r="AQ278" i="25"/>
  <c r="AQ198" i="25"/>
  <c r="AQ155" i="25"/>
  <c r="AQ10" i="25"/>
  <c r="AQ474" i="25"/>
  <c r="AQ361" i="25"/>
  <c r="AQ314" i="25"/>
  <c r="AQ426" i="25"/>
  <c r="AQ393" i="25"/>
  <c r="AQ266" i="25"/>
  <c r="AQ230" i="25"/>
  <c r="AQ186" i="25"/>
  <c r="AQ137" i="25"/>
  <c r="AQ28" i="25"/>
  <c r="AQ442" i="25"/>
  <c r="AQ281" i="25"/>
  <c r="AQ156" i="25"/>
  <c r="AM477" i="25"/>
  <c r="U477" i="25"/>
  <c r="AQ394" i="25"/>
  <c r="AQ218" i="25"/>
  <c r="AQ265" i="25"/>
  <c r="AQ217" i="25"/>
  <c r="AQ185" i="25"/>
  <c r="AQ454" i="25"/>
  <c r="J80" i="4"/>
  <c r="K58" i="4"/>
  <c r="I380" i="25"/>
  <c r="AQ380" i="25" s="1"/>
  <c r="I348" i="25"/>
  <c r="AQ348" i="25" s="1"/>
  <c r="I188" i="25"/>
  <c r="AQ188" i="25" s="1"/>
  <c r="I223" i="25"/>
  <c r="AQ223" i="25" s="1"/>
  <c r="I175" i="25"/>
  <c r="AQ175" i="25" s="1"/>
  <c r="I466" i="25"/>
  <c r="AQ466" i="25" s="1"/>
  <c r="I306" i="25"/>
  <c r="AQ306" i="25" s="1"/>
  <c r="I194" i="25"/>
  <c r="AQ194" i="25" s="1"/>
  <c r="I18" i="25"/>
  <c r="I405" i="25"/>
  <c r="AQ405" i="25" s="1"/>
  <c r="I373" i="25"/>
  <c r="AQ373" i="25" s="1"/>
  <c r="I357" i="25"/>
  <c r="AQ357" i="25" s="1"/>
  <c r="I270" i="25"/>
  <c r="AQ270" i="25" s="1"/>
  <c r="I213" i="25"/>
  <c r="AQ213" i="25" s="1"/>
  <c r="I197" i="25"/>
  <c r="AQ197" i="25" s="1"/>
  <c r="I126" i="25"/>
  <c r="AQ126" i="25" s="1"/>
  <c r="I69" i="25"/>
  <c r="I37" i="25"/>
  <c r="I315" i="25"/>
  <c r="AQ315" i="25" s="1"/>
  <c r="D477" i="25"/>
  <c r="I475" i="25"/>
  <c r="AQ475" i="25" s="1"/>
  <c r="I443" i="25"/>
  <c r="AQ443" i="25" s="1"/>
  <c r="I430" i="25"/>
  <c r="AQ430" i="25" s="1"/>
  <c r="I427" i="25"/>
  <c r="AQ427" i="25" s="1"/>
  <c r="I395" i="25"/>
  <c r="AQ395" i="25" s="1"/>
  <c r="I379" i="25"/>
  <c r="AQ379" i="25" s="1"/>
  <c r="I334" i="25"/>
  <c r="AQ334" i="25" s="1"/>
  <c r="I331" i="25"/>
  <c r="AQ331" i="25" s="1"/>
  <c r="I286" i="25"/>
  <c r="AQ286" i="25" s="1"/>
  <c r="I283" i="25"/>
  <c r="AQ283" i="25" s="1"/>
  <c r="I267" i="25"/>
  <c r="AQ267" i="25" s="1"/>
  <c r="I238" i="25"/>
  <c r="AQ238" i="25" s="1"/>
  <c r="I235" i="25"/>
  <c r="AQ235" i="25" s="1"/>
  <c r="I219" i="25"/>
  <c r="AQ219" i="25" s="1"/>
  <c r="I190" i="25"/>
  <c r="AQ190" i="25" s="1"/>
  <c r="I187" i="25"/>
  <c r="AQ187" i="25" s="1"/>
  <c r="I174" i="25"/>
  <c r="AQ174" i="25" s="1"/>
  <c r="I171" i="25"/>
  <c r="AQ171" i="25" s="1"/>
  <c r="I142" i="25"/>
  <c r="AQ142" i="25" s="1"/>
  <c r="I139" i="25"/>
  <c r="AQ139" i="25" s="1"/>
  <c r="I123" i="25"/>
  <c r="AQ123" i="25" s="1"/>
  <c r="I110" i="25"/>
  <c r="AQ110" i="25" s="1"/>
  <c r="I94" i="25"/>
  <c r="AQ94" i="25" s="1"/>
  <c r="I91" i="25"/>
  <c r="AQ91" i="25" s="1"/>
  <c r="I62" i="25"/>
  <c r="AQ62" i="25" s="1"/>
  <c r="I59" i="25"/>
  <c r="AQ59" i="25" s="1"/>
  <c r="I46" i="25"/>
  <c r="AQ46" i="25" s="1"/>
  <c r="I43" i="25"/>
  <c r="AQ43" i="25" s="1"/>
  <c r="I14" i="25"/>
  <c r="I11" i="25"/>
  <c r="AQ11" i="25" s="1"/>
  <c r="H477" i="25"/>
  <c r="I428" i="25"/>
  <c r="AQ428" i="25" s="1"/>
  <c r="I396" i="25"/>
  <c r="AQ396" i="25" s="1"/>
  <c r="I284" i="25"/>
  <c r="AQ284" i="25" s="1"/>
  <c r="I124" i="25"/>
  <c r="AQ124" i="25" s="1"/>
  <c r="I92" i="25"/>
  <c r="AQ92" i="25" s="1"/>
  <c r="I287" i="25"/>
  <c r="I354" i="25"/>
  <c r="AQ354" i="25" s="1"/>
  <c r="I242" i="25"/>
  <c r="AQ242" i="25" s="1"/>
  <c r="I210" i="25"/>
  <c r="AQ210" i="25" s="1"/>
  <c r="I82" i="25"/>
  <c r="AQ82" i="25" s="1"/>
  <c r="I469" i="25"/>
  <c r="AQ469" i="25" s="1"/>
  <c r="I453" i="25"/>
  <c r="AQ453" i="25" s="1"/>
  <c r="I421" i="25"/>
  <c r="AQ421" i="25" s="1"/>
  <c r="I363" i="25"/>
  <c r="AQ363" i="25" s="1"/>
  <c r="I325" i="25"/>
  <c r="AQ325" i="25" s="1"/>
  <c r="I309" i="25"/>
  <c r="AQ309" i="25" s="1"/>
  <c r="I229" i="25"/>
  <c r="AQ229" i="25" s="1"/>
  <c r="I165" i="25"/>
  <c r="AQ165" i="25" s="1"/>
  <c r="I133" i="25"/>
  <c r="AQ133" i="25" s="1"/>
  <c r="I75" i="25"/>
  <c r="AQ75" i="25" s="1"/>
  <c r="I21" i="25"/>
  <c r="I446" i="25"/>
  <c r="I398" i="25"/>
  <c r="AQ398" i="25" s="1"/>
  <c r="I382" i="25"/>
  <c r="AQ382" i="25" s="1"/>
  <c r="I350" i="25"/>
  <c r="AQ350" i="25" s="1"/>
  <c r="I302" i="25"/>
  <c r="AQ302" i="25" s="1"/>
  <c r="I476" i="25"/>
  <c r="AQ476" i="25" s="1"/>
  <c r="I444" i="25"/>
  <c r="AQ444" i="25" s="1"/>
  <c r="I332" i="25"/>
  <c r="AQ332" i="25" s="1"/>
  <c r="I316" i="25"/>
  <c r="AQ316" i="25" s="1"/>
  <c r="I172" i="25"/>
  <c r="AQ172" i="25" s="1"/>
  <c r="I140" i="25"/>
  <c r="AQ140" i="25" s="1"/>
  <c r="I431" i="25"/>
  <c r="AQ431" i="25" s="1"/>
  <c r="I191" i="25"/>
  <c r="I450" i="25"/>
  <c r="AQ450" i="25" s="1"/>
  <c r="I418" i="25"/>
  <c r="AQ418" i="25" s="1"/>
  <c r="I290" i="25"/>
  <c r="AQ290" i="25" s="1"/>
  <c r="I258" i="25"/>
  <c r="AQ258" i="25" s="1"/>
  <c r="I149" i="25"/>
  <c r="AQ149" i="25" s="1"/>
  <c r="I277" i="25"/>
  <c r="AQ277" i="25" s="1"/>
  <c r="I261" i="25"/>
  <c r="AQ261" i="25" s="1"/>
  <c r="I117" i="25"/>
  <c r="AQ117" i="25" s="1"/>
  <c r="I85" i="25"/>
  <c r="AQ85" i="25" s="1"/>
  <c r="I222" i="25"/>
  <c r="AQ222" i="25" s="1"/>
  <c r="I220" i="25"/>
  <c r="AQ220" i="25" s="1"/>
  <c r="I60" i="25"/>
  <c r="AQ60" i="25" s="1"/>
  <c r="I447" i="25"/>
  <c r="AQ447" i="25" s="1"/>
  <c r="I239" i="25"/>
  <c r="AQ239" i="25" s="1"/>
  <c r="I127" i="25"/>
  <c r="AQ127" i="25" s="1"/>
  <c r="I111" i="25"/>
  <c r="AQ111" i="25" s="1"/>
  <c r="I370" i="25"/>
  <c r="AQ370" i="25" s="1"/>
  <c r="I162" i="25"/>
  <c r="AQ162" i="25" s="1"/>
  <c r="I98" i="25"/>
  <c r="AQ98" i="25" s="1"/>
  <c r="I66" i="25"/>
  <c r="AQ66" i="25" s="1"/>
  <c r="I12" i="25"/>
  <c r="AQ12" i="25" s="1"/>
  <c r="I351" i="25"/>
  <c r="AQ351" i="25" s="1"/>
  <c r="I303" i="25"/>
  <c r="AQ303" i="25" s="1"/>
  <c r="I255" i="25"/>
  <c r="AQ255" i="25" s="1"/>
  <c r="I143" i="25"/>
  <c r="AQ143" i="25" s="1"/>
  <c r="I95" i="25"/>
  <c r="AQ95" i="25" s="1"/>
  <c r="I63" i="25"/>
  <c r="AQ63" i="25" s="1"/>
  <c r="I338" i="25"/>
  <c r="AQ338" i="25" s="1"/>
  <c r="I114" i="25"/>
  <c r="AQ114" i="25" s="1"/>
  <c r="I50" i="25"/>
  <c r="AQ50" i="25" s="1"/>
  <c r="I268" i="25"/>
  <c r="AQ268" i="25" s="1"/>
  <c r="I236" i="25"/>
  <c r="AQ236" i="25" s="1"/>
  <c r="I76" i="25"/>
  <c r="AQ76" i="25" s="1"/>
  <c r="I44" i="25"/>
  <c r="AQ44" i="25" s="1"/>
  <c r="I399" i="25"/>
  <c r="AQ399" i="25" s="1"/>
  <c r="I383" i="25"/>
  <c r="AQ383" i="25" s="1"/>
  <c r="I335" i="25"/>
  <c r="AQ335" i="25" s="1"/>
  <c r="I47" i="25"/>
  <c r="AQ47" i="25" s="1"/>
  <c r="I15" i="25"/>
  <c r="AQ15" i="25" s="1"/>
  <c r="I402" i="25"/>
  <c r="AQ402" i="25" s="1"/>
  <c r="I146" i="25"/>
  <c r="AQ146" i="25" s="1"/>
  <c r="I34" i="25"/>
  <c r="AQ34" i="25" s="1"/>
  <c r="I27" i="25"/>
  <c r="AQ27" i="25" s="1"/>
  <c r="F477" i="25"/>
  <c r="I472" i="25"/>
  <c r="AQ472" i="25" s="1"/>
  <c r="I344" i="25"/>
  <c r="AQ344" i="25" s="1"/>
  <c r="I232" i="25"/>
  <c r="I216" i="25"/>
  <c r="AQ216" i="25" s="1"/>
  <c r="I424" i="25"/>
  <c r="AQ424" i="25" s="1"/>
  <c r="I376" i="25"/>
  <c r="AQ376" i="25" s="1"/>
  <c r="I248" i="25"/>
  <c r="AQ248" i="25" s="1"/>
  <c r="I184" i="25"/>
  <c r="AQ184" i="25" s="1"/>
  <c r="I104" i="25"/>
  <c r="I88" i="25"/>
  <c r="AQ88" i="25" s="1"/>
  <c r="I295" i="25"/>
  <c r="AQ295" i="25" s="1"/>
  <c r="I154" i="25"/>
  <c r="AQ154" i="25" s="1"/>
  <c r="I138" i="25"/>
  <c r="AQ138" i="25" s="1"/>
  <c r="I122" i="25"/>
  <c r="AQ122" i="25" s="1"/>
  <c r="I87" i="25"/>
  <c r="AQ87" i="25" s="1"/>
  <c r="I39" i="25"/>
  <c r="AQ39" i="25" s="1"/>
  <c r="I26" i="25"/>
  <c r="AQ26" i="25" s="1"/>
  <c r="I7" i="25"/>
  <c r="AQ7" i="25" s="1"/>
  <c r="I397" i="25"/>
  <c r="AQ397" i="25" s="1"/>
  <c r="I381" i="25"/>
  <c r="AQ381" i="25" s="1"/>
  <c r="I365" i="25"/>
  <c r="AQ365" i="25" s="1"/>
  <c r="I349" i="25"/>
  <c r="AQ349" i="25" s="1"/>
  <c r="I333" i="25"/>
  <c r="AQ333" i="25" s="1"/>
  <c r="I317" i="25"/>
  <c r="AQ317" i="25" s="1"/>
  <c r="I301" i="25"/>
  <c r="AQ301" i="25" s="1"/>
  <c r="I285" i="25"/>
  <c r="AQ285" i="25" s="1"/>
  <c r="I269" i="25"/>
  <c r="AQ269" i="25" s="1"/>
  <c r="I253" i="25"/>
  <c r="AQ253" i="25" s="1"/>
  <c r="I237" i="25"/>
  <c r="AQ237" i="25" s="1"/>
  <c r="I221" i="25"/>
  <c r="AQ221" i="25" s="1"/>
  <c r="I205" i="25"/>
  <c r="AQ205" i="25" s="1"/>
  <c r="I189" i="25"/>
  <c r="AQ189" i="25" s="1"/>
  <c r="I173" i="25"/>
  <c r="AQ173" i="25" s="1"/>
  <c r="I157" i="25"/>
  <c r="AQ157" i="25" s="1"/>
  <c r="I141" i="25"/>
  <c r="AQ141" i="25" s="1"/>
  <c r="I125" i="25"/>
  <c r="AQ125" i="25" s="1"/>
  <c r="I109" i="25"/>
  <c r="AQ109" i="25" s="1"/>
  <c r="I93" i="25"/>
  <c r="AQ93" i="25" s="1"/>
  <c r="I77" i="25"/>
  <c r="AQ77" i="25" s="1"/>
  <c r="I61" i="25"/>
  <c r="AQ61" i="25" s="1"/>
  <c r="I45" i="25"/>
  <c r="AQ45" i="25" s="1"/>
  <c r="I29" i="25"/>
  <c r="AQ29" i="25" s="1"/>
  <c r="I13" i="25"/>
  <c r="AQ13" i="25" s="1"/>
  <c r="E477" i="25"/>
  <c r="I392" i="25"/>
  <c r="AQ392" i="25" s="1"/>
  <c r="I328" i="25"/>
  <c r="AQ328" i="25" s="1"/>
  <c r="I168" i="25"/>
  <c r="I72" i="25"/>
  <c r="AQ72" i="25" s="1"/>
  <c r="I40" i="25"/>
  <c r="AQ40" i="25" s="1"/>
  <c r="I8" i="25"/>
  <c r="AQ8" i="25" s="1"/>
  <c r="AQ9" i="25"/>
  <c r="AQ169" i="25"/>
  <c r="AQ297" i="25"/>
  <c r="AQ377" i="25"/>
  <c r="AQ425" i="25"/>
  <c r="AQ457" i="25"/>
  <c r="AQ346" i="25"/>
  <c r="AQ410" i="25"/>
  <c r="I391" i="25"/>
  <c r="I375" i="25"/>
  <c r="AQ375" i="25" s="1"/>
  <c r="I170" i="25"/>
  <c r="I106" i="25"/>
  <c r="AQ106" i="25" s="1"/>
  <c r="I71" i="25"/>
  <c r="AQ71" i="25" s="1"/>
  <c r="I42" i="25"/>
  <c r="AQ42" i="25" s="1"/>
  <c r="I461" i="25"/>
  <c r="AQ461" i="25" s="1"/>
  <c r="I445" i="25"/>
  <c r="AQ445" i="25" s="1"/>
  <c r="I429" i="25"/>
  <c r="AQ429" i="25" s="1"/>
  <c r="I413" i="25"/>
  <c r="AQ413" i="25" s="1"/>
  <c r="I456" i="25"/>
  <c r="AQ456" i="25" s="1"/>
  <c r="AQ330" i="25"/>
  <c r="I231" i="25"/>
  <c r="AQ231" i="25" s="1"/>
  <c r="I215" i="25"/>
  <c r="AQ215" i="25" s="1"/>
  <c r="I119" i="25"/>
  <c r="AQ119" i="25" s="1"/>
  <c r="I360" i="25"/>
  <c r="AQ360" i="25" s="1"/>
  <c r="I312" i="25"/>
  <c r="AQ312" i="25" s="1"/>
  <c r="I296" i="25"/>
  <c r="AQ296" i="25" s="1"/>
  <c r="I280" i="25"/>
  <c r="AQ280" i="25" s="1"/>
  <c r="I264" i="25"/>
  <c r="AQ264" i="25" s="1"/>
  <c r="I56" i="25"/>
  <c r="I24" i="25"/>
  <c r="AQ24" i="25" s="1"/>
  <c r="AQ170" i="25"/>
  <c r="AQ458" i="25"/>
  <c r="I359" i="25"/>
  <c r="AQ359" i="25" s="1"/>
  <c r="I343" i="25"/>
  <c r="AQ343" i="25" s="1"/>
  <c r="I327" i="25"/>
  <c r="AQ327" i="25" s="1"/>
  <c r="I311" i="25"/>
  <c r="AQ311" i="25" s="1"/>
  <c r="I151" i="25"/>
  <c r="AQ151" i="25" s="1"/>
  <c r="I103" i="25"/>
  <c r="AQ103" i="25" s="1"/>
  <c r="I90" i="25"/>
  <c r="AQ90" i="25" s="1"/>
  <c r="I74" i="25"/>
  <c r="AQ74" i="25" s="1"/>
  <c r="I55" i="25"/>
  <c r="AQ55" i="25" s="1"/>
  <c r="I440" i="25"/>
  <c r="AQ440" i="25" s="1"/>
  <c r="I408" i="25"/>
  <c r="AQ408" i="25" s="1"/>
  <c r="I200" i="25"/>
  <c r="AQ200" i="25" s="1"/>
  <c r="I152" i="25"/>
  <c r="I136" i="25"/>
  <c r="AQ136" i="25" s="1"/>
  <c r="I120" i="25"/>
  <c r="AQ120" i="25" s="1"/>
  <c r="G477" i="25"/>
  <c r="AQ250" i="25"/>
  <c r="AQ298" i="25"/>
  <c r="AQ378" i="25"/>
  <c r="AQ56" i="25"/>
  <c r="AQ104" i="25"/>
  <c r="I471" i="25"/>
  <c r="AQ471" i="25" s="1"/>
  <c r="I455" i="25"/>
  <c r="I439" i="25"/>
  <c r="I423" i="25"/>
  <c r="AQ423" i="25" s="1"/>
  <c r="I407" i="25"/>
  <c r="AQ407" i="25" s="1"/>
  <c r="I279" i="25"/>
  <c r="AQ279" i="25" s="1"/>
  <c r="I263" i="25"/>
  <c r="AQ263" i="25" s="1"/>
  <c r="I247" i="25"/>
  <c r="AQ247" i="25" s="1"/>
  <c r="I199" i="25"/>
  <c r="AQ199" i="25" s="1"/>
  <c r="I183" i="25"/>
  <c r="AQ183" i="25" s="1"/>
  <c r="I167" i="25"/>
  <c r="AQ167" i="25" s="1"/>
  <c r="I135" i="25"/>
  <c r="AQ135" i="25" s="1"/>
  <c r="I23" i="25"/>
  <c r="AQ23" i="25" s="1"/>
  <c r="AQ57" i="25"/>
  <c r="AQ105" i="25"/>
  <c r="AQ153" i="25"/>
  <c r="AQ201" i="25"/>
  <c r="AQ249" i="25"/>
  <c r="AQ409" i="25"/>
  <c r="AQ455" i="25"/>
  <c r="AQ391" i="25"/>
  <c r="AQ168" i="25"/>
  <c r="AQ22" i="25"/>
  <c r="AQ166" i="25"/>
  <c r="AQ422" i="25"/>
  <c r="AQ439" i="25"/>
  <c r="AQ152" i="25"/>
  <c r="AQ232" i="25"/>
  <c r="AQ54" i="25"/>
  <c r="AQ86" i="25"/>
  <c r="AQ310" i="25"/>
  <c r="AQ342" i="25"/>
  <c r="AQ366" i="25"/>
  <c r="AQ102" i="25"/>
  <c r="AQ134" i="25"/>
  <c r="AQ246" i="25"/>
  <c r="AQ358" i="25"/>
  <c r="AQ390" i="25"/>
  <c r="AQ318" i="25"/>
  <c r="AQ462" i="25"/>
  <c r="AQ30" i="25"/>
  <c r="AQ78" i="25"/>
  <c r="AQ158" i="25"/>
  <c r="AQ206" i="25"/>
  <c r="AQ254" i="25"/>
  <c r="AQ414" i="25"/>
  <c r="AQ446" i="25"/>
  <c r="AQ437" i="25"/>
  <c r="AQ389" i="25"/>
  <c r="AQ341" i="25"/>
  <c r="AQ293" i="25"/>
  <c r="AQ245" i="25"/>
  <c r="AQ181" i="25"/>
  <c r="AQ101" i="25"/>
  <c r="AQ69" i="25"/>
  <c r="AQ53" i="25"/>
  <c r="AQ37" i="25"/>
  <c r="AQ21" i="25"/>
  <c r="AQ6" i="25"/>
  <c r="AQ38" i="25"/>
  <c r="AQ70" i="25"/>
  <c r="AQ118" i="25"/>
  <c r="AQ150" i="25"/>
  <c r="AQ182" i="25"/>
  <c r="AQ214" i="25"/>
  <c r="AQ262" i="25"/>
  <c r="AQ294" i="25"/>
  <c r="AQ326" i="25"/>
  <c r="AQ374" i="25"/>
  <c r="AQ406" i="25"/>
  <c r="AQ438" i="25"/>
  <c r="AQ470" i="25"/>
  <c r="AQ452" i="25"/>
  <c r="AQ404" i="25"/>
  <c r="AQ356" i="25"/>
  <c r="AQ308" i="25"/>
  <c r="AQ260" i="25"/>
  <c r="AQ212" i="25"/>
  <c r="AQ164" i="25"/>
  <c r="AQ116" i="25"/>
  <c r="AQ68" i="25"/>
  <c r="AQ20" i="25"/>
  <c r="AQ467" i="25"/>
  <c r="AQ435" i="25"/>
  <c r="AQ371" i="25"/>
  <c r="AQ291" i="25"/>
  <c r="AQ243" i="25"/>
  <c r="AQ195" i="25"/>
  <c r="AQ147" i="25"/>
  <c r="AQ115" i="25"/>
  <c r="AQ83" i="25"/>
  <c r="AQ19" i="25"/>
  <c r="AQ465" i="25"/>
  <c r="AQ449" i="25"/>
  <c r="AQ433" i="25"/>
  <c r="AQ417" i="25"/>
  <c r="AQ401" i="25"/>
  <c r="AQ385" i="25"/>
  <c r="AQ369" i="25"/>
  <c r="AQ353" i="25"/>
  <c r="AQ337" i="25"/>
  <c r="AQ321" i="25"/>
  <c r="AQ305" i="25"/>
  <c r="AQ289" i="25"/>
  <c r="AQ273" i="25"/>
  <c r="AQ257" i="25"/>
  <c r="AQ241" i="25"/>
  <c r="AQ225" i="25"/>
  <c r="AQ209" i="25"/>
  <c r="AQ193" i="25"/>
  <c r="AQ177" i="25"/>
  <c r="AQ161" i="25"/>
  <c r="AQ145" i="25"/>
  <c r="AQ129" i="25"/>
  <c r="AQ113" i="25"/>
  <c r="AQ97" i="25"/>
  <c r="AQ81" i="25"/>
  <c r="AQ65" i="25"/>
  <c r="AQ49" i="25"/>
  <c r="AQ33" i="25"/>
  <c r="AQ17" i="25"/>
  <c r="AQ464" i="25"/>
  <c r="AQ448" i="25"/>
  <c r="AQ432" i="25"/>
  <c r="AQ416" i="25"/>
  <c r="AQ400" i="25"/>
  <c r="AQ384" i="25"/>
  <c r="AQ368" i="25"/>
  <c r="AQ352" i="25"/>
  <c r="AQ336" i="25"/>
  <c r="AQ320" i="25"/>
  <c r="AQ304" i="25"/>
  <c r="AQ288" i="25"/>
  <c r="AQ272" i="25"/>
  <c r="AQ256" i="25"/>
  <c r="AQ240" i="25"/>
  <c r="AQ224" i="25"/>
  <c r="AQ208" i="25"/>
  <c r="AQ192" i="25"/>
  <c r="AQ176" i="25"/>
  <c r="AQ160" i="25"/>
  <c r="AQ144" i="25"/>
  <c r="AQ128" i="25"/>
  <c r="AQ112" i="25"/>
  <c r="AQ96" i="25"/>
  <c r="AQ80" i="25"/>
  <c r="AQ64" i="25"/>
  <c r="AQ48" i="25"/>
  <c r="AQ32" i="25"/>
  <c r="AQ16" i="25"/>
  <c r="AQ14" i="25"/>
  <c r="AQ468" i="25"/>
  <c r="AQ420" i="25"/>
  <c r="AQ372" i="25"/>
  <c r="AQ324" i="25"/>
  <c r="AQ276" i="25"/>
  <c r="AQ228" i="25"/>
  <c r="AQ196" i="25"/>
  <c r="AQ148" i="25"/>
  <c r="AQ100" i="25"/>
  <c r="AQ52" i="25"/>
  <c r="AQ451" i="25"/>
  <c r="AQ387" i="25"/>
  <c r="AQ355" i="25"/>
  <c r="AQ307" i="25"/>
  <c r="AQ259" i="25"/>
  <c r="AQ211" i="25"/>
  <c r="AQ163" i="25"/>
  <c r="AQ131" i="25"/>
  <c r="AQ99" i="25"/>
  <c r="AQ35" i="25"/>
  <c r="AQ274" i="25"/>
  <c r="AQ463" i="25"/>
  <c r="AQ415" i="25"/>
  <c r="AQ367" i="25"/>
  <c r="AQ319" i="25"/>
  <c r="AQ287" i="25"/>
  <c r="AQ271" i="25"/>
  <c r="AQ207" i="25"/>
  <c r="AQ191" i="25"/>
  <c r="AQ159" i="25"/>
  <c r="AQ79" i="25"/>
  <c r="AQ31" i="25"/>
  <c r="AQ436" i="25"/>
  <c r="AQ388" i="25"/>
  <c r="AQ340" i="25"/>
  <c r="AQ292" i="25"/>
  <c r="AQ244" i="25"/>
  <c r="AQ180" i="25"/>
  <c r="AQ132" i="25"/>
  <c r="AQ84" i="25"/>
  <c r="AQ36" i="25"/>
  <c r="AQ419" i="25"/>
  <c r="AQ339" i="25"/>
  <c r="AQ275" i="25"/>
  <c r="AQ179" i="25"/>
  <c r="AQ67" i="25"/>
  <c r="AQ434" i="25"/>
  <c r="AQ178" i="25"/>
  <c r="AQ130" i="25"/>
  <c r="AQ18" i="25"/>
  <c r="AQ403" i="25"/>
  <c r="AQ323" i="25"/>
  <c r="AQ227" i="25"/>
  <c r="AQ51" i="25"/>
  <c r="AQ386" i="25"/>
  <c r="AQ322" i="25"/>
  <c r="AQ226" i="25"/>
  <c r="I477" i="25" l="1"/>
  <c r="AQ477" i="25"/>
  <c r="X471" i="17" l="1"/>
  <c r="W471" i="17"/>
  <c r="V471" i="17"/>
  <c r="U471" i="17"/>
  <c r="T471" i="17"/>
  <c r="S471" i="17"/>
  <c r="R471" i="17"/>
  <c r="Q471" i="17"/>
  <c r="P471" i="17"/>
  <c r="O471" i="17"/>
  <c r="N471" i="17"/>
  <c r="M471" i="17"/>
  <c r="L471" i="17"/>
  <c r="K471" i="17"/>
  <c r="J471" i="17"/>
  <c r="I471" i="17"/>
  <c r="H471" i="17"/>
  <c r="G471" i="17"/>
  <c r="F471" i="17"/>
  <c r="E471" i="17"/>
  <c r="D471" i="17"/>
  <c r="C471" i="17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Y89" i="16"/>
  <c r="Y88" i="16"/>
  <c r="Y87" i="16"/>
  <c r="Y86" i="16"/>
  <c r="Y85" i="16"/>
  <c r="Y84" i="16"/>
  <c r="Y83" i="16"/>
  <c r="Y82" i="16"/>
  <c r="Y81" i="16"/>
  <c r="Y80" i="16"/>
  <c r="Y79" i="16"/>
  <c r="Y78" i="16"/>
  <c r="Y77" i="16"/>
  <c r="Y76" i="16"/>
  <c r="Y75" i="16"/>
  <c r="Y74" i="16"/>
  <c r="Y73" i="16"/>
  <c r="Y72" i="16"/>
  <c r="Y71" i="16"/>
  <c r="Y70" i="16"/>
  <c r="Y69" i="16"/>
  <c r="Y68" i="16"/>
  <c r="Y67" i="16"/>
  <c r="Y66" i="16"/>
  <c r="Y65" i="16"/>
  <c r="Y64" i="16"/>
  <c r="Y63" i="16"/>
  <c r="Y62" i="16"/>
  <c r="Y61" i="16"/>
  <c r="Y60" i="16"/>
  <c r="Y59" i="16"/>
  <c r="Y58" i="16"/>
  <c r="Y57" i="16"/>
  <c r="Y56" i="16"/>
  <c r="Y55" i="16"/>
  <c r="Y54" i="16"/>
  <c r="Y53" i="16"/>
  <c r="Y52" i="16"/>
  <c r="Y51" i="16"/>
  <c r="Y50" i="16"/>
  <c r="Y49" i="16"/>
  <c r="Y48" i="16"/>
  <c r="Y47" i="16"/>
  <c r="Y46" i="16"/>
  <c r="Y45" i="16"/>
  <c r="Y44" i="16"/>
  <c r="Y43" i="16"/>
  <c r="Y42" i="16"/>
  <c r="Y41" i="16"/>
  <c r="Y40" i="16"/>
  <c r="Y39" i="16"/>
  <c r="Y38" i="16"/>
  <c r="Y37" i="16"/>
  <c r="Y36" i="16"/>
  <c r="Y35" i="16"/>
  <c r="Y34" i="16"/>
  <c r="Y33" i="16"/>
  <c r="Y32" i="16"/>
  <c r="Y31" i="16"/>
  <c r="Y30" i="16"/>
  <c r="Y29" i="16"/>
  <c r="Y28" i="16"/>
  <c r="Y27" i="16"/>
  <c r="Y26" i="16"/>
  <c r="Y25" i="16"/>
  <c r="Y24" i="16"/>
  <c r="Y23" i="16"/>
  <c r="Y22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8" i="16"/>
  <c r="Y7" i="16"/>
  <c r="Y6" i="16"/>
  <c r="Y5" i="16"/>
  <c r="Y4" i="16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K27" i="32"/>
  <c r="J27" i="32"/>
  <c r="I27" i="32"/>
  <c r="H27" i="32"/>
  <c r="G27" i="32"/>
  <c r="F27" i="32"/>
  <c r="E27" i="32"/>
  <c r="D27" i="32"/>
  <c r="C27" i="32"/>
  <c r="B27" i="32"/>
  <c r="M26" i="32"/>
  <c r="L26" i="32"/>
  <c r="M25" i="32"/>
  <c r="L25" i="32"/>
  <c r="M24" i="32"/>
  <c r="L24" i="32"/>
  <c r="M23" i="32"/>
  <c r="L23" i="32"/>
  <c r="M22" i="32"/>
  <c r="L22" i="32"/>
  <c r="M21" i="32"/>
  <c r="L21" i="32"/>
  <c r="M20" i="32"/>
  <c r="L20" i="32"/>
  <c r="M19" i="32"/>
  <c r="L19" i="32"/>
  <c r="M18" i="32"/>
  <c r="L18" i="32"/>
  <c r="M17" i="32"/>
  <c r="L17" i="32"/>
  <c r="M16" i="32"/>
  <c r="L16" i="32"/>
  <c r="M15" i="32"/>
  <c r="L15" i="32"/>
  <c r="M14" i="32"/>
  <c r="L14" i="32"/>
  <c r="M13" i="32"/>
  <c r="L13" i="32"/>
  <c r="M12" i="32"/>
  <c r="L12" i="32"/>
  <c r="M11" i="32"/>
  <c r="L11" i="32"/>
  <c r="M10" i="32"/>
  <c r="L10" i="32"/>
  <c r="M9" i="32"/>
  <c r="L9" i="32"/>
  <c r="M8" i="32"/>
  <c r="L8" i="32"/>
  <c r="M7" i="32"/>
  <c r="L7" i="32"/>
  <c r="M6" i="32"/>
  <c r="L6" i="32"/>
  <c r="M5" i="32"/>
  <c r="L5" i="32"/>
  <c r="I28" i="14"/>
  <c r="H28" i="14"/>
  <c r="G28" i="14"/>
  <c r="F28" i="14"/>
  <c r="E28" i="14"/>
  <c r="D28" i="14"/>
  <c r="C28" i="14"/>
  <c r="B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I80" i="4"/>
  <c r="H80" i="4"/>
  <c r="G80" i="4"/>
  <c r="F80" i="4"/>
  <c r="E80" i="4"/>
  <c r="D80" i="4"/>
  <c r="C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7" i="4"/>
  <c r="K56" i="4"/>
  <c r="J56" i="4"/>
  <c r="K55" i="4"/>
  <c r="J55" i="4"/>
  <c r="K54" i="4"/>
  <c r="J54" i="4"/>
  <c r="K53" i="4"/>
  <c r="J53" i="4"/>
  <c r="K51" i="4"/>
  <c r="J51" i="4"/>
  <c r="K50" i="4"/>
  <c r="J50" i="4"/>
  <c r="K49" i="4"/>
  <c r="J49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J5" i="4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K24" i="13"/>
  <c r="L24" i="13"/>
  <c r="K25" i="13"/>
  <c r="L25" i="13"/>
  <c r="K26" i="13"/>
  <c r="L26" i="13"/>
  <c r="K27" i="13"/>
  <c r="L27" i="13"/>
  <c r="K28" i="13"/>
  <c r="L28" i="13"/>
  <c r="K29" i="13"/>
  <c r="L29" i="13"/>
  <c r="K30" i="13"/>
  <c r="L30" i="13"/>
  <c r="K31" i="13"/>
  <c r="L31" i="13"/>
  <c r="K32" i="13"/>
  <c r="L32" i="13"/>
  <c r="K33" i="13"/>
  <c r="L33" i="13"/>
  <c r="K34" i="13"/>
  <c r="L34" i="13"/>
  <c r="K35" i="13"/>
  <c r="L35" i="13"/>
  <c r="K36" i="13"/>
  <c r="L36" i="13"/>
  <c r="K37" i="13"/>
  <c r="L37" i="13"/>
  <c r="K38" i="13"/>
  <c r="L38" i="13"/>
  <c r="K39" i="13"/>
  <c r="L39" i="13"/>
  <c r="K40" i="13"/>
  <c r="L40" i="13"/>
  <c r="K41" i="13"/>
  <c r="L41" i="13"/>
  <c r="K42" i="13"/>
  <c r="L42" i="13"/>
  <c r="K43" i="13"/>
  <c r="L43" i="13"/>
  <c r="K44" i="13"/>
  <c r="L44" i="13"/>
  <c r="K45" i="13"/>
  <c r="L45" i="13"/>
  <c r="K46" i="13"/>
  <c r="L46" i="13"/>
  <c r="K47" i="13"/>
  <c r="L47" i="13"/>
  <c r="K48" i="13"/>
  <c r="L48" i="13"/>
  <c r="K49" i="13"/>
  <c r="L49" i="13"/>
  <c r="K50" i="13"/>
  <c r="L50" i="13"/>
  <c r="K51" i="13"/>
  <c r="L51" i="13"/>
  <c r="K52" i="13"/>
  <c r="L52" i="13"/>
  <c r="K53" i="13"/>
  <c r="L53" i="13"/>
  <c r="K54" i="13"/>
  <c r="L54" i="13"/>
  <c r="K55" i="13"/>
  <c r="L55" i="13"/>
  <c r="K56" i="13"/>
  <c r="L56" i="13"/>
  <c r="K57" i="13"/>
  <c r="L57" i="13"/>
  <c r="K58" i="13"/>
  <c r="L58" i="13"/>
  <c r="K59" i="13"/>
  <c r="L59" i="13"/>
  <c r="K60" i="13"/>
  <c r="L60" i="13"/>
  <c r="K61" i="13"/>
  <c r="L61" i="13"/>
  <c r="K62" i="13"/>
  <c r="L62" i="13"/>
  <c r="K63" i="13"/>
  <c r="L63" i="13"/>
  <c r="K64" i="13"/>
  <c r="L64" i="13"/>
  <c r="K65" i="13"/>
  <c r="L65" i="13"/>
  <c r="K66" i="13"/>
  <c r="L66" i="13"/>
  <c r="K67" i="13"/>
  <c r="L67" i="13"/>
  <c r="K68" i="13"/>
  <c r="L68" i="13"/>
  <c r="K69" i="13"/>
  <c r="L69" i="13"/>
  <c r="K70" i="13"/>
  <c r="L70" i="13"/>
  <c r="K71" i="13"/>
  <c r="L71" i="13"/>
  <c r="K72" i="13"/>
  <c r="L72" i="13"/>
  <c r="K73" i="13"/>
  <c r="L73" i="13"/>
  <c r="K74" i="13"/>
  <c r="L74" i="13"/>
  <c r="K75" i="13"/>
  <c r="L75" i="13"/>
  <c r="K76" i="13"/>
  <c r="L76" i="13"/>
  <c r="K77" i="13"/>
  <c r="L77" i="13"/>
  <c r="K78" i="13"/>
  <c r="L78" i="13"/>
  <c r="K79" i="13"/>
  <c r="L79" i="13"/>
  <c r="K80" i="13"/>
  <c r="L80" i="13"/>
  <c r="K81" i="13"/>
  <c r="L81" i="13"/>
  <c r="K82" i="13"/>
  <c r="L82" i="13"/>
  <c r="K83" i="13"/>
  <c r="L83" i="13"/>
  <c r="K84" i="13"/>
  <c r="L84" i="13"/>
  <c r="K85" i="13"/>
  <c r="L85" i="13"/>
  <c r="K86" i="13"/>
  <c r="L86" i="13"/>
  <c r="K87" i="13"/>
  <c r="L87" i="13"/>
  <c r="K88" i="13"/>
  <c r="L88" i="13"/>
  <c r="K89" i="13"/>
  <c r="L89" i="13"/>
  <c r="K90" i="13"/>
  <c r="L90" i="13"/>
  <c r="K91" i="13"/>
  <c r="L91" i="13"/>
  <c r="K92" i="13"/>
  <c r="L92" i="13"/>
  <c r="L5" i="13"/>
  <c r="K5" i="13"/>
  <c r="Y25" i="15" l="1"/>
  <c r="K28" i="14"/>
  <c r="J28" i="14"/>
  <c r="Y471" i="17"/>
  <c r="Y90" i="16"/>
  <c r="L27" i="32"/>
  <c r="M27" i="32"/>
  <c r="P27" i="9" l="1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L27" i="19"/>
  <c r="K27" i="19"/>
  <c r="J27" i="19"/>
  <c r="I27" i="19"/>
  <c r="H27" i="19"/>
  <c r="G27" i="19"/>
  <c r="F27" i="19"/>
  <c r="E27" i="19"/>
  <c r="D27" i="19"/>
  <c r="C27" i="19"/>
  <c r="N26" i="19"/>
  <c r="M26" i="19"/>
  <c r="N25" i="19"/>
  <c r="M25" i="19"/>
  <c r="N24" i="19"/>
  <c r="M24" i="19"/>
  <c r="N23" i="19"/>
  <c r="M23" i="19"/>
  <c r="N22" i="19"/>
  <c r="M22" i="19"/>
  <c r="N21" i="19"/>
  <c r="M21" i="19"/>
  <c r="N20" i="19"/>
  <c r="M20" i="19"/>
  <c r="N19" i="19"/>
  <c r="M19" i="19"/>
  <c r="N18" i="19"/>
  <c r="M18" i="19"/>
  <c r="N17" i="19"/>
  <c r="M17" i="19"/>
  <c r="N16" i="19"/>
  <c r="M16" i="19"/>
  <c r="N15" i="19"/>
  <c r="M15" i="19"/>
  <c r="N14" i="19"/>
  <c r="M14" i="19"/>
  <c r="N13" i="19"/>
  <c r="M13" i="19"/>
  <c r="N12" i="19"/>
  <c r="M12" i="19"/>
  <c r="N11" i="19"/>
  <c r="M11" i="19"/>
  <c r="N10" i="19"/>
  <c r="M10" i="19"/>
  <c r="N9" i="19"/>
  <c r="M9" i="19"/>
  <c r="N8" i="19"/>
  <c r="M8" i="19"/>
  <c r="N7" i="19"/>
  <c r="M7" i="19"/>
  <c r="N6" i="19"/>
  <c r="M6" i="19"/>
  <c r="N5" i="19"/>
  <c r="M5" i="19"/>
  <c r="J27" i="8"/>
  <c r="I27" i="8"/>
  <c r="H27" i="8"/>
  <c r="G27" i="8"/>
  <c r="F27" i="8"/>
  <c r="E27" i="8"/>
  <c r="D27" i="8"/>
  <c r="C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L8" i="8"/>
  <c r="K8" i="8"/>
  <c r="L7" i="8"/>
  <c r="K7" i="8"/>
  <c r="L6" i="8"/>
  <c r="K6" i="8"/>
  <c r="L5" i="8"/>
  <c r="K5" i="8"/>
  <c r="K27" i="8" l="1"/>
  <c r="L27" i="8"/>
  <c r="Q27" i="9"/>
  <c r="R27" i="9"/>
  <c r="N27" i="19"/>
  <c r="M27" i="19"/>
  <c r="D93" i="13"/>
  <c r="E93" i="13"/>
  <c r="F93" i="13"/>
  <c r="G93" i="13"/>
  <c r="H93" i="13"/>
  <c r="I93" i="13"/>
  <c r="J93" i="13"/>
  <c r="K93" i="13"/>
  <c r="L93" i="13"/>
  <c r="C93" i="13"/>
  <c r="I5" i="34" l="1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I110" i="34"/>
  <c r="I111" i="34"/>
  <c r="I112" i="34"/>
  <c r="I113" i="34"/>
  <c r="I114" i="34"/>
  <c r="I115" i="34"/>
  <c r="I116" i="34"/>
  <c r="I117" i="34"/>
  <c r="I118" i="34"/>
  <c r="I119" i="34"/>
  <c r="I120" i="34"/>
  <c r="I121" i="34"/>
  <c r="I122" i="34"/>
  <c r="I123" i="34"/>
  <c r="I124" i="34"/>
  <c r="I125" i="34"/>
  <c r="I126" i="34"/>
  <c r="I127" i="34"/>
  <c r="I128" i="34"/>
  <c r="I129" i="34"/>
  <c r="I130" i="34"/>
  <c r="I131" i="34"/>
  <c r="I132" i="34"/>
  <c r="I133" i="34"/>
  <c r="I134" i="34"/>
  <c r="I135" i="34"/>
  <c r="I136" i="34"/>
  <c r="I137" i="34"/>
  <c r="I138" i="34"/>
  <c r="I139" i="34"/>
  <c r="I140" i="34"/>
  <c r="I141" i="34"/>
  <c r="I142" i="34"/>
  <c r="I143" i="34"/>
  <c r="I144" i="34"/>
  <c r="I145" i="34"/>
  <c r="I146" i="34"/>
  <c r="I147" i="34"/>
  <c r="I148" i="34"/>
  <c r="I149" i="34"/>
  <c r="I150" i="34"/>
  <c r="I151" i="34"/>
  <c r="I152" i="34"/>
  <c r="I153" i="34"/>
  <c r="I154" i="34"/>
  <c r="I155" i="34"/>
  <c r="I156" i="34"/>
  <c r="I157" i="34"/>
  <c r="I158" i="34"/>
  <c r="I159" i="34"/>
  <c r="I160" i="34"/>
  <c r="I161" i="34"/>
  <c r="I162" i="34"/>
  <c r="I163" i="34"/>
  <c r="I164" i="34"/>
  <c r="I165" i="34"/>
  <c r="I166" i="34"/>
  <c r="I167" i="34"/>
  <c r="I168" i="34"/>
  <c r="I169" i="34"/>
  <c r="I170" i="34"/>
  <c r="I171" i="34"/>
  <c r="I172" i="34"/>
  <c r="I173" i="34"/>
  <c r="I174" i="34"/>
  <c r="I175" i="34"/>
  <c r="I176" i="34"/>
  <c r="I177" i="34"/>
  <c r="I178" i="34"/>
  <c r="I179" i="34"/>
  <c r="I180" i="34"/>
  <c r="I181" i="34"/>
  <c r="I182" i="34"/>
  <c r="I183" i="34"/>
  <c r="I184" i="34"/>
  <c r="I185" i="34"/>
  <c r="I186" i="34"/>
  <c r="I187" i="34"/>
  <c r="I188" i="34"/>
  <c r="I189" i="34"/>
  <c r="I190" i="34"/>
  <c r="I191" i="34"/>
  <c r="I192" i="34"/>
  <c r="I193" i="34"/>
  <c r="I194" i="34"/>
  <c r="I195" i="34"/>
  <c r="I196" i="34"/>
  <c r="I197" i="34"/>
  <c r="I198" i="34"/>
  <c r="I199" i="34"/>
  <c r="I200" i="34"/>
  <c r="I201" i="34"/>
  <c r="I202" i="34"/>
  <c r="I203" i="34"/>
  <c r="I204" i="34"/>
  <c r="I205" i="34"/>
  <c r="I206" i="34"/>
  <c r="I207" i="34"/>
  <c r="I208" i="34"/>
  <c r="I209" i="34"/>
  <c r="I210" i="34"/>
  <c r="I211" i="34"/>
  <c r="I212" i="34"/>
  <c r="I213" i="34"/>
  <c r="I214" i="34"/>
  <c r="I215" i="34"/>
  <c r="I216" i="34"/>
  <c r="I217" i="34"/>
  <c r="I218" i="34"/>
  <c r="I219" i="34"/>
  <c r="I220" i="34"/>
  <c r="I221" i="34"/>
  <c r="I222" i="34"/>
  <c r="I223" i="34"/>
  <c r="I224" i="34"/>
  <c r="I225" i="34"/>
  <c r="I226" i="34"/>
  <c r="I227" i="34"/>
  <c r="I228" i="34"/>
  <c r="I229" i="34"/>
  <c r="I230" i="34"/>
  <c r="I231" i="34"/>
  <c r="I232" i="34"/>
  <c r="I233" i="34"/>
  <c r="I234" i="34"/>
  <c r="I235" i="34"/>
  <c r="I236" i="34"/>
  <c r="I237" i="34"/>
  <c r="I238" i="34"/>
  <c r="I239" i="34"/>
  <c r="I240" i="34"/>
  <c r="I241" i="34"/>
  <c r="I242" i="34"/>
  <c r="I243" i="34"/>
  <c r="I244" i="34"/>
  <c r="I245" i="34"/>
  <c r="I246" i="34"/>
  <c r="I247" i="34"/>
  <c r="I248" i="34"/>
  <c r="I249" i="34"/>
  <c r="I250" i="34"/>
  <c r="I251" i="34"/>
  <c r="I252" i="34"/>
  <c r="I253" i="34"/>
  <c r="I254" i="34"/>
  <c r="I255" i="34"/>
  <c r="I256" i="34"/>
  <c r="I257" i="34"/>
  <c r="I258" i="34"/>
  <c r="I259" i="34"/>
  <c r="I260" i="34"/>
  <c r="I261" i="34"/>
  <c r="I262" i="34"/>
  <c r="I263" i="34"/>
  <c r="I264" i="34"/>
  <c r="I265" i="34"/>
  <c r="I266" i="34"/>
  <c r="I267" i="34"/>
  <c r="I268" i="34"/>
  <c r="I269" i="34"/>
  <c r="I270" i="34"/>
  <c r="I271" i="34"/>
  <c r="I272" i="34"/>
  <c r="I273" i="34"/>
  <c r="I274" i="34"/>
  <c r="I275" i="34"/>
  <c r="I276" i="34"/>
  <c r="I277" i="34"/>
  <c r="I278" i="34"/>
  <c r="I279" i="34"/>
  <c r="I280" i="34"/>
  <c r="I281" i="34"/>
  <c r="I282" i="34"/>
  <c r="I283" i="34"/>
  <c r="I284" i="34"/>
  <c r="I285" i="34"/>
  <c r="I286" i="34"/>
  <c r="I287" i="34"/>
  <c r="I288" i="34"/>
  <c r="I289" i="34"/>
  <c r="I290" i="34"/>
  <c r="I291" i="34"/>
  <c r="I292" i="34"/>
  <c r="I293" i="34"/>
  <c r="I294" i="34"/>
  <c r="I295" i="34"/>
  <c r="I296" i="34"/>
  <c r="I297" i="34"/>
  <c r="I298" i="34"/>
  <c r="I299" i="34"/>
  <c r="I300" i="34"/>
  <c r="I301" i="34"/>
  <c r="I302" i="34"/>
  <c r="I303" i="34"/>
  <c r="I304" i="34"/>
  <c r="I305" i="34"/>
  <c r="I306" i="34"/>
  <c r="I307" i="34"/>
  <c r="I308" i="34"/>
  <c r="I309" i="34"/>
  <c r="I310" i="34"/>
  <c r="I311" i="34"/>
  <c r="I312" i="34"/>
  <c r="I313" i="34"/>
  <c r="I314" i="34"/>
  <c r="I315" i="34"/>
  <c r="I316" i="34"/>
  <c r="I317" i="34"/>
  <c r="I318" i="34"/>
  <c r="I319" i="34"/>
  <c r="I320" i="34"/>
  <c r="I321" i="34"/>
  <c r="I322" i="34"/>
  <c r="I323" i="34"/>
  <c r="I324" i="34"/>
  <c r="I325" i="34"/>
  <c r="I326" i="34"/>
  <c r="I327" i="34"/>
  <c r="I328" i="34"/>
  <c r="I329" i="34"/>
  <c r="I330" i="34"/>
  <c r="I331" i="34"/>
  <c r="I332" i="34"/>
  <c r="I333" i="34"/>
  <c r="I334" i="34"/>
  <c r="I335" i="34"/>
  <c r="I336" i="34"/>
  <c r="I337" i="34"/>
  <c r="I338" i="34"/>
  <c r="I339" i="34"/>
  <c r="I340" i="34"/>
  <c r="I341" i="34"/>
  <c r="I342" i="34"/>
  <c r="I343" i="34"/>
  <c r="I344" i="34"/>
  <c r="I345" i="34"/>
  <c r="I346" i="34"/>
  <c r="I347" i="34"/>
  <c r="I348" i="34"/>
  <c r="I349" i="34"/>
  <c r="I350" i="34"/>
  <c r="I351" i="34"/>
  <c r="I352" i="34"/>
  <c r="I353" i="34"/>
  <c r="I354" i="34"/>
  <c r="I355" i="34"/>
  <c r="I356" i="34"/>
  <c r="I357" i="34"/>
  <c r="I358" i="34"/>
  <c r="I359" i="34"/>
  <c r="I360" i="34"/>
  <c r="I361" i="34"/>
  <c r="I362" i="34"/>
  <c r="I363" i="34"/>
  <c r="I364" i="34"/>
  <c r="I365" i="34"/>
  <c r="I366" i="34"/>
  <c r="I367" i="34"/>
  <c r="I368" i="34"/>
  <c r="I369" i="34"/>
  <c r="I370" i="34"/>
  <c r="I371" i="34"/>
  <c r="I372" i="34"/>
  <c r="I373" i="34"/>
  <c r="I374" i="34"/>
  <c r="I375" i="34"/>
  <c r="I376" i="34"/>
  <c r="I377" i="34"/>
  <c r="I378" i="34"/>
  <c r="I379" i="34"/>
  <c r="I380" i="34"/>
  <c r="I381" i="34"/>
  <c r="I382" i="34"/>
  <c r="I383" i="34"/>
  <c r="I384" i="34"/>
  <c r="I385" i="34"/>
  <c r="I386" i="34"/>
  <c r="I387" i="34"/>
  <c r="I388" i="34"/>
  <c r="I389" i="34"/>
  <c r="I390" i="34"/>
  <c r="I391" i="34"/>
  <c r="I392" i="34"/>
  <c r="I393" i="34"/>
  <c r="I394" i="34"/>
  <c r="I395" i="34"/>
  <c r="I396" i="34"/>
  <c r="I397" i="34"/>
  <c r="I398" i="34"/>
  <c r="I399" i="34"/>
  <c r="I400" i="34"/>
  <c r="I401" i="34"/>
  <c r="I402" i="34"/>
  <c r="I403" i="34"/>
  <c r="I404" i="34"/>
  <c r="I405" i="34"/>
  <c r="I406" i="34"/>
  <c r="I407" i="34"/>
  <c r="I408" i="34"/>
  <c r="I409" i="34"/>
  <c r="I410" i="34"/>
  <c r="I411" i="34"/>
  <c r="I412" i="34"/>
  <c r="I413" i="34"/>
  <c r="I414" i="34"/>
  <c r="I415" i="34"/>
  <c r="I416" i="34"/>
  <c r="I417" i="34"/>
  <c r="I418" i="34"/>
  <c r="I419" i="34"/>
  <c r="I420" i="34"/>
  <c r="I421" i="34"/>
  <c r="I422" i="34"/>
  <c r="I423" i="34"/>
  <c r="I424" i="34"/>
  <c r="I425" i="34"/>
  <c r="I426" i="34"/>
  <c r="I427" i="34"/>
  <c r="I428" i="34"/>
  <c r="I429" i="34"/>
  <c r="I430" i="34"/>
  <c r="I431" i="34"/>
  <c r="I432" i="34"/>
  <c r="I433" i="34"/>
  <c r="I434" i="34"/>
  <c r="I435" i="34"/>
  <c r="I436" i="34"/>
  <c r="I437" i="34"/>
  <c r="I438" i="34"/>
  <c r="I439" i="34"/>
  <c r="I440" i="34"/>
  <c r="I441" i="34"/>
  <c r="I442" i="34"/>
  <c r="I443" i="34"/>
  <c r="I444" i="34"/>
  <c r="I445" i="34"/>
  <c r="I446" i="34"/>
  <c r="I447" i="34"/>
  <c r="I448" i="34"/>
  <c r="I449" i="34"/>
  <c r="I450" i="34"/>
  <c r="I451" i="34"/>
  <c r="I452" i="34"/>
  <c r="I453" i="34"/>
  <c r="I454" i="34"/>
  <c r="I455" i="34"/>
  <c r="I456" i="34"/>
  <c r="I457" i="34"/>
  <c r="I458" i="34"/>
  <c r="I459" i="34"/>
  <c r="I460" i="34"/>
  <c r="I461" i="34"/>
  <c r="I462" i="34"/>
  <c r="I463" i="34"/>
  <c r="I464" i="34"/>
  <c r="I465" i="34"/>
  <c r="I466" i="34"/>
  <c r="I467" i="34"/>
  <c r="I468" i="34"/>
  <c r="I469" i="34"/>
  <c r="I470" i="34"/>
  <c r="I471" i="34"/>
  <c r="I472" i="34"/>
  <c r="I473" i="34"/>
  <c r="I474" i="34"/>
  <c r="I475" i="34"/>
  <c r="I4" i="34"/>
  <c r="E476" i="34"/>
  <c r="F476" i="34"/>
  <c r="G476" i="34"/>
  <c r="H476" i="34"/>
  <c r="D476" i="34"/>
  <c r="K477" i="2"/>
  <c r="D477" i="2"/>
  <c r="E477" i="2"/>
  <c r="F477" i="2"/>
  <c r="G477" i="2"/>
  <c r="H477" i="2"/>
  <c r="I477" i="2"/>
  <c r="J477" i="2"/>
  <c r="L477" i="2"/>
  <c r="C477" i="2"/>
  <c r="I476" i="34" l="1"/>
</calcChain>
</file>

<file path=xl/sharedStrings.xml><?xml version="1.0" encoding="utf-8"?>
<sst xmlns="http://schemas.openxmlformats.org/spreadsheetml/2006/main" count="8146" uniqueCount="1441">
  <si>
    <t>Tabla 1. Estructura Empresarial según tipo de sociedad (Total empresas y activos ($))</t>
  </si>
  <si>
    <t>Volver al índice</t>
  </si>
  <si>
    <t>Tipo de sociedad</t>
  </si>
  <si>
    <t>No. De Empresas</t>
  </si>
  <si>
    <t>Activos</t>
  </si>
  <si>
    <t>Personas Naturales</t>
  </si>
  <si>
    <t>Sociedad Limitada</t>
  </si>
  <si>
    <t>Sociedad Anónima</t>
  </si>
  <si>
    <t>Sociedad Colectiva</t>
  </si>
  <si>
    <t>Sociedad En Comandita Simple</t>
  </si>
  <si>
    <t>Sociedad En Comandita por Acciones</t>
  </si>
  <si>
    <t>Sociedad de Sucursal Extranjera</t>
  </si>
  <si>
    <t>Sociedades Unipersonales</t>
  </si>
  <si>
    <t>Empresa Asociativa de Trabajo</t>
  </si>
  <si>
    <t>Agrícolas de transformación</t>
  </si>
  <si>
    <t>Sociedad por Acciones Simplificada</t>
  </si>
  <si>
    <t>Total general</t>
  </si>
  <si>
    <t>Fuente: Cámara de Comercio de Medellín para Antioquia, Base del Registro Mercantil (69 Municipios)</t>
  </si>
  <si>
    <t>Secciones</t>
  </si>
  <si>
    <t>Descripción</t>
  </si>
  <si>
    <t>Total Empresas</t>
  </si>
  <si>
    <t>Total Activos</t>
  </si>
  <si>
    <t>Micro</t>
  </si>
  <si>
    <t>Pequeña</t>
  </si>
  <si>
    <t>Mediana</t>
  </si>
  <si>
    <t>Grande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</si>
  <si>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</si>
  <si>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</si>
  <si>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</si>
  <si>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</si>
  <si>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</si>
  <si>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</si>
  <si>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</t>
  </si>
  <si>
    <t>Suministro de electricidad, gas, vapor y aire acondicionado</t>
  </si>
  <si>
    <t>E</t>
  </si>
  <si>
    <t>Distribución de agua; evacuación y tratamiento de aguas residuales, gestión de desechos y actividades de saneamiento ambiental</t>
  </si>
  <si>
    <t>F</t>
  </si>
  <si>
    <t>Construcción</t>
  </si>
  <si>
    <t>G</t>
  </si>
  <si>
    <t>Comercio al por mayor y al por menor; reparación de vehículos automotores y motocicletas</t>
  </si>
  <si>
    <t>H</t>
  </si>
  <si>
    <t>Transporte y almacenamiento</t>
  </si>
  <si>
    <t>I</t>
  </si>
  <si>
    <t>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</si>
  <si>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</si>
  <si>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</si>
  <si>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</si>
  <si>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</si>
  <si>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</si>
  <si>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</si>
  <si>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</si>
  <si>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</si>
  <si>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</si>
  <si>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de servicios administrativos y de apoyo</t>
  </si>
  <si>
    <t>O</t>
  </si>
  <si>
    <t>Administración pública y defensa; planes de seguridad social de afiliación obligatoria</t>
  </si>
  <si>
    <t>P</t>
  </si>
  <si>
    <t>Educación</t>
  </si>
  <si>
    <t>Q</t>
  </si>
  <si>
    <t>Actividades de atención de la salud humana y de asistencia social</t>
  </si>
  <si>
    <t>R</t>
  </si>
  <si>
    <t>Actividades artísticas, de entretenimiento y recreación</t>
  </si>
  <si>
    <t>S</t>
  </si>
  <si>
    <t>Otras actividades de servicios</t>
  </si>
  <si>
    <t>T</t>
  </si>
  <si>
    <t>Actividades de los hogares en calidad de empleadores; actividades no diferenciadas de los hogares individuales como productores de bienes y servicios para uso propio</t>
  </si>
  <si>
    <t>U</t>
  </si>
  <si>
    <t>Actividades de organizaciones y entidades extraterritoriales</t>
  </si>
  <si>
    <t>Rentistas de Capital</t>
  </si>
  <si>
    <t>Sin Ciiu</t>
  </si>
  <si>
    <t>No informa actividad</t>
  </si>
  <si>
    <t>Medellín</t>
  </si>
  <si>
    <t>Suroeste</t>
  </si>
  <si>
    <t>Norte</t>
  </si>
  <si>
    <t>Bajo Cauca</t>
  </si>
  <si>
    <t>Norte del Valle de Aburrá</t>
  </si>
  <si>
    <t>Occidente</t>
  </si>
  <si>
    <t>Otros</t>
  </si>
  <si>
    <t>Total CCMA</t>
  </si>
  <si>
    <t>Total Medellín</t>
  </si>
  <si>
    <t>Total Suroeste</t>
  </si>
  <si>
    <t>Total Norte</t>
  </si>
  <si>
    <t>Total Bajo Cauca</t>
  </si>
  <si>
    <t>Total Occidente</t>
  </si>
  <si>
    <t>Número de Empresas</t>
  </si>
  <si>
    <t>Valor Activos</t>
  </si>
  <si>
    <t>No. Empresas</t>
  </si>
  <si>
    <t>No. De empresas</t>
  </si>
  <si>
    <t>Valor activos</t>
  </si>
  <si>
    <t>División</t>
  </si>
  <si>
    <t>01</t>
  </si>
  <si>
    <t>Agricultura, ganadería, caza y actividades de servicios conexas</t>
  </si>
  <si>
    <t>02</t>
  </si>
  <si>
    <t>Silvicultura y extracción de madera</t>
  </si>
  <si>
    <t>03</t>
  </si>
  <si>
    <t>Pesca y acuicultura</t>
  </si>
  <si>
    <t>05</t>
  </si>
  <si>
    <t>Extracción de carbón de piedra y lignito</t>
  </si>
  <si>
    <t>07</t>
  </si>
  <si>
    <t>Extracción de minerales metalíferos</t>
  </si>
  <si>
    <t>08</t>
  </si>
  <si>
    <t>Extracción de otras minas y canteras</t>
  </si>
  <si>
    <t>09</t>
  </si>
  <si>
    <t>Actividades de servicios de apoyo para la explotación de minas y canteras</t>
  </si>
  <si>
    <t>10</t>
  </si>
  <si>
    <t>Elaboración de productos alimenticios</t>
  </si>
  <si>
    <t>11</t>
  </si>
  <si>
    <t>Elaboración de bebidas</t>
  </si>
  <si>
    <t>12</t>
  </si>
  <si>
    <t>Elaboración de productos de tabaco</t>
  </si>
  <si>
    <t>13</t>
  </si>
  <si>
    <t>Fabricación de productos textiles</t>
  </si>
  <si>
    <t>14</t>
  </si>
  <si>
    <t>Confección de prendas de vestir</t>
  </si>
  <si>
    <t>15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</si>
  <si>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</si>
  <si>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16</t>
  </si>
  <si>
    <t>Transformación de la madera y fabricación de productos de madera y de corcho, excepto muebles; fabricación de artículos de cestería y espartería</t>
  </si>
  <si>
    <t>17</t>
  </si>
  <si>
    <t>Fabricación de papel, cartón y productos de papel y cartón</t>
  </si>
  <si>
    <t>18</t>
  </si>
  <si>
    <t>Actividades de impresión y de producción de copias a partir de grabaciones originales</t>
  </si>
  <si>
    <t>19</t>
  </si>
  <si>
    <t>Coquización, fabricación de productos de la refinación del petróleo y actividad de mezcla de combustibles</t>
  </si>
  <si>
    <t>20</t>
  </si>
  <si>
    <t>Fabricación de sustancias y productos químicos</t>
  </si>
  <si>
    <t>21</t>
  </si>
  <si>
    <t>Fabricación de productos farmacéuticos, sustancias químicas medicinales y productos botánicos de uso farmacéutico</t>
  </si>
  <si>
    <t>22</t>
  </si>
  <si>
    <t>Fabricación de productos de caucho y de plástico</t>
  </si>
  <si>
    <t>23</t>
  </si>
  <si>
    <t>Fabricación de otros productos minerales no metálicos</t>
  </si>
  <si>
    <t>24</t>
  </si>
  <si>
    <t>Fabricación de productos metalúrgicos básicos</t>
  </si>
  <si>
    <t>25</t>
  </si>
  <si>
    <t>Fabricación de productos elaborados de metal, excepto maquinaria y equipo</t>
  </si>
  <si>
    <t>26</t>
  </si>
  <si>
    <t>Fabricación de productos informáticos, electrónicos y ópticos</t>
  </si>
  <si>
    <t>27</t>
  </si>
  <si>
    <t>Fabricación de aparatos y equipo eléctrico</t>
  </si>
  <si>
    <t>28</t>
  </si>
  <si>
    <t>Fabricación de maquinaria y equipo n.c.p.</t>
  </si>
  <si>
    <t>29</t>
  </si>
  <si>
    <t>Fabricación de vehículos automotores, remolques y semirremolques</t>
  </si>
  <si>
    <t>30</t>
  </si>
  <si>
    <t>Fabricación de otros tipos de equipo de transporte</t>
  </si>
  <si>
    <t>31</t>
  </si>
  <si>
    <t>Fabricación de muebles, colchones y somieres</t>
  </si>
  <si>
    <t>32</t>
  </si>
  <si>
    <t>Otras industrias manufactureras</t>
  </si>
  <si>
    <t>33</t>
  </si>
  <si>
    <t>Instalación, mantenimiento y reparación especializado de maquinaria y equipo</t>
  </si>
  <si>
    <t>35</t>
  </si>
  <si>
    <t>36</t>
  </si>
  <si>
    <t>Captación, tratamiento y distribución de agua</t>
  </si>
  <si>
    <t>37</t>
  </si>
  <si>
    <t>Evacuación y tratamiento de aguas residuales</t>
  </si>
  <si>
    <t>38</t>
  </si>
  <si>
    <t>Recolección, tratamiento y disposición de desechos, recuperación de materiales</t>
  </si>
  <si>
    <t>39</t>
  </si>
  <si>
    <t>Actividades de saneamiento ambiental y otros servicios de gestión de desechos</t>
  </si>
  <si>
    <t>41</t>
  </si>
  <si>
    <t>Construcción de edificios</t>
  </si>
  <si>
    <t>42</t>
  </si>
  <si>
    <t>Obras de ingeniería civil</t>
  </si>
  <si>
    <t>43</t>
  </si>
  <si>
    <t>Actividades especializadas para la construcción de edificios y obras de ingeniería civil</t>
  </si>
  <si>
    <t>45</t>
  </si>
  <si>
    <t>Comercio, mantenimiento y reparación de vehículos automotores y motocicletas, sus partes, piezas y accesorios</t>
  </si>
  <si>
    <t>46</t>
  </si>
  <si>
    <t>Comercio al por mayor y en comisión o por contrata, excepto el comercio de vehículos automotores y motocicletas</t>
  </si>
  <si>
    <t>47</t>
  </si>
  <si>
    <t>Comercio al por menor (incluso el comercio al por menor de combustibles), excepto el de vehículos automotores y motocicletas</t>
  </si>
  <si>
    <t>49</t>
  </si>
  <si>
    <t>Transporte terrestre; transporte por tuberías</t>
  </si>
  <si>
    <t>50</t>
  </si>
  <si>
    <t>Transporte acuático</t>
  </si>
  <si>
    <t>51</t>
  </si>
  <si>
    <t>Transporte aéreo</t>
  </si>
  <si>
    <t>52</t>
  </si>
  <si>
    <t>Almacenamiento y actividades complementarias al transporte</t>
  </si>
  <si>
    <t>53</t>
  </si>
  <si>
    <t>Correo y servicios de mensajería</t>
  </si>
  <si>
    <t>55</t>
  </si>
  <si>
    <t>Alojamiento</t>
  </si>
  <si>
    <t>56</t>
  </si>
  <si>
    <t>Actividades de servicios de comidas y bebidas</t>
  </si>
  <si>
    <t>58</t>
  </si>
  <si>
    <t>Actividades de edición</t>
  </si>
  <si>
    <t>59</t>
  </si>
  <si>
    <t>Actividades cinematográficas, de video y producción de programas de televisión, grabación de sonido y edición de música</t>
  </si>
  <si>
    <t>60</t>
  </si>
  <si>
    <t>Actividades de programación, transmisión y/o difusión</t>
  </si>
  <si>
    <t>61</t>
  </si>
  <si>
    <t>Telecomunicaciones</t>
  </si>
  <si>
    <t>62</t>
  </si>
  <si>
    <t>Desarrollo de sistemas informáticos (planificación, análisis, diseño, programación, pruebas), consultoría informática y actividades relacionadas</t>
  </si>
  <si>
    <t>63</t>
  </si>
  <si>
    <t>Actividades de servicios de información</t>
  </si>
  <si>
    <t>64</t>
  </si>
  <si>
    <t>Actividades de servicios financieros, excepto las de seguros y de pensiones</t>
  </si>
  <si>
    <t>65</t>
  </si>
  <si>
    <t>Seguros (incluso el reaseguro), seguros sociales y fondos de pensiones, excepto la seguridad social</t>
  </si>
  <si>
    <t>66</t>
  </si>
  <si>
    <t>Actividades auxiliares de las actividades de servicios financieros</t>
  </si>
  <si>
    <t>68</t>
  </si>
  <si>
    <t>69</t>
  </si>
  <si>
    <t>Actividades jurídicas y de contabilidad</t>
  </si>
  <si>
    <t>70</t>
  </si>
  <si>
    <t>Actividades de administración empresarial; actividades de consultoría de gestión</t>
  </si>
  <si>
    <t>71</t>
  </si>
  <si>
    <t>Actividades de arquitectura e ingeniería; ensayos y análisis técnicos</t>
  </si>
  <si>
    <t>72</t>
  </si>
  <si>
    <t>Investigación científica y desarrollo</t>
  </si>
  <si>
    <t>73</t>
  </si>
  <si>
    <t>Publicidad y estudios de mercado</t>
  </si>
  <si>
    <t>74</t>
  </si>
  <si>
    <t>Otras actividades profesionales, científicas y técnicas</t>
  </si>
  <si>
    <t>75</t>
  </si>
  <si>
    <t>Actividades veterinarias</t>
  </si>
  <si>
    <t>77</t>
  </si>
  <si>
    <t>Actividades de alquiler y arrendamiento</t>
  </si>
  <si>
    <t>78</t>
  </si>
  <si>
    <t>Actividades de empleo</t>
  </si>
  <si>
    <t>79</t>
  </si>
  <si>
    <t>Actividades de las agencias de viajes, operadores turísticos, servicios de reserva y actividades relacionadas</t>
  </si>
  <si>
    <t>80</t>
  </si>
  <si>
    <t>Actividades de seguridad e investigación privada</t>
  </si>
  <si>
    <t>81</t>
  </si>
  <si>
    <t>Actividades de servicios a edificios y paisajismo (jardines, zonas verdes)</t>
  </si>
  <si>
    <t>82</t>
  </si>
  <si>
    <t>Actividades administrativas y de apoyo de oficina y otras actividades de apoyo a las empresas</t>
  </si>
  <si>
    <t>84</t>
  </si>
  <si>
    <t>85</t>
  </si>
  <si>
    <t>86</t>
  </si>
  <si>
    <t>Actividades de atención de la salud humana</t>
  </si>
  <si>
    <t>87</t>
  </si>
  <si>
    <t>Actividades de atención residencial medicalizada</t>
  </si>
  <si>
    <t>88</t>
  </si>
  <si>
    <t>Actividades de asistencia social sin alojamiento</t>
  </si>
  <si>
    <t>90</t>
  </si>
  <si>
    <t>Actividades creativas, artísticas y de entretenimiento</t>
  </si>
  <si>
    <t>91</t>
  </si>
  <si>
    <t>Actividades de bibliotecas, archivos, museos y otras actividades culturales</t>
  </si>
  <si>
    <t>92</t>
  </si>
  <si>
    <t>Actividades de juegos de azar y apuestas</t>
  </si>
  <si>
    <t>93</t>
  </si>
  <si>
    <t>Actividades deportivas y actividades recreativas y de esparcimiento</t>
  </si>
  <si>
    <t>94</t>
  </si>
  <si>
    <t>Actividades de asociaciones</t>
  </si>
  <si>
    <t>95</t>
  </si>
  <si>
    <t>Mantenimiento y reparación de computadores, efectos personales y enseres domésticos</t>
  </si>
  <si>
    <t>96</t>
  </si>
  <si>
    <t>Otras actividades de servicios personales</t>
  </si>
  <si>
    <t>97</t>
  </si>
  <si>
    <t>Actividades de los hogares individuales como empleadores de personal doméstico</t>
  </si>
  <si>
    <t>98</t>
  </si>
  <si>
    <t>Actividades no diferenciadas de los hogares individuales como productores de bienes y servicios para uso propio</t>
  </si>
  <si>
    <t>Centro Regional/Mpios</t>
  </si>
  <si>
    <t>Total empresas</t>
  </si>
  <si>
    <t>Total activos</t>
  </si>
  <si>
    <t>MEDELLÍN</t>
  </si>
  <si>
    <t>AMAGA</t>
  </si>
  <si>
    <t>ANDES</t>
  </si>
  <si>
    <t>ANGELOPOLIS</t>
  </si>
  <si>
    <t>BETANIA</t>
  </si>
  <si>
    <t>BETULIA</t>
  </si>
  <si>
    <t>CAICEDO</t>
  </si>
  <si>
    <t>CARAMANTA</t>
  </si>
  <si>
    <t>CIUDAD BOLIVAR</t>
  </si>
  <si>
    <t>CONCORDIA</t>
  </si>
  <si>
    <t>FREDONIA</t>
  </si>
  <si>
    <t>HISPANIA</t>
  </si>
  <si>
    <t>JARDIN</t>
  </si>
  <si>
    <t>JERICÓ</t>
  </si>
  <si>
    <t>LA PINTADA</t>
  </si>
  <si>
    <t>MONTEBELLO</t>
  </si>
  <si>
    <t>SALGAR</t>
  </si>
  <si>
    <t>SANTA BARBARA</t>
  </si>
  <si>
    <t>TAMESIS</t>
  </si>
  <si>
    <t>TARSO</t>
  </si>
  <si>
    <t>TITIRIBI</t>
  </si>
  <si>
    <t>URRAO</t>
  </si>
  <si>
    <t>VALPARAISO</t>
  </si>
  <si>
    <t>VENECIA</t>
  </si>
  <si>
    <t>ANGOSTURA</t>
  </si>
  <si>
    <t>BELMIRA</t>
  </si>
  <si>
    <t>BRICEÑO</t>
  </si>
  <si>
    <t>CAMPAMENTO</t>
  </si>
  <si>
    <t>DON MATIAS</t>
  </si>
  <si>
    <t>ENTRERRIOS</t>
  </si>
  <si>
    <t>GÓMEZ PLATA</t>
  </si>
  <si>
    <t>GUADALUPE</t>
  </si>
  <si>
    <t>ITUANGO</t>
  </si>
  <si>
    <t>SAN JOSE DE LA MONTAÑA</t>
  </si>
  <si>
    <t>SAN PEDRO DE LOS MILAGROS</t>
  </si>
  <si>
    <t>SANTA ROSA DE OSOS</t>
  </si>
  <si>
    <t>TOLEDO</t>
  </si>
  <si>
    <t>VALDIVIA</t>
  </si>
  <si>
    <t>YARUMAL</t>
  </si>
  <si>
    <t>CÁCERES</t>
  </si>
  <si>
    <t>CAUCASIA</t>
  </si>
  <si>
    <t>TARAZA</t>
  </si>
  <si>
    <t>BARBOSA</t>
  </si>
  <si>
    <t>BELLO</t>
  </si>
  <si>
    <t>COPACABANA</t>
  </si>
  <si>
    <t>GIRARDOTA</t>
  </si>
  <si>
    <t>SANTO DOMINGO</t>
  </si>
  <si>
    <t>ABRIAQUI</t>
  </si>
  <si>
    <t>ANZA</t>
  </si>
  <si>
    <t>ARMENIA</t>
  </si>
  <si>
    <t>BURITICA</t>
  </si>
  <si>
    <t>CAÑASGORDAS</t>
  </si>
  <si>
    <t>EBEJICO</t>
  </si>
  <si>
    <t>FRONTINO</t>
  </si>
  <si>
    <t>GIRALDO</t>
  </si>
  <si>
    <t>HELICONIA</t>
  </si>
  <si>
    <t>LIBORINA</t>
  </si>
  <si>
    <t>MURINDÓ</t>
  </si>
  <si>
    <t>OLAYA</t>
  </si>
  <si>
    <t>PEQUE</t>
  </si>
  <si>
    <t>SABANALARGA</t>
  </si>
  <si>
    <t>SAN JERÓNIMO</t>
  </si>
  <si>
    <t>SANTAFE DE ANTIOQUIA</t>
  </si>
  <si>
    <t>SOPETRAN</t>
  </si>
  <si>
    <t>URAMITA</t>
  </si>
  <si>
    <t>VIGIA DEL FUERTE</t>
  </si>
  <si>
    <t>Ciiu</t>
  </si>
  <si>
    <t>0090</t>
  </si>
  <si>
    <t>0111</t>
  </si>
  <si>
    <t>0112</t>
  </si>
  <si>
    <t>0113</t>
  </si>
  <si>
    <t>0115</t>
  </si>
  <si>
    <t>0119</t>
  </si>
  <si>
    <t>Otros cultivos transitorios n.c.p.</t>
  </si>
  <si>
    <t>0121</t>
  </si>
  <si>
    <t>Cultivo de frutas tropicales y subtropicales</t>
  </si>
  <si>
    <t>0122</t>
  </si>
  <si>
    <t>Cultivo de plátano y banano</t>
  </si>
  <si>
    <t>0123</t>
  </si>
  <si>
    <t>Cultivo de café</t>
  </si>
  <si>
    <t>0124</t>
  </si>
  <si>
    <t>Cultivo de caña de azúcar</t>
  </si>
  <si>
    <t>0125</t>
  </si>
  <si>
    <t>Cultivo de flor de corte</t>
  </si>
  <si>
    <t>0126</t>
  </si>
  <si>
    <t>Cultivo de palma para aceite (palma africana) y otros frutos oleaginosos</t>
  </si>
  <si>
    <t>0127</t>
  </si>
  <si>
    <t>Cultivo de plantas con las que se preparan bebidas</t>
  </si>
  <si>
    <t>0128</t>
  </si>
  <si>
    <t>0129</t>
  </si>
  <si>
    <t>Otros cultivos permanentes n.c.p.</t>
  </si>
  <si>
    <t>0130</t>
  </si>
  <si>
    <t>0141</t>
  </si>
  <si>
    <t>Cría de ganado bovino y bufalino</t>
  </si>
  <si>
    <t>0142</t>
  </si>
  <si>
    <t>0143</t>
  </si>
  <si>
    <t>0144</t>
  </si>
  <si>
    <t>Cría de ganado porcino</t>
  </si>
  <si>
    <t>0145</t>
  </si>
  <si>
    <t>Cría de aves de corral</t>
  </si>
  <si>
    <t>0149</t>
  </si>
  <si>
    <t>Cría de otros animales n.c.p.</t>
  </si>
  <si>
    <t>0150</t>
  </si>
  <si>
    <t>0161</t>
  </si>
  <si>
    <t>0162</t>
  </si>
  <si>
    <t>Actividades de apoyo a la ganadería</t>
  </si>
  <si>
    <t>0163</t>
  </si>
  <si>
    <t>0164</t>
  </si>
  <si>
    <t>0210</t>
  </si>
  <si>
    <t>Silvicultura y otras actividades forestales</t>
  </si>
  <si>
    <t>0220</t>
  </si>
  <si>
    <t>0230</t>
  </si>
  <si>
    <t>Recolección de productos forestales diferentes a la madera</t>
  </si>
  <si>
    <t>0240</t>
  </si>
  <si>
    <t>0312</t>
  </si>
  <si>
    <t>0321</t>
  </si>
  <si>
    <t>0322</t>
  </si>
  <si>
    <t>Acuicultura de agua dulce</t>
  </si>
  <si>
    <t>0510</t>
  </si>
  <si>
    <t>Extracción de hulla (carbón de piedra)</t>
  </si>
  <si>
    <t>0721</t>
  </si>
  <si>
    <t>Extracción de minerales de uranio y de torio</t>
  </si>
  <si>
    <t>0722</t>
  </si>
  <si>
    <t>Extracción de oro y otros metales preciosos</t>
  </si>
  <si>
    <t>0729</t>
  </si>
  <si>
    <t>Extracción de otros minerales metalíferos no ferrosos n.c.p.</t>
  </si>
  <si>
    <t>0811</t>
  </si>
  <si>
    <t>Extracción de piedra, arena, arcillas comunes, yeso y anhidrita</t>
  </si>
  <si>
    <t>0812</t>
  </si>
  <si>
    <t>Extracción de arcillas de uso industrial, caliza, caolín y bentonitas</t>
  </si>
  <si>
    <t>0820</t>
  </si>
  <si>
    <t>Extracción de esmeraldas, piedras preciosas y semipreciosas</t>
  </si>
  <si>
    <t>0891</t>
  </si>
  <si>
    <t>Extracción de minerales para la fabricación de abonos y productos químicos</t>
  </si>
  <si>
    <t>0899</t>
  </si>
  <si>
    <t>Extracción de otros minerales no metálicos n.c.p.</t>
  </si>
  <si>
    <t>0910</t>
  </si>
  <si>
    <t>Actividades de apoyo para la extracción de petróleo y de gas natural</t>
  </si>
  <si>
    <t>0990</t>
  </si>
  <si>
    <t>Actividades de apoyo para otras actividades de explotación de minas y canteras</t>
  </si>
  <si>
    <t>1011</t>
  </si>
  <si>
    <t>Procesamiento y conservación de carne y productos cárnicos</t>
  </si>
  <si>
    <t>1012</t>
  </si>
  <si>
    <t>Procesamiento y conservación de pescados, crustáceos y moluscos</t>
  </si>
  <si>
    <t>1020</t>
  </si>
  <si>
    <t>Procesamiento y conservación de frutas, legumbres, hortalizas y tubérculos</t>
  </si>
  <si>
    <t>1040</t>
  </si>
  <si>
    <t>Elaboración de productos lácteos</t>
  </si>
  <si>
    <t>1051</t>
  </si>
  <si>
    <t>Elaboración de productos de molinería</t>
  </si>
  <si>
    <t>1052</t>
  </si>
  <si>
    <t>Elaboración de almidones y productos derivados del almidón</t>
  </si>
  <si>
    <t>1061</t>
  </si>
  <si>
    <t>Trilla de café</t>
  </si>
  <si>
    <t>1062</t>
  </si>
  <si>
    <t>Descafeinado, tostión y molienda del café</t>
  </si>
  <si>
    <t>1063</t>
  </si>
  <si>
    <t>Otros derivados del café</t>
  </si>
  <si>
    <t>1071</t>
  </si>
  <si>
    <t>Elaboración y refinación de azúcar</t>
  </si>
  <si>
    <t>1072</t>
  </si>
  <si>
    <t>Elaboración de panela</t>
  </si>
  <si>
    <t>1081</t>
  </si>
  <si>
    <t>Elaboración de productos de panadería</t>
  </si>
  <si>
    <t>1082</t>
  </si>
  <si>
    <t>Elaboración de cacao, chocolate y productos de confitería</t>
  </si>
  <si>
    <t>1083</t>
  </si>
  <si>
    <t>Elaboración de macarrones, fideos, alcuzcuz y productos farináceos similares</t>
  </si>
  <si>
    <t>1084</t>
  </si>
  <si>
    <t>Elaboración de comidas y platos preparados</t>
  </si>
  <si>
    <t>1089</t>
  </si>
  <si>
    <t>Elaboración de otros productos alimenticios n.c.p.</t>
  </si>
  <si>
    <t>1090</t>
  </si>
  <si>
    <t>Elaboración de alimentos preparados para animales</t>
  </si>
  <si>
    <t>1101</t>
  </si>
  <si>
    <t>Destilación, rectificación y mezcla de bebidas alcohólicas</t>
  </si>
  <si>
    <t>1102</t>
  </si>
  <si>
    <t>Elaboración de bebidas fermentadas no destiladas</t>
  </si>
  <si>
    <t>1103</t>
  </si>
  <si>
    <t>Producción de malta, elaboración de cervezas y otras bebidas malteadas</t>
  </si>
  <si>
    <t>1104</t>
  </si>
  <si>
    <t>1311</t>
  </si>
  <si>
    <t>Preparación e hilatura de fibras textiles</t>
  </si>
  <si>
    <t>1312</t>
  </si>
  <si>
    <t>Tejeduría de productos textiles</t>
  </si>
  <si>
    <t>1313</t>
  </si>
  <si>
    <t>Acabado de productos textiles</t>
  </si>
  <si>
    <t>1391</t>
  </si>
  <si>
    <t>Fabricación de tejidos de punto y ganchillo</t>
  </si>
  <si>
    <t>1392</t>
  </si>
  <si>
    <t>Confección de artículos con materiales textiles, excepto prendas de vestir</t>
  </si>
  <si>
    <t>1393</t>
  </si>
  <si>
    <t>Fabricación de tapetes y alfombras para pisos</t>
  </si>
  <si>
    <t>1394</t>
  </si>
  <si>
    <t>Fabricación de cuerdas, cordeles, cables, bramantes y redes</t>
  </si>
  <si>
    <t>1399</t>
  </si>
  <si>
    <t>Fabricación de otros artículos textiles n.c.p.</t>
  </si>
  <si>
    <t>1410</t>
  </si>
  <si>
    <t>Confección de prendas de vestir, excepto prendas de piel</t>
  </si>
  <si>
    <t>1420</t>
  </si>
  <si>
    <t>Fabricación de artículos de piel</t>
  </si>
  <si>
    <t>1430</t>
  </si>
  <si>
    <t>Fabricación de artículos de punto y ganchillo</t>
  </si>
  <si>
    <t>1511</t>
  </si>
  <si>
    <t>1512</t>
  </si>
  <si>
    <t>Fabricación de artículos de viaje, bolsos de mano y artículos similares elaborados en cuero, y fabricación de artículos de talabartería y guarnicionería</t>
  </si>
  <si>
    <t>1513</t>
  </si>
  <si>
    <t>1521</t>
  </si>
  <si>
    <t>Fabricación de calzado de cuero y piel, con cualquier tipo de suela</t>
  </si>
  <si>
    <t>1522</t>
  </si>
  <si>
    <t>Fabricación de otros tipos de calzado, excepto calzado de cuero y piel</t>
  </si>
  <si>
    <t>1523</t>
  </si>
  <si>
    <t>Fabricación de partes del calzado</t>
  </si>
  <si>
    <t>1610</t>
  </si>
  <si>
    <t>Aserrado, acepillado e impregnación de la madera</t>
  </si>
  <si>
    <t>1620</t>
  </si>
  <si>
    <t>1630</t>
  </si>
  <si>
    <t>Fabricación de partes y piezas de madera, de carpintería y ebanistería para la construcción</t>
  </si>
  <si>
    <t>1640</t>
  </si>
  <si>
    <t>Fabricación de recipientes de madera</t>
  </si>
  <si>
    <t>1690</t>
  </si>
  <si>
    <t>1701</t>
  </si>
  <si>
    <t>1702</t>
  </si>
  <si>
    <t>1709</t>
  </si>
  <si>
    <t>Fabricación de otros artículos de papel y cartón</t>
  </si>
  <si>
    <t>1811</t>
  </si>
  <si>
    <t>Actividades de impresión</t>
  </si>
  <si>
    <t>1812</t>
  </si>
  <si>
    <t>Actividades de servicios relacionados con la impresión</t>
  </si>
  <si>
    <t>1820</t>
  </si>
  <si>
    <t>1921</t>
  </si>
  <si>
    <t>Fabricación de productos de la refinación del petróleo</t>
  </si>
  <si>
    <t>1922</t>
  </si>
  <si>
    <t>Actividad de mezcla de combustibles</t>
  </si>
  <si>
    <t>2011</t>
  </si>
  <si>
    <t>Fabricación de sustancias y productos químicos básicos</t>
  </si>
  <si>
    <t>2012</t>
  </si>
  <si>
    <t>Fabricación de abonos y compuestos inorgánicos nitrogenados</t>
  </si>
  <si>
    <t>2013</t>
  </si>
  <si>
    <t>Fabricación de plásticos en formas primarias</t>
  </si>
  <si>
    <t>2014</t>
  </si>
  <si>
    <t>Fabricación de caucho sintético en formas primarias</t>
  </si>
  <si>
    <t>2021</t>
  </si>
  <si>
    <t>Fabricación de plaguicidas y otros productos químicos de uso agropecuario</t>
  </si>
  <si>
    <t>2022</t>
  </si>
  <si>
    <t>Fabricación de pinturas, barnices y revestimientos similares, tintas para impresión y masillas</t>
  </si>
  <si>
    <t>2023</t>
  </si>
  <si>
    <t>2029</t>
  </si>
  <si>
    <t>Fabricación de otros productos químicos n.c.p.</t>
  </si>
  <si>
    <t>2030</t>
  </si>
  <si>
    <t>Fabricación de fibras sintéticas y artificiales</t>
  </si>
  <si>
    <t>2100</t>
  </si>
  <si>
    <t>2211</t>
  </si>
  <si>
    <t>Fabricación de llantas y neumáticos de caucho</t>
  </si>
  <si>
    <t>2212</t>
  </si>
  <si>
    <t>Reencauche de llantas usadas</t>
  </si>
  <si>
    <t>2219</t>
  </si>
  <si>
    <t>Fabricación de formas básicas de caucho y otros productos de caucho n.c.p.</t>
  </si>
  <si>
    <t>2221</t>
  </si>
  <si>
    <t>Fabricación de formas básicas de plástico</t>
  </si>
  <si>
    <t>2229</t>
  </si>
  <si>
    <t>Fabricación de artículos de plástico n.c.p.</t>
  </si>
  <si>
    <t>2310</t>
  </si>
  <si>
    <t>Fabricación de vidrio y productos de vidrio</t>
  </si>
  <si>
    <t>2391</t>
  </si>
  <si>
    <t>Fabricación de productos refractarios</t>
  </si>
  <si>
    <t>2392</t>
  </si>
  <si>
    <t>Fabricación de materiales de arcilla para la construcción</t>
  </si>
  <si>
    <t>2393</t>
  </si>
  <si>
    <t>Fabricación de otros productos de cerámica y porcelana</t>
  </si>
  <si>
    <t>2394</t>
  </si>
  <si>
    <t>Fabricación de cemento, cal y yeso</t>
  </si>
  <si>
    <t>2395</t>
  </si>
  <si>
    <t>Fabricación de artículos de hormigón, cemento y yeso</t>
  </si>
  <si>
    <t>2396</t>
  </si>
  <si>
    <t>Corte, tallado y acabado de la piedra</t>
  </si>
  <si>
    <t>2399</t>
  </si>
  <si>
    <t>Fabricación de otros productos minerales no metálicos n.c.p.</t>
  </si>
  <si>
    <t>2410</t>
  </si>
  <si>
    <t>Industrias básicas de hierro y de acero</t>
  </si>
  <si>
    <t>2421</t>
  </si>
  <si>
    <t>Industrias básicas de metales preciosos</t>
  </si>
  <si>
    <t>2429</t>
  </si>
  <si>
    <t>Industrias básicas de otros metales no ferrosos</t>
  </si>
  <si>
    <t>2431</t>
  </si>
  <si>
    <t>Fundición de hierro y de acero</t>
  </si>
  <si>
    <t>2432</t>
  </si>
  <si>
    <t>2511</t>
  </si>
  <si>
    <t>Fabricación de productos metálicos para uso estructural</t>
  </si>
  <si>
    <t>2512</t>
  </si>
  <si>
    <t>2513</t>
  </si>
  <si>
    <t>Fabricación de generadores de vapor, excepto calderas de agua caliente para calefacción central</t>
  </si>
  <si>
    <t>2591</t>
  </si>
  <si>
    <t>2592</t>
  </si>
  <si>
    <t>2593</t>
  </si>
  <si>
    <t>Fabricación de artículos de cuchillería, herramientas de mano y artículos de ferretería</t>
  </si>
  <si>
    <t>2599</t>
  </si>
  <si>
    <t>Fabricación de otros productos elaborados de metal n.c.p.</t>
  </si>
  <si>
    <t>2610</t>
  </si>
  <si>
    <t>Fabricación de componentes y tableros electrónicos</t>
  </si>
  <si>
    <t>2620</t>
  </si>
  <si>
    <t>Fabricación de computadoras y de equipo periférico</t>
  </si>
  <si>
    <t>2640</t>
  </si>
  <si>
    <t>Fabricación de aparatos electrónicos de consumo</t>
  </si>
  <si>
    <t>2651</t>
  </si>
  <si>
    <t>Fabricación de equipo de medición, prueba, navegación y control</t>
  </si>
  <si>
    <t>2652</t>
  </si>
  <si>
    <t>Fabricación de relojes</t>
  </si>
  <si>
    <t>2660</t>
  </si>
  <si>
    <t>Fabricación de equipo de irradiación y equipo electrónico de uso médico y terapéutico</t>
  </si>
  <si>
    <t>2670</t>
  </si>
  <si>
    <t>Fabricación de instrumentos ópticos y equipo fotográfico</t>
  </si>
  <si>
    <t>2711</t>
  </si>
  <si>
    <t>Fabricación de motores, generadores y transformadores eléctricos</t>
  </si>
  <si>
    <t>2712</t>
  </si>
  <si>
    <t>Fabricación de aparatos de distribución y control de la energía eléctrica</t>
  </si>
  <si>
    <t>2720</t>
  </si>
  <si>
    <t>Fabricación de pilas, baterías y acumuladores eléctricos</t>
  </si>
  <si>
    <t>2731</t>
  </si>
  <si>
    <t>Fabricación de hilos y cables eléctricos y de fibra óptica</t>
  </si>
  <si>
    <t>2732</t>
  </si>
  <si>
    <t>Fabricación de dispositivos de cableado</t>
  </si>
  <si>
    <t>2740</t>
  </si>
  <si>
    <t>Fabricación de equipos eléctricos de iluminación</t>
  </si>
  <si>
    <t>2750</t>
  </si>
  <si>
    <t>Fabricación de aparatos de uso doméstico</t>
  </si>
  <si>
    <t>2790</t>
  </si>
  <si>
    <t>Fabricación de otros tipos de equipo eléctrico n.c.p.</t>
  </si>
  <si>
    <t>2811</t>
  </si>
  <si>
    <t>Fabricación de motores, turbinas, y partes para motores de combustión interna</t>
  </si>
  <si>
    <t>2812</t>
  </si>
  <si>
    <t>Fabricación de equipos de potencia hidráulica y neumática</t>
  </si>
  <si>
    <t>2813</t>
  </si>
  <si>
    <t>Fabricación de otras bombas, compresores, grifos y válvulas</t>
  </si>
  <si>
    <t>2814</t>
  </si>
  <si>
    <t>Fabricación de cojinetes, engranajes, trenes de engranajes y piezas de transmisión</t>
  </si>
  <si>
    <t>2815</t>
  </si>
  <si>
    <t>Fabricación de hornos, hogares y quemadores industriales</t>
  </si>
  <si>
    <t>2816</t>
  </si>
  <si>
    <t>Fabricación de equipo de elevación y manipulación</t>
  </si>
  <si>
    <t>2817</t>
  </si>
  <si>
    <t>Fabricación de maquinaria y equipo de oficina (excepto computadoras y equipo periférico)</t>
  </si>
  <si>
    <t>2818</t>
  </si>
  <si>
    <t>Fabricación de herramientas manuales con motor</t>
  </si>
  <si>
    <t>2819</t>
  </si>
  <si>
    <t>Fabricación de otros tipos de maquinaria y equipo de uso general n.c.p.</t>
  </si>
  <si>
    <t>2821</t>
  </si>
  <si>
    <t>Fabricación de maquinaria agropecuaria y forestal</t>
  </si>
  <si>
    <t>2822</t>
  </si>
  <si>
    <t>Fabricación de máquinas formadoras de metal y de máquinas herramienta</t>
  </si>
  <si>
    <t>2823</t>
  </si>
  <si>
    <t>Fabricación de maquinaria para la metalurgia</t>
  </si>
  <si>
    <t>2824</t>
  </si>
  <si>
    <t>Fabricación de maquinaria para explotación de minas y canteras y para obras de construcción</t>
  </si>
  <si>
    <t>2825</t>
  </si>
  <si>
    <t>Fabricación de maquinaria para la elaboración de alimentos, bebidas y tabaco</t>
  </si>
  <si>
    <t>2826</t>
  </si>
  <si>
    <t>Fabricación de maquinaria para la elaboración de productos textiles, prendas de vestir y cueros</t>
  </si>
  <si>
    <t>2829</t>
  </si>
  <si>
    <t>Fabricación de otros tipos de maquinaria y equipo de uso especial n.c.p.</t>
  </si>
  <si>
    <t>2910</t>
  </si>
  <si>
    <t>Fabricación de vehículos automotores y sus motores</t>
  </si>
  <si>
    <t>2920</t>
  </si>
  <si>
    <t>2930</t>
  </si>
  <si>
    <t>Fabricación de partes, piezas (autopartes) y accesorios (lujos) para vehículos automotores</t>
  </si>
  <si>
    <t>3011</t>
  </si>
  <si>
    <t>Construcción de barcos y de estructuras flotantes</t>
  </si>
  <si>
    <t>3012</t>
  </si>
  <si>
    <t>Construcción de embarcaciones de recreo y deporte</t>
  </si>
  <si>
    <t>3030</t>
  </si>
  <si>
    <t>Fabricación de aeronaves, naves espaciales y de maquinaria conexa</t>
  </si>
  <si>
    <t>3091</t>
  </si>
  <si>
    <t>Fabricación de motocicletas</t>
  </si>
  <si>
    <t>3092</t>
  </si>
  <si>
    <t>Fabricación de bicicletas y de sillas de ruedas para personas con discapacidad</t>
  </si>
  <si>
    <t>3099</t>
  </si>
  <si>
    <t>Fabricación de otros tipos de equipo de transporte n.c.p.</t>
  </si>
  <si>
    <t>3110</t>
  </si>
  <si>
    <t>3120</t>
  </si>
  <si>
    <t>Fabricación de colchones y somieres</t>
  </si>
  <si>
    <t>3220</t>
  </si>
  <si>
    <t>Fabricación de instrumentos musicales</t>
  </si>
  <si>
    <t>3230</t>
  </si>
  <si>
    <t>Fabricación de artículos y equipo para la práctica del deporte</t>
  </si>
  <si>
    <t>3240</t>
  </si>
  <si>
    <t>Fabricación de juegos, juguetes y rompecabezas</t>
  </si>
  <si>
    <t>3250</t>
  </si>
  <si>
    <t>Fabricación de instrumentos, aparatos y materiales médicos y odontológicos (incluido mobiliario)</t>
  </si>
  <si>
    <t>3290</t>
  </si>
  <si>
    <t>Otras industrias manufactureras n.c.p.</t>
  </si>
  <si>
    <t>3311</t>
  </si>
  <si>
    <t>Mantenimiento y reparación especializado de productos elaborados en metal</t>
  </si>
  <si>
    <t>3312</t>
  </si>
  <si>
    <t>Mantenimiento y reparación especializado de maquinaria y equipo</t>
  </si>
  <si>
    <t>3313</t>
  </si>
  <si>
    <t>Mantenimiento y reparación especializado de equipo electrónico y óptico</t>
  </si>
  <si>
    <t>3314</t>
  </si>
  <si>
    <t>Mantenimiento y reparación especializado de equipo eléctrico</t>
  </si>
  <si>
    <t>3315</t>
  </si>
  <si>
    <t>Mantenimiento y reparación especializado de equipo de transporte, excepto los vehículos automotores, motocicletas y bicicletas</t>
  </si>
  <si>
    <t>3319</t>
  </si>
  <si>
    <t>Mantenimiento y reparación de otros tipos de equipos y sus componentes n.c.p.</t>
  </si>
  <si>
    <t>3320</t>
  </si>
  <si>
    <t>3511</t>
  </si>
  <si>
    <t>Generación de energía eléctrica</t>
  </si>
  <si>
    <t>3512</t>
  </si>
  <si>
    <t>Transmisión de energía eléctrica</t>
  </si>
  <si>
    <t>3513</t>
  </si>
  <si>
    <t>Distribución de energía eléctrica</t>
  </si>
  <si>
    <t>3514</t>
  </si>
  <si>
    <t>Comercialización de energía eléctrica</t>
  </si>
  <si>
    <t>3520</t>
  </si>
  <si>
    <t>3530</t>
  </si>
  <si>
    <t>Suministro de vapor y aire acondicionado</t>
  </si>
  <si>
    <t>3600</t>
  </si>
  <si>
    <t>3700</t>
  </si>
  <si>
    <t>3811</t>
  </si>
  <si>
    <t>Recolección de desechos no peligrosos</t>
  </si>
  <si>
    <t>3812</t>
  </si>
  <si>
    <t>Recolección de desechos peligrosos</t>
  </si>
  <si>
    <t>3821</t>
  </si>
  <si>
    <t>Tratamiento y disposición de desechos no peligrosos</t>
  </si>
  <si>
    <t>3822</t>
  </si>
  <si>
    <t>Tratamiento y disposición de desechos peligrosos</t>
  </si>
  <si>
    <t>3830</t>
  </si>
  <si>
    <t>Recuperación de materiales</t>
  </si>
  <si>
    <t>3900</t>
  </si>
  <si>
    <t>4111</t>
  </si>
  <si>
    <t>Construcción de edificios residenciales</t>
  </si>
  <si>
    <t>4112</t>
  </si>
  <si>
    <t>Construcción de edificios no residenciales</t>
  </si>
  <si>
    <t>4210</t>
  </si>
  <si>
    <t>Construcción de carreteras y vías de ferrocarril</t>
  </si>
  <si>
    <t>4220</t>
  </si>
  <si>
    <t>Construcción de proyectos de servicio público</t>
  </si>
  <si>
    <t>4290</t>
  </si>
  <si>
    <t>Construcción de otras obras de ingeniería civil</t>
  </si>
  <si>
    <t>4311</t>
  </si>
  <si>
    <t>Demolición</t>
  </si>
  <si>
    <t>4312</t>
  </si>
  <si>
    <t>Preparación del terreno</t>
  </si>
  <si>
    <t>4321</t>
  </si>
  <si>
    <t>Instalaciones eléctricas</t>
  </si>
  <si>
    <t>4322</t>
  </si>
  <si>
    <t>Instalaciones de fontanería, calefacción y aire acondicionado</t>
  </si>
  <si>
    <t>4329</t>
  </si>
  <si>
    <t>Otras instalaciones especializadas</t>
  </si>
  <si>
    <t>4330</t>
  </si>
  <si>
    <t>Terminación y acabado de edificios y obras de ingeniería civil</t>
  </si>
  <si>
    <t>4390</t>
  </si>
  <si>
    <t>Otras actividades especializadas para la construcción de edificios y obras de ingeniería civil</t>
  </si>
  <si>
    <t>4511</t>
  </si>
  <si>
    <t>Comercio de vehículos automotores nuevos</t>
  </si>
  <si>
    <t>4512</t>
  </si>
  <si>
    <t>Comercio de vehículos automotores usados</t>
  </si>
  <si>
    <t>4520</t>
  </si>
  <si>
    <t>Mantenimiento y reparación de vehículos automotores</t>
  </si>
  <si>
    <t>4530</t>
  </si>
  <si>
    <t>Comercio de partes, piezas (autopartes) y accesorios (lujos) para vehículos automotores</t>
  </si>
  <si>
    <t>4541</t>
  </si>
  <si>
    <t>Comercio de motocicletas y de sus partes, piezas y accesorios</t>
  </si>
  <si>
    <t>4542</t>
  </si>
  <si>
    <t>Mantenimiento y reparación de motocicletas y de sus partes y piezas</t>
  </si>
  <si>
    <t>4610</t>
  </si>
  <si>
    <t>Comercio al por mayor a cambio de una retribución o por contrata</t>
  </si>
  <si>
    <t>4620</t>
  </si>
  <si>
    <t>4631</t>
  </si>
  <si>
    <t>Comercio al por mayor de productos alimenticios</t>
  </si>
  <si>
    <t>4632</t>
  </si>
  <si>
    <t>Comercio al por mayor de bebidas y tabaco</t>
  </si>
  <si>
    <t>4641</t>
  </si>
  <si>
    <t>Comercio al por mayor de productos textiles, productos confeccionados para uso doméstico</t>
  </si>
  <si>
    <t>4642</t>
  </si>
  <si>
    <t>Comercio al por mayor de prendas de vestir</t>
  </si>
  <si>
    <t>4643</t>
  </si>
  <si>
    <t>Comercio al por mayor de calzado</t>
  </si>
  <si>
    <t>4644</t>
  </si>
  <si>
    <t>Comercio al por mayor de aparatos y equipo de uso doméstico</t>
  </si>
  <si>
    <t>4645</t>
  </si>
  <si>
    <t>Comercio al por mayor de productos farmacéuticos, medicinales, cosméticos y de tocador</t>
  </si>
  <si>
    <t>4649</t>
  </si>
  <si>
    <t>Comercio al por mayor de otros utensilios domésticos n.c.p.</t>
  </si>
  <si>
    <t>4651</t>
  </si>
  <si>
    <t>Comercio al por mayor de computadores, equipo periférico y programas de informática</t>
  </si>
  <si>
    <t>4652</t>
  </si>
  <si>
    <t>Comercio al por mayor de equipo, partes y piezas electrónicos y de telecomunicaciones</t>
  </si>
  <si>
    <t>4653</t>
  </si>
  <si>
    <t>Comercio al por mayor de maquinaria y equipo agropecuarios</t>
  </si>
  <si>
    <t>4659</t>
  </si>
  <si>
    <t>Comercio al por mayor de otros tipos de maquinaria y equipo n.c.p.</t>
  </si>
  <si>
    <t>4661</t>
  </si>
  <si>
    <t>Comercio al por mayor de combustibles sólidos, líquidos, gaseosos y productos conexos</t>
  </si>
  <si>
    <t>4662</t>
  </si>
  <si>
    <t>Comercio al por mayor de metales y productos metalíferos</t>
  </si>
  <si>
    <t>4663</t>
  </si>
  <si>
    <t>Comercio al por mayor de materiales de construcción, artículos de ferretería, pinturas, productos de vidrio, equipo y materiales de fontanería y calefacción</t>
  </si>
  <si>
    <t>4664</t>
  </si>
  <si>
    <t>Comercio al por mayor de productos químicos básicos, cauchos y plásticos en formas primarias y productos químicos de uso agropecuario</t>
  </si>
  <si>
    <t>4665</t>
  </si>
  <si>
    <t>Comercio al por mayor de desperdicios, desechos y chatarra</t>
  </si>
  <si>
    <t>4669</t>
  </si>
  <si>
    <t>Comercio al por mayor de otros productos n.c.p.</t>
  </si>
  <si>
    <t>4690</t>
  </si>
  <si>
    <t>Comercio al por mayor no especializado</t>
  </si>
  <si>
    <t>4711</t>
  </si>
  <si>
    <t>4719</t>
  </si>
  <si>
    <t>4721</t>
  </si>
  <si>
    <t>Comercio al por menor de productos agrícolas para el consumo en establecimientos especializados</t>
  </si>
  <si>
    <t>4722</t>
  </si>
  <si>
    <t>Comercio al por menor de leche, productos lácteos y huevos, en establecimientos especializados</t>
  </si>
  <si>
    <t>4723</t>
  </si>
  <si>
    <t>Comercio al por menor de carnes (incluye aves de corral), productos cárnicos, pescados y productos de mar, en establecimientos especializados</t>
  </si>
  <si>
    <t>4724</t>
  </si>
  <si>
    <t>Comercio al por menor de bebidas y productos del tabaco, en establecimientos especializados</t>
  </si>
  <si>
    <t>4729</t>
  </si>
  <si>
    <t>Comercio al por menor de otros productos alimenticios n.c.p., en establecimientos especializados</t>
  </si>
  <si>
    <t>4731</t>
  </si>
  <si>
    <t>Comercio al por menor de combustible para automotores</t>
  </si>
  <si>
    <t>4732</t>
  </si>
  <si>
    <t>Comercio al por menor de lubricantes (aceites, grasas), aditivos y productos de limpieza para vehículos automotores</t>
  </si>
  <si>
    <t>4741</t>
  </si>
  <si>
    <t>Comercio al por menor de computadores, equipos periféricos, programas de informática y equipos de telecomunicaciones en establecimientos especializados</t>
  </si>
  <si>
    <t>4742</t>
  </si>
  <si>
    <t>Comercio al por menor de equipos y aparatos de sonido y de video, en establecimientos especializados</t>
  </si>
  <si>
    <t>4751</t>
  </si>
  <si>
    <t>Comercio al por menor de productos textiles en establecimientos especializados</t>
  </si>
  <si>
    <t>4752</t>
  </si>
  <si>
    <t>Comercio al por menor de artículos de ferretería, pinturas y productos de vidrio en establecimientos especializados</t>
  </si>
  <si>
    <t>4753</t>
  </si>
  <si>
    <t>4754</t>
  </si>
  <si>
    <t>4755</t>
  </si>
  <si>
    <t>4759</t>
  </si>
  <si>
    <t>Comercio al por menor de otros artículos domésticos en establecimientos especializados</t>
  </si>
  <si>
    <t>4761</t>
  </si>
  <si>
    <t>Comercio al por menor de libros, periódicos, materiales y artículos de papelería y escritorio, en establecimientos especializados</t>
  </si>
  <si>
    <t>4762</t>
  </si>
  <si>
    <t>4769</t>
  </si>
  <si>
    <t>Comercio al por menor de otros artículos culturales y de entretenimiento n.c.p. en establecimientos especializados</t>
  </si>
  <si>
    <t>4771</t>
  </si>
  <si>
    <t>Comercio al por menor de prendas de vestir y sus accesorios (incluye artículos de piel) en establecimientos especializados</t>
  </si>
  <si>
    <t>4772</t>
  </si>
  <si>
    <t>4773</t>
  </si>
  <si>
    <t>Comercio al por menor de productos farmacéuticos y medicinales, cosméticos y artículos de tocador en establecimientos especializados</t>
  </si>
  <si>
    <t>4774</t>
  </si>
  <si>
    <t>Comercio al por menor de otros productos nuevos en establecimientos especializados</t>
  </si>
  <si>
    <t>4775</t>
  </si>
  <si>
    <t>Comercio al por menor de artículos de segunda mano</t>
  </si>
  <si>
    <t>4781</t>
  </si>
  <si>
    <t>Comercio al por menor de alimentos, bebidas y tabaco, en puestos de venta móviles</t>
  </si>
  <si>
    <t>4782</t>
  </si>
  <si>
    <t>Comercio al por menor de productos textiles, prendas de vestir y calzado, en puestos de venta móviles</t>
  </si>
  <si>
    <t>4789</t>
  </si>
  <si>
    <t>Comercio al por menor de otros productos en puestos de venta móviles</t>
  </si>
  <si>
    <t>4791</t>
  </si>
  <si>
    <t>4792</t>
  </si>
  <si>
    <t>Comercio al por menor realizado a través de casas de venta o por correo</t>
  </si>
  <si>
    <t>4799</t>
  </si>
  <si>
    <t>4911</t>
  </si>
  <si>
    <t>Transporte férreo de pasajeros</t>
  </si>
  <si>
    <t>4912</t>
  </si>
  <si>
    <t>4921</t>
  </si>
  <si>
    <t>Transporte de pasajeros</t>
  </si>
  <si>
    <t>4922</t>
  </si>
  <si>
    <t>Transporte mixto</t>
  </si>
  <si>
    <t>4923</t>
  </si>
  <si>
    <t>Transporte de carga por carretera</t>
  </si>
  <si>
    <t>4930</t>
  </si>
  <si>
    <t>Transporte por tuberías</t>
  </si>
  <si>
    <t>5011</t>
  </si>
  <si>
    <t>5012</t>
  </si>
  <si>
    <t>5021</t>
  </si>
  <si>
    <t>Transporte fluvial de pasajeros</t>
  </si>
  <si>
    <t>5022</t>
  </si>
  <si>
    <t>Transporte fluvial de carga</t>
  </si>
  <si>
    <t>5111</t>
  </si>
  <si>
    <t>5112</t>
  </si>
  <si>
    <t>5121</t>
  </si>
  <si>
    <t>5122</t>
  </si>
  <si>
    <t>5210</t>
  </si>
  <si>
    <t>Almacenamiento y depósito</t>
  </si>
  <si>
    <t>5221</t>
  </si>
  <si>
    <t>Actividades de estaciones, vías y servicios complementarios para el transporte terrestre</t>
  </si>
  <si>
    <t>5222</t>
  </si>
  <si>
    <t>Actividades de puertos y servicios complementarios para el transporte acuático</t>
  </si>
  <si>
    <t>5223</t>
  </si>
  <si>
    <t>Actividades de aeropuertos, servicios de navegación aérea y demás actividades conexas al transporte aéreo</t>
  </si>
  <si>
    <t>5224</t>
  </si>
  <si>
    <t>Manipulación de carga</t>
  </si>
  <si>
    <t>5229</t>
  </si>
  <si>
    <t>Otras actividades complementarias al transporte</t>
  </si>
  <si>
    <t>5310</t>
  </si>
  <si>
    <t>Actividades postales nacionales</t>
  </si>
  <si>
    <t>5320</t>
  </si>
  <si>
    <t>Actividades de mensajería</t>
  </si>
  <si>
    <t>5511</t>
  </si>
  <si>
    <t>5512</t>
  </si>
  <si>
    <t>Alojamiento en apartahoteles</t>
  </si>
  <si>
    <t>5513</t>
  </si>
  <si>
    <t>5514</t>
  </si>
  <si>
    <t>Alojamiento rural</t>
  </si>
  <si>
    <t>5519</t>
  </si>
  <si>
    <t>5520</t>
  </si>
  <si>
    <t>Actividades de zonas de camping y parques para vehículos recreacionales</t>
  </si>
  <si>
    <t>5530</t>
  </si>
  <si>
    <t>5590</t>
  </si>
  <si>
    <t>Otros tipos de alojamiento n.c.p.</t>
  </si>
  <si>
    <t>5611</t>
  </si>
  <si>
    <t>Expendio a la mesa de comidas preparadas</t>
  </si>
  <si>
    <t>5612</t>
  </si>
  <si>
    <t>Expendio por autoservicio de comidas preparadas</t>
  </si>
  <si>
    <t>5613</t>
  </si>
  <si>
    <t>Expendio de comidas preparadas en cafeterías</t>
  </si>
  <si>
    <t>5619</t>
  </si>
  <si>
    <t>Otros tipos de expendio de comidas preparadas n.c.p.</t>
  </si>
  <si>
    <t>5621</t>
  </si>
  <si>
    <t>Catering para eventos</t>
  </si>
  <si>
    <t>5629</t>
  </si>
  <si>
    <t>Actividades de otros servicios de comidas</t>
  </si>
  <si>
    <t>5630</t>
  </si>
  <si>
    <t>Expendio de bebidas alcohólicas para el consumo dentro del establecimiento</t>
  </si>
  <si>
    <t>5811</t>
  </si>
  <si>
    <t>Edición de libros</t>
  </si>
  <si>
    <t>5813</t>
  </si>
  <si>
    <t>Edición de periódicos, revistas y otras publicaciones periódicas</t>
  </si>
  <si>
    <t>5819</t>
  </si>
  <si>
    <t>Otros trabajos de edición</t>
  </si>
  <si>
    <t>5820</t>
  </si>
  <si>
    <t>Edición de programas de informática (software)</t>
  </si>
  <si>
    <t>5911</t>
  </si>
  <si>
    <t>Actividades de producción de películas cinematográficas, videos, programas, anuncios y comerciales de televisión</t>
  </si>
  <si>
    <t>5912</t>
  </si>
  <si>
    <t>5913</t>
  </si>
  <si>
    <t>Actividades de distribución de películas cinematográficas, videos, programas, anuncios y comerciales de televisión</t>
  </si>
  <si>
    <t>5914</t>
  </si>
  <si>
    <t>Actividades de exhibición de películas cinematográficas y videos</t>
  </si>
  <si>
    <t>5920</t>
  </si>
  <si>
    <t>6010</t>
  </si>
  <si>
    <t>Actividades de programación y transmisión en el servicio de radiodifusión sonora</t>
  </si>
  <si>
    <t>6020</t>
  </si>
  <si>
    <t>Actividades de programación y transmisión de televisión</t>
  </si>
  <si>
    <t>6110</t>
  </si>
  <si>
    <t>Actividades de telecomunicaciones alámbricas</t>
  </si>
  <si>
    <t>6120</t>
  </si>
  <si>
    <t>Actividades de telecomunicaciones inalámbricas</t>
  </si>
  <si>
    <t>6130</t>
  </si>
  <si>
    <t>Actividades de telecomunicación satelital</t>
  </si>
  <si>
    <t>6190</t>
  </si>
  <si>
    <t>Otras actividades de telecomunicaciones</t>
  </si>
  <si>
    <t>6201</t>
  </si>
  <si>
    <t>Actividades de desarrollo de sistemas informáticos (planificación, análisis, diseño, programación, pruebas)</t>
  </si>
  <si>
    <t>6202</t>
  </si>
  <si>
    <t>Actividades de consultoría informática y actividades de administración de instalaciones informáticas</t>
  </si>
  <si>
    <t>6209</t>
  </si>
  <si>
    <t>Otras actividades de tecnologías de información y actividades de servicios informáticos</t>
  </si>
  <si>
    <t>6311</t>
  </si>
  <si>
    <t>Procesamiento de datos, alojamiento (hosting) y actividades relacionadas</t>
  </si>
  <si>
    <t>6312</t>
  </si>
  <si>
    <t>Portales web</t>
  </si>
  <si>
    <t>6391</t>
  </si>
  <si>
    <t>Actividades de agencias de noticias</t>
  </si>
  <si>
    <t>6399</t>
  </si>
  <si>
    <t>6412</t>
  </si>
  <si>
    <t>Bancos comerciales</t>
  </si>
  <si>
    <t>6421</t>
  </si>
  <si>
    <t>Actividades de las corporaciones financieras</t>
  </si>
  <si>
    <t>6422</t>
  </si>
  <si>
    <t>Actividades de las compañías de financiamiento</t>
  </si>
  <si>
    <t>6431</t>
  </si>
  <si>
    <t>Fideicomisos, fondos y entidades financieras similares</t>
  </si>
  <si>
    <t>6493</t>
  </si>
  <si>
    <t>Actividades de compra de cartera o factoring</t>
  </si>
  <si>
    <t>6494</t>
  </si>
  <si>
    <t>Otras actividades de distribución de fondos</t>
  </si>
  <si>
    <t>6499</t>
  </si>
  <si>
    <t>Otras actividades de servicio financiero, excepto las de seguros y pensiones n.c.p.</t>
  </si>
  <si>
    <t>6511</t>
  </si>
  <si>
    <t>6512</t>
  </si>
  <si>
    <t>Seguros de vida</t>
  </si>
  <si>
    <t>Capitalización</t>
  </si>
  <si>
    <t>6521</t>
  </si>
  <si>
    <t>Servicios de seguros sociales de salud</t>
  </si>
  <si>
    <t>6522</t>
  </si>
  <si>
    <t>6532</t>
  </si>
  <si>
    <t>6611</t>
  </si>
  <si>
    <t>Administración de mercados financieros</t>
  </si>
  <si>
    <t>6612</t>
  </si>
  <si>
    <t>Corretaje de valores y de contratos de productos básicos</t>
  </si>
  <si>
    <t>6613</t>
  </si>
  <si>
    <t>Otras actividades relacionadas con el mercado de valores</t>
  </si>
  <si>
    <t>6614</t>
  </si>
  <si>
    <t>6615</t>
  </si>
  <si>
    <t>Actividades de los profesionales de compra y venta de divisas</t>
  </si>
  <si>
    <t>6619</t>
  </si>
  <si>
    <t>Otras actividades auxiliares de las actividades de servicios financieros n.c.p.</t>
  </si>
  <si>
    <t>6621</t>
  </si>
  <si>
    <t>Actividades de agentes y corredores de seguros</t>
  </si>
  <si>
    <t>6629</t>
  </si>
  <si>
    <t>Evaluación de riesgos y daños, y otras actividades de servicios auxiliares</t>
  </si>
  <si>
    <t>6630</t>
  </si>
  <si>
    <t>Actividades de administración de fondos</t>
  </si>
  <si>
    <t>6810</t>
  </si>
  <si>
    <t>Actividades inmobiliarias realizadas con bienes propios o arrendados</t>
  </si>
  <si>
    <t>6820</t>
  </si>
  <si>
    <t>6910</t>
  </si>
  <si>
    <t>Actividades jurídicas</t>
  </si>
  <si>
    <t>6920</t>
  </si>
  <si>
    <t>Actividades de contabilidad, teneduría de libros, auditoría financiera y asesoría tributaria</t>
  </si>
  <si>
    <t>7010</t>
  </si>
  <si>
    <t>Actividades de administración empresarial</t>
  </si>
  <si>
    <t>7020</t>
  </si>
  <si>
    <t>7120</t>
  </si>
  <si>
    <t>Ensayos y análisis técnicos</t>
  </si>
  <si>
    <t>7210</t>
  </si>
  <si>
    <t>7220</t>
  </si>
  <si>
    <t>Investigaciones y desarrollo experimental en el campo de las ciencias sociales y las humanidades</t>
  </si>
  <si>
    <t>7310</t>
  </si>
  <si>
    <t>Publicidad</t>
  </si>
  <si>
    <t>7320</t>
  </si>
  <si>
    <t>Estudios de mercado y realización de encuestas de opinión pública</t>
  </si>
  <si>
    <t>7410</t>
  </si>
  <si>
    <t>7420</t>
  </si>
  <si>
    <t>Actividades de fotografía</t>
  </si>
  <si>
    <t>7490</t>
  </si>
  <si>
    <t>Otras actividades profesionales, científicas y técnicas n.c.p.</t>
  </si>
  <si>
    <t>7500</t>
  </si>
  <si>
    <t>7710</t>
  </si>
  <si>
    <t>Alquiler y arrendamiento de vehículos automotores</t>
  </si>
  <si>
    <t>7721</t>
  </si>
  <si>
    <t>Alquiler y arrendamiento de equipo recreativo y deportivo</t>
  </si>
  <si>
    <t>7722</t>
  </si>
  <si>
    <t>7729</t>
  </si>
  <si>
    <t>Alquiler y arrendamiento de otros efectos personales y enseres domésticos n.c.p.</t>
  </si>
  <si>
    <t>7730</t>
  </si>
  <si>
    <t>Alquiler y arrendamiento de otros tipos de maquinaria, equipo y bienes tangibles n.c.p.</t>
  </si>
  <si>
    <t>7740</t>
  </si>
  <si>
    <t>Arrendamiento de propiedad intelectual y productos similares, excepto obras protegidas por derechos de autor</t>
  </si>
  <si>
    <t>7810</t>
  </si>
  <si>
    <t>7820</t>
  </si>
  <si>
    <t>7830</t>
  </si>
  <si>
    <t>7911</t>
  </si>
  <si>
    <t>Actividades de las agencias de viaje</t>
  </si>
  <si>
    <t>7912</t>
  </si>
  <si>
    <t>Actividades de operadores turísticos</t>
  </si>
  <si>
    <t>7990</t>
  </si>
  <si>
    <t>Otros servicios de reserva y actividades relacionadas</t>
  </si>
  <si>
    <t>8010</t>
  </si>
  <si>
    <t>Actividades de seguridad privada</t>
  </si>
  <si>
    <t>8020</t>
  </si>
  <si>
    <t>Actividades de servicios de sistemas de seguridad</t>
  </si>
  <si>
    <t>8030</t>
  </si>
  <si>
    <t>Actividades de detectives e investigadores privados</t>
  </si>
  <si>
    <t>8110</t>
  </si>
  <si>
    <t>Actividades combinadas de apoyo a instalaciones</t>
  </si>
  <si>
    <t>8121</t>
  </si>
  <si>
    <t>Limpieza general interior de edificios</t>
  </si>
  <si>
    <t>8129</t>
  </si>
  <si>
    <t>Otras actividades de limpieza de edificios e instalaciones industriales</t>
  </si>
  <si>
    <t>8130</t>
  </si>
  <si>
    <t>Actividades de paisajismo y servicios de mantenimiento conexos</t>
  </si>
  <si>
    <t>8211</t>
  </si>
  <si>
    <t>Actividades combinadas de servicios administrativos de oficina</t>
  </si>
  <si>
    <t>8219</t>
  </si>
  <si>
    <t>Fotocopiado, preparación de documentos y otras actividades especializadas de apoyo a oficina</t>
  </si>
  <si>
    <t>8220</t>
  </si>
  <si>
    <t>8230</t>
  </si>
  <si>
    <t>Organización de convenciones y eventos comerciales</t>
  </si>
  <si>
    <t>8291</t>
  </si>
  <si>
    <t>Actividades de agencias de cobranza y oficinas de calificación crediticia</t>
  </si>
  <si>
    <t>8292</t>
  </si>
  <si>
    <t>Actividades de envase y empaque</t>
  </si>
  <si>
    <t>8299</t>
  </si>
  <si>
    <t>Otras actividades de servicio de apoyo a las empresas n.c.p.</t>
  </si>
  <si>
    <t>8412</t>
  </si>
  <si>
    <t>Actividades ejecutivas de la administración pública</t>
  </si>
  <si>
    <t>8413</t>
  </si>
  <si>
    <t>8414</t>
  </si>
  <si>
    <t>Actividades reguladoras y facilitadoras de la actividad económica</t>
  </si>
  <si>
    <t>8423</t>
  </si>
  <si>
    <t>Orden público y actividades de seguridad</t>
  </si>
  <si>
    <t>8430</t>
  </si>
  <si>
    <t>Actividades de planes de seguridad social de afiliación obligatoria</t>
  </si>
  <si>
    <t>8511</t>
  </si>
  <si>
    <t>Educación de la primera infancia</t>
  </si>
  <si>
    <t>8512</t>
  </si>
  <si>
    <t>Educación preescolar</t>
  </si>
  <si>
    <t>8513</t>
  </si>
  <si>
    <t>Educación básica primaria</t>
  </si>
  <si>
    <t>8521</t>
  </si>
  <si>
    <t>8522</t>
  </si>
  <si>
    <t>Educación media académica</t>
  </si>
  <si>
    <t>8523</t>
  </si>
  <si>
    <t>8530</t>
  </si>
  <si>
    <t>8541</t>
  </si>
  <si>
    <t>Educación técnica profesional</t>
  </si>
  <si>
    <t>8543</t>
  </si>
  <si>
    <t>Educación de instituciones universitarias o de escuelas tecnológicas</t>
  </si>
  <si>
    <t>8544</t>
  </si>
  <si>
    <t>Educación de universidades</t>
  </si>
  <si>
    <t>8551</t>
  </si>
  <si>
    <t>8552</t>
  </si>
  <si>
    <t>Enseñanza deportiva y recreativa</t>
  </si>
  <si>
    <t>8553</t>
  </si>
  <si>
    <t>Enseñanza cultural</t>
  </si>
  <si>
    <t>8559</t>
  </si>
  <si>
    <t>Otros tipos de educación n.c.p.</t>
  </si>
  <si>
    <t>8560</t>
  </si>
  <si>
    <t>Actividades de apoyo a la educación</t>
  </si>
  <si>
    <t>8610</t>
  </si>
  <si>
    <t>Actividades de hospitales y clínicas, con internación</t>
  </si>
  <si>
    <t>8621</t>
  </si>
  <si>
    <t>Actividades de la práctica médica, sin internación</t>
  </si>
  <si>
    <t>8622</t>
  </si>
  <si>
    <t>Actividades de la práctica odontológica</t>
  </si>
  <si>
    <t>8691</t>
  </si>
  <si>
    <t>Actividades de apoyo diagnóstico</t>
  </si>
  <si>
    <t>8692</t>
  </si>
  <si>
    <t>Actividades de apoyo terapéutico</t>
  </si>
  <si>
    <t>8699</t>
  </si>
  <si>
    <t>Otras actividades de atención de la salud humana</t>
  </si>
  <si>
    <t>8710</t>
  </si>
  <si>
    <t>Actividades de atención residencial medicalizada de tipo general</t>
  </si>
  <si>
    <t>8720</t>
  </si>
  <si>
    <t>Actividades de atención residencial, para el cuidado de pacientes con retardo mental, enfermedad mental y consumo de sustancias psicoactivas</t>
  </si>
  <si>
    <t>8730</t>
  </si>
  <si>
    <t>Actividades de atención en instituciones para el cuidado de personas mayores y/o discapacitadas</t>
  </si>
  <si>
    <t>8790</t>
  </si>
  <si>
    <t>Otras actividades de atención en instituciones con alojamiento</t>
  </si>
  <si>
    <t>8810</t>
  </si>
  <si>
    <t>Actividades de asistencia social sin alojamiento para personas mayores y discapacitadas</t>
  </si>
  <si>
    <t>9001</t>
  </si>
  <si>
    <t>Creación literaria</t>
  </si>
  <si>
    <t>9002</t>
  </si>
  <si>
    <t>Creación musical</t>
  </si>
  <si>
    <t>9003</t>
  </si>
  <si>
    <t>Creación teatral</t>
  </si>
  <si>
    <t>9004</t>
  </si>
  <si>
    <t>Creación audiovisual</t>
  </si>
  <si>
    <t>9005</t>
  </si>
  <si>
    <t>Artes plásticas y visuales</t>
  </si>
  <si>
    <t>9006</t>
  </si>
  <si>
    <t>Actividades teatrales</t>
  </si>
  <si>
    <t>9007</t>
  </si>
  <si>
    <t>Actividades de espectáculos musicales en vivo</t>
  </si>
  <si>
    <t>9008</t>
  </si>
  <si>
    <t>9101</t>
  </si>
  <si>
    <t>Actividades de bibliotecas y archivos</t>
  </si>
  <si>
    <t>9102</t>
  </si>
  <si>
    <t>Actividades y funcionamiento de museos, conservación de edificios y sitios históricos</t>
  </si>
  <si>
    <t>9103</t>
  </si>
  <si>
    <t>Actividades de jardines botánicos, zoológicos y reservas naturales</t>
  </si>
  <si>
    <t>9200</t>
  </si>
  <si>
    <t>9311</t>
  </si>
  <si>
    <t>Gestión de instalaciones deportivas</t>
  </si>
  <si>
    <t>9312</t>
  </si>
  <si>
    <t>Actividades de clubes deportivos</t>
  </si>
  <si>
    <t>9319</t>
  </si>
  <si>
    <t>Otras actividades deportivas</t>
  </si>
  <si>
    <t>9321</t>
  </si>
  <si>
    <t>Actividades de parques de atracciones y parques temáticos</t>
  </si>
  <si>
    <t>9329</t>
  </si>
  <si>
    <t>Otras actividades recreativas y de esparcimiento n.c.p.</t>
  </si>
  <si>
    <t>9411</t>
  </si>
  <si>
    <t>Actividades de asociaciones empresariales y de empleadores</t>
  </si>
  <si>
    <t>9412</t>
  </si>
  <si>
    <t>Actividades de asociaciones profesionales</t>
  </si>
  <si>
    <t>9491</t>
  </si>
  <si>
    <t>Actividades de asociaciones religiosas</t>
  </si>
  <si>
    <t>9499</t>
  </si>
  <si>
    <t>Actividades de otras asociaciones n.c.p.</t>
  </si>
  <si>
    <t>9511</t>
  </si>
  <si>
    <t>Mantenimiento y reparación de computadores y de equipo periférico</t>
  </si>
  <si>
    <t>9512</t>
  </si>
  <si>
    <t>Mantenimiento y reparación de equipos de comunicación</t>
  </si>
  <si>
    <t>9521</t>
  </si>
  <si>
    <t>Mantenimiento y reparación de aparatos electrónicos de consumo</t>
  </si>
  <si>
    <t>9522</t>
  </si>
  <si>
    <t>9523</t>
  </si>
  <si>
    <t>Reparación de calzado y artículos de cuero</t>
  </si>
  <si>
    <t>9524</t>
  </si>
  <si>
    <t>Reparación de muebles y accesorios para el hogar</t>
  </si>
  <si>
    <t>9529</t>
  </si>
  <si>
    <t>Mantenimiento y reparación de otros efectos personales y enseres domésticos</t>
  </si>
  <si>
    <t>9601</t>
  </si>
  <si>
    <t>Lavado y limpieza, incluso la limpieza en seco, de productos textiles y de piel</t>
  </si>
  <si>
    <t>9602</t>
  </si>
  <si>
    <t>Peluquería y otros tratamientos de belleza</t>
  </si>
  <si>
    <t>9603</t>
  </si>
  <si>
    <t>Pompas fúnebres y actividades relacionadas</t>
  </si>
  <si>
    <t>9609</t>
  </si>
  <si>
    <t>Otras actividades de servicios personales n.c.p.</t>
  </si>
  <si>
    <t>9700</t>
  </si>
  <si>
    <t>9810</t>
  </si>
  <si>
    <t>Actividades no diferenciadas de los hogares individuales como productores de bienes para uso propio</t>
  </si>
  <si>
    <t>9820</t>
  </si>
  <si>
    <t>Actividades no diferenciadas de los hogares individuales como productores de servicios para uso propio</t>
  </si>
  <si>
    <t>Aburrá Norte</t>
  </si>
  <si>
    <t>Total Aburrá Norte</t>
  </si>
  <si>
    <t>Total Otros</t>
  </si>
  <si>
    <t>Total general empresas CCMA</t>
  </si>
  <si>
    <t>Total general CCMA</t>
  </si>
  <si>
    <t>Persona Natural</t>
  </si>
  <si>
    <t>Total Persona Natural</t>
  </si>
  <si>
    <t>Persona Jurídica</t>
  </si>
  <si>
    <t>Total Persona Jurídica</t>
  </si>
  <si>
    <t>Comuna</t>
  </si>
  <si>
    <t>ARANJUEZ</t>
  </si>
  <si>
    <t>BELEN</t>
  </si>
  <si>
    <t>BUENOS AIRES</t>
  </si>
  <si>
    <t>CASTILLA</t>
  </si>
  <si>
    <t>DOCE DE OCTUBRE</t>
  </si>
  <si>
    <t>EL POBLADO</t>
  </si>
  <si>
    <t>GUAYABAL</t>
  </si>
  <si>
    <t>LA AMERICA</t>
  </si>
  <si>
    <t>LA CANDELARIA</t>
  </si>
  <si>
    <t>MANRIQUE</t>
  </si>
  <si>
    <t>POPULAR</t>
  </si>
  <si>
    <t>ROBLEDO</t>
  </si>
  <si>
    <t>SAN JAVIER</t>
  </si>
  <si>
    <t>SANTA CRUZ</t>
  </si>
  <si>
    <t>VILLA HERMOSA</t>
  </si>
  <si>
    <t>Sin georreferenciar</t>
  </si>
  <si>
    <t>Tabla 2. Estructura Empresarial según tamaño por activos de empresa y sector económico (Total empresas y activos ($))</t>
  </si>
  <si>
    <t>Sin clasificación</t>
  </si>
  <si>
    <t>Ingresos</t>
  </si>
  <si>
    <t>Total Ingresos</t>
  </si>
  <si>
    <t>Sin Clasificación</t>
  </si>
  <si>
    <t>Valor Ingresos</t>
  </si>
  <si>
    <t>1. Micro</t>
  </si>
  <si>
    <t>2. Pequeña</t>
  </si>
  <si>
    <t>3. Mediana</t>
  </si>
  <si>
    <t>4. Grande</t>
  </si>
  <si>
    <t>5. Sin Clasificación</t>
  </si>
  <si>
    <t>Sin CIIU</t>
  </si>
  <si>
    <t>Total Norte del Valle de Aburrá</t>
  </si>
  <si>
    <t>99</t>
  </si>
  <si>
    <t>0520</t>
  </si>
  <si>
    <t>0892</t>
  </si>
  <si>
    <t>6496</t>
  </si>
  <si>
    <t>6515</t>
  </si>
  <si>
    <t>7111</t>
  </si>
  <si>
    <t>7112</t>
  </si>
  <si>
    <t>8891</t>
  </si>
  <si>
    <t>8899</t>
  </si>
  <si>
    <t>9900</t>
  </si>
  <si>
    <t>Extracción de carbón lignito</t>
  </si>
  <si>
    <t>Extracción de halita (sal)</t>
  </si>
  <si>
    <t>Cultivo de cereales (excepto arroz), legumbres y semillas oleaginosas</t>
  </si>
  <si>
    <t>Cultivo de arroz</t>
  </si>
  <si>
    <t>Cultivo de hortalizas, raíces y tubérculos</t>
  </si>
  <si>
    <t>Cultivo de plantas textiles</t>
  </si>
  <si>
    <t>Cultivo de especias y de plantas aromáticas y medicinales</t>
  </si>
  <si>
    <t>Propagación de plantas (actividades de los viveros, excepto viveros forestales)</t>
  </si>
  <si>
    <t>Cría de caballos y otros equinos</t>
  </si>
  <si>
    <t>Cría de ovejas y cabras</t>
  </si>
  <si>
    <t>Explotación mixta (agrícola y pecuaria)</t>
  </si>
  <si>
    <t>Actividades de apoyo a la agricultura</t>
  </si>
  <si>
    <t>Actividades posteriores a la cosecha</t>
  </si>
  <si>
    <t>Tratamiento de semillas para propagación</t>
  </si>
  <si>
    <t>Extracción de madera</t>
  </si>
  <si>
    <t>Servicios de apoyo a la silvicultura</t>
  </si>
  <si>
    <t>Pesca de agua dulce</t>
  </si>
  <si>
    <t>Acuicultura marítima</t>
  </si>
  <si>
    <t>Elaboración de bebidas no alcohólicas, producción de aguas minerales y otras aguas embotelladas</t>
  </si>
  <si>
    <t>Producción de copias a partir de grabaciones originales</t>
  </si>
  <si>
    <t>Fundición de metales no ferrosos</t>
  </si>
  <si>
    <t>Fabricación de tanques, depósitos y recipientes de metal, excepto los utilizados para el envase o el transporte de mercancías</t>
  </si>
  <si>
    <t>Fabricación de muebles</t>
  </si>
  <si>
    <t>Instalación especializada de maquinaria y equipo industrial</t>
  </si>
  <si>
    <t>Comercio al por menor en establecimientos no especializados con surtido compuesto principalmente por alimentos, bebidas (alcohólicas y no alcohólicas) o tabaco</t>
  </si>
  <si>
    <t>Comercio al por menor en establecimientos no especializados, con surtido compuesto principalmente por productos diferentes de alimentos (víveres en general), bebidas (alcohólicas y no alcohólicas) y tabaco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</si>
  <si>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</si>
  <si>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</si>
  <si>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</si>
  <si>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artículos deportivos, en establecimientos especializados</t>
  </si>
  <si>
    <t>Comercio al por menor de todo tipo de calzado y artículos de cuero y sucedáneos del cuero en establecimientos especializados</t>
  </si>
  <si>
    <t>Comercio al por menor realizado a través de internet</t>
  </si>
  <si>
    <t>Otros tipos de comercio al por menor no realizado en establecimientos, puestos de venta o mercados</t>
  </si>
  <si>
    <t>Transporte férreo de carga</t>
  </si>
  <si>
    <t>Transporte de pasajeros marítimo y de cabotaje</t>
  </si>
  <si>
    <t>Transporte de carga marítimo y de cabotaje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</si>
  <si>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</si>
  <si>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</si>
  <si>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</si>
  <si>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</si>
  <si>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Alojamiento en hoteles</t>
  </si>
  <si>
    <t>Alojamiento en centros vacacionales</t>
  </si>
  <si>
    <t>Otros tipos de alojamiento para visitantes</t>
  </si>
  <si>
    <t>Servicio de estancia por horas</t>
  </si>
  <si>
    <t>Actividades de postproducción de películas cinematográficas, videos, programas, anuncios y comerciales de televisión</t>
  </si>
  <si>
    <t>Actividades de grabación de sonido y edición de música</t>
  </si>
  <si>
    <t>Otras actividades de servicios de información n.c.p.</t>
  </si>
  <si>
    <t>Seguros generales</t>
  </si>
  <si>
    <t>Seguros de salud</t>
  </si>
  <si>
    <t>Servicios de seguros sociales en riesgos laborales</t>
  </si>
  <si>
    <t>Régimen de ahorro individual con solidaridad (RAIS)</t>
  </si>
  <si>
    <t>Actividades de las sociedades de intermediación cambiaria y de servicios financieros especiales</t>
  </si>
  <si>
    <t>Actividades inmobiliarias realizadas a cambio de una retribución o por contrata</t>
  </si>
  <si>
    <t>Actividades de consultoría de gestión</t>
  </si>
  <si>
    <t>Actividades de arquitectura</t>
  </si>
  <si>
    <t>Actividades de ingeniería y otras actividades conexas de consultoría técnica</t>
  </si>
  <si>
    <t>Investigaciones y desarrollo experimental en el campo de las ciencias naturales y la ingeniería</t>
  </si>
  <si>
    <t>Actividades especializadas de diseño</t>
  </si>
  <si>
    <t>Alquiler de videos y discos</t>
  </si>
  <si>
    <t>Actividades de agencias de gestión y colocación de empleo</t>
  </si>
  <si>
    <t>Actividades de empresas de servicios temporales</t>
  </si>
  <si>
    <t>Otras actividades de provisión de talento humano</t>
  </si>
  <si>
    <t>Actividades de centros de llamadas (call center)</t>
  </si>
  <si>
    <t>Regulación de las actividades de organismos que prestan servicios de salud, educativos, culturales y otros servicios sociales, excepto servicios de seguridad social</t>
  </si>
  <si>
    <t>Educación básica secundaria</t>
  </si>
  <si>
    <t>Educación media técnica</t>
  </si>
  <si>
    <t>Establecimientos que combinan diferentes niveles de educación</t>
  </si>
  <si>
    <t>Formación para el trabajo</t>
  </si>
  <si>
    <t>Actividades de guarderías para niños y niñas</t>
  </si>
  <si>
    <t>Otras actividades de asistencia social sin alojamiento n.c.p.</t>
  </si>
  <si>
    <t>Otras actividades de espectáculos en vivo n.c.p.</t>
  </si>
  <si>
    <t>Mantenimiento y reparación de aparatos y equipos domésticos y de jardinería</t>
  </si>
  <si>
    <t>ALTAVISTA</t>
  </si>
  <si>
    <t>LAURELES</t>
  </si>
  <si>
    <t>PALMITAS</t>
  </si>
  <si>
    <t>SAN ANTONIO DE PRADO</t>
  </si>
  <si>
    <t>SAN CRISTOBAL</t>
  </si>
  <si>
    <t>SANTA ELENA</t>
  </si>
  <si>
    <t xml:space="preserve">Total </t>
  </si>
  <si>
    <t>Total</t>
  </si>
  <si>
    <t>Rango Aplicable***</t>
  </si>
  <si>
    <t>Tabla 2. Estructura Empresarial según tamaño por activos de empresa y sector económico (Total empresas y activos* ($))</t>
  </si>
  <si>
    <t>Tabla 3 Estructura Empresarial según tamaño por ingresos de empresa y sector económico (Total empresas e ingresos* ($))</t>
  </si>
  <si>
    <t>*Decreto número 957 de 5 del junio de 2019</t>
  </si>
  <si>
    <t>Tabla 4. Estructura empresarial según sector económico y centro regional (Total empresas y activos ($))</t>
  </si>
  <si>
    <t>Tabla 5. Estructura Empresarial según sector económico, tamaño de empresa por activos y Centro Regional*</t>
  </si>
  <si>
    <t>Tabla 6 Estructura Empresarial según sector económico, tamaño de empresa por ingresos y Centro Regional*</t>
  </si>
  <si>
    <t>Tabla 8. Estructura empresarial según centro regional/municipio y tamaño de empresa por activos*</t>
  </si>
  <si>
    <t>RSM</t>
  </si>
  <si>
    <t>RSS</t>
  </si>
  <si>
    <t>RSC</t>
  </si>
  <si>
    <t>Tabla 9. Estructura empresarial, según actividad económica  (Total empresas y activos* ($))</t>
  </si>
  <si>
    <t>Tabla 10. Estructura empresarial, según actividad económica  (Total empresas y ingresos* ($))</t>
  </si>
  <si>
    <t>Tabla 11. Estructura empresarial según actividad económica, centro regional y tamaño por activos (Total empresas)</t>
  </si>
  <si>
    <t>Tabla 11. Estructura empresarial según actividad económica, centro regional y tamaño por activos* (Total empresas)</t>
  </si>
  <si>
    <t>**El nivel de ingresos por actividades con base en el cual se determina el tamaño empresarial variará dependiendo del sector económico en el cual la empresa desarrolle su actividad.
RSM: Rango Sector Manufacturero
RSS: Rango Sector Servicios
RSC: Rango Sector Comercio</t>
  </si>
  <si>
    <t>Rango aplicable**</t>
  </si>
  <si>
    <t>Tabla 12 Estructura empresarial según actividad económica, centro regional y tamaño por ingresos* (Total empresas)</t>
  </si>
  <si>
    <t>Tabla 13. Estructura empresarial según actividad económica, centro regional, naturaleza jurídica y tamaño de empresa por activos* (Total empresas)</t>
  </si>
  <si>
    <t>Tabla 14. Estructura empresarial de Medellín, según comuna y tamaño de empresa por activos*</t>
  </si>
  <si>
    <t>Tabla 15 Estructura empresarial de Medellín, según comuna y tamaño de empresa por ingresos*</t>
  </si>
  <si>
    <t>Tabla 16. Estructura empresarial de Medellín, según sector económico y comuna (Total empresas)</t>
  </si>
  <si>
    <t>Tabla 18. Estructura empresarial Medellín, según comunas y actividad económica (Total empresas)</t>
  </si>
  <si>
    <t>Tabla 3 Estructura Empresarial según tamaño por ingresos de empresa y sector económico (Total empresas e ingresos ($))</t>
  </si>
  <si>
    <t>Tabla 5. Estructura Empresarial según sector económico, tamaño de empresa por activos y Centro Regional</t>
  </si>
  <si>
    <t>Tabla 6 Estructura Empresarial según sector económico, tamaño de empresa por ingresos y Centro Regional</t>
  </si>
  <si>
    <t>Tabla 8. Estructura empresarial según centro regional/municipio y tamaño de empresa por activos</t>
  </si>
  <si>
    <t>Tabla 9. Estructura empresarial, según actividad económica  (Total empresas y activos ($))</t>
  </si>
  <si>
    <t>Tabla 10. Estructura empresarial, según actividad económica  (Total empresas y ingresos($))</t>
  </si>
  <si>
    <t>Tabla 12 Estructura empresarial según actividad económica, centro regional y tamaño por ingresos (Total empresas)</t>
  </si>
  <si>
    <t>Tabla 13. Estructura empresarial según actividad económica, centro regional, naturaleza jurídica y tamaño de empresa por activos (Total empresas)</t>
  </si>
  <si>
    <t>Tabla 14. Estructura empresarial de Medellín, según comuna y tamaño de empresa por activos</t>
  </si>
  <si>
    <t>Tabla 15 Estructura empresarial de Medellín, según comuna y tamaño de empresa por ingresos</t>
  </si>
  <si>
    <t>*Ley 905 de 2004</t>
  </si>
  <si>
    <t>Sociedad Civil</t>
  </si>
  <si>
    <t>Tabulados: Economía e Inteligencia Competitiva</t>
  </si>
  <si>
    <t>PUEBLORRICO</t>
  </si>
  <si>
    <t>CAROLINA</t>
  </si>
  <si>
    <t>SAN ANDRÉS DE CUERQUÍA</t>
  </si>
  <si>
    <t>2630</t>
  </si>
  <si>
    <t>Fabricación de equipos de comunicación</t>
  </si>
  <si>
    <t>8542</t>
  </si>
  <si>
    <t>Educación tecnológica</t>
  </si>
  <si>
    <t>0114</t>
  </si>
  <si>
    <t>Cultivo de tabaco</t>
  </si>
  <si>
    <t>1910</t>
  </si>
  <si>
    <t>Fabricación de productos de hornos de coque</t>
  </si>
  <si>
    <t>8421</t>
  </si>
  <si>
    <t>Relaciones exteriores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</si>
  <si>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</si>
  <si>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</si>
  <si>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</si>
  <si>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</si>
  <si>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RESIDUALES, GESTIÓN DE DESECHOS Y ACTIVIDADES DE SANEAMIENTO AMBIENTAL</t>
  </si>
  <si>
    <t>CONSTRUCCIÓN</t>
  </si>
  <si>
    <t>COMERCIO AL POR MAYOR Y AL POR MENOR; REPARACIÓN DE VEHÍCULOS AUTOMOTORES Y MOTOCICLETAS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</si>
  <si>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</si>
  <si>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</si>
  <si>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</si>
  <si>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</si>
  <si>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</si>
  <si>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</si>
  <si>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</si>
  <si>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</si>
  <si>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</si>
  <si>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</si>
  <si>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</si>
  <si>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</si>
  <si>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 xml:space="preserve">                     -</t>
  </si>
  <si>
    <t xml:space="preserve">                                           -</t>
  </si>
  <si>
    <t>(*) Comerciantes Renovados y Matriculados en el año 2024</t>
  </si>
  <si>
    <t>Comerciantes Renovados y Matriculados en el año 2024</t>
  </si>
  <si>
    <t>1031</t>
  </si>
  <si>
    <t>Extracción de aceites de origen vegetal crudos</t>
  </si>
  <si>
    <t>1032</t>
  </si>
  <si>
    <t>Elaboración de aceites y grasas de origen vegetal refinados</t>
  </si>
  <si>
    <t>1033</t>
  </si>
  <si>
    <t>Elaboración de aceites y grasas de origen animal</t>
  </si>
  <si>
    <t>Curtido y recurtido de cueros; recurtido y teñido de pieles</t>
  </si>
  <si>
    <t>Fabricación de artículos de viaje, bolsos de mano y artículos similares; artículos de talabartería y guarnicionería elaborados en otros materiales</t>
  </si>
  <si>
    <t>Fabricación de hojas de madera para enchapado; fabricación de tableros contrachapados, tableros laminados, tableros de partículas y otros tableros y paneles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</si>
  <si>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</si>
  <si>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</si>
  <si>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</t>
  </si>
  <si>
    <t>Fabricación de jabones y detergentes, preparados para limpiar y pulir; perfumes y preparados de tocador</t>
  </si>
  <si>
    <t>Forja, prensado, estampado y laminado de metal; pulvimetalurgia</t>
  </si>
  <si>
    <t>Tratamiento y revestimiento de metales; mecanizado</t>
  </si>
  <si>
    <t>Fabricación de carrocerías para vehículos automotores; fabricación de remolques y semirremolques</t>
  </si>
  <si>
    <t>3211</t>
  </si>
  <si>
    <t>Fabricación de joyas y artículos conexos</t>
  </si>
  <si>
    <t>3212</t>
  </si>
  <si>
    <t>Fabricación de bisutería y artículos conexos</t>
  </si>
  <si>
    <t>Producción de gas; distribución de combustibles gaseosos por tuberías</t>
  </si>
  <si>
    <t>Comercio al por mayor de materias primas agropecuarias; animales vivos</t>
  </si>
  <si>
    <t>6531</t>
  </si>
  <si>
    <t>Régimen de prima media con prestación definida (RPM)</t>
  </si>
  <si>
    <t>0170</t>
  </si>
  <si>
    <t>Caza ordinaria y mediante trampas y actividades de servicios conexas</t>
  </si>
  <si>
    <t>0311</t>
  </si>
  <si>
    <t>Pesca marítima</t>
  </si>
  <si>
    <t>0610</t>
  </si>
  <si>
    <t>Extracción de petróleo crudo</t>
  </si>
  <si>
    <t>0620</t>
  </si>
  <si>
    <t>Extracción de gas natural</t>
  </si>
  <si>
    <t>0710</t>
  </si>
  <si>
    <t>Extracción de minerales de hierro</t>
  </si>
  <si>
    <t>0723</t>
  </si>
  <si>
    <t>Extracción de minerales de níquel</t>
  </si>
  <si>
    <t>1200</t>
  </si>
  <si>
    <t>2520</t>
  </si>
  <si>
    <t>Fabricación de armas y municiones</t>
  </si>
  <si>
    <t>2680</t>
  </si>
  <si>
    <t>Fabricación de medios magnéticos y ópticos para almacenamiento de datos</t>
  </si>
  <si>
    <t>3020</t>
  </si>
  <si>
    <t>Fabricación de locomotoras y de material rodante para ferrocarriles</t>
  </si>
  <si>
    <t>3040</t>
  </si>
  <si>
    <t>Fabricación de vehículos militares de combate</t>
  </si>
  <si>
    <t>5812</t>
  </si>
  <si>
    <t>Edición de directorios y listas de correo</t>
  </si>
  <si>
    <t>6411</t>
  </si>
  <si>
    <t>Banco Central</t>
  </si>
  <si>
    <t>6423</t>
  </si>
  <si>
    <t>Banca de segundo piso</t>
  </si>
  <si>
    <t>6424</t>
  </si>
  <si>
    <t>Actividades de las cooperativas financieras</t>
  </si>
  <si>
    <t>6432</t>
  </si>
  <si>
    <t>Fondos de cesantías</t>
  </si>
  <si>
    <t>6491</t>
  </si>
  <si>
    <t>Leasing financiero (arrendamiento financiero)</t>
  </si>
  <si>
    <t>6492</t>
  </si>
  <si>
    <t>Actividades financieras de fondos de empleados y otras formas asociativas del sector solidario</t>
  </si>
  <si>
    <t>6495</t>
  </si>
  <si>
    <t>Instituciones especiales oficiales</t>
  </si>
  <si>
    <t>6513</t>
  </si>
  <si>
    <t>Reaseguros</t>
  </si>
  <si>
    <t>6523</t>
  </si>
  <si>
    <t>Servicios de seguros sociales en riesgos familia</t>
  </si>
  <si>
    <t>8411</t>
  </si>
  <si>
    <t>Actividades legislativas de la administración pública</t>
  </si>
  <si>
    <t>8415</t>
  </si>
  <si>
    <t>Actividades de los órganos de control y otras instituciones</t>
  </si>
  <si>
    <t>8422</t>
  </si>
  <si>
    <t>Actividades de defensa</t>
  </si>
  <si>
    <t>8424</t>
  </si>
  <si>
    <t>Administración de justicia</t>
  </si>
  <si>
    <t>9420</t>
  </si>
  <si>
    <t>Actividades de sindicatos de empleados</t>
  </si>
  <si>
    <t>9492</t>
  </si>
  <si>
    <t>Actividades de asociaciones políticas</t>
  </si>
  <si>
    <t xml:space="preserve">                                           -  </t>
  </si>
  <si>
    <t>Sin Georreferenciar</t>
  </si>
  <si>
    <t>Descripción División</t>
  </si>
  <si>
    <t>Tabla 7. Estructura empresarial según divisiones de el CIIU (Total empresas y activos ($))</t>
  </si>
  <si>
    <t>Tabla 17. Estructura empresarial Medellín, según comunas y divisiones de el CIIU (Total empresas)</t>
  </si>
  <si>
    <t>Tabla 7. Estructura empresarial según divisiones de el CIIU (Total empresas y activos* ($))</t>
  </si>
  <si>
    <r>
      <t xml:space="preserve">ESTRUCTURA EMPRESARIAL - CÁMARA DE COMERCIO DE MEDELLÍN PARA ANTIOQUIA </t>
    </r>
    <r>
      <rPr>
        <b/>
        <sz val="14"/>
        <color rgb="FFC00000"/>
        <rFont val="Calibri"/>
        <family val="2"/>
        <scheme val="minor"/>
      </rPr>
      <t>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</si>
</sst>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  <numFmt numFmtId="171" formatCode="_-* #,##0_-;\-* #,##0_-;_-* &quot;-&quot;_-;_-@_-"/>
    <numFmt numFmtId="173" formatCode="_-* #,##0.00_-;\-* #,##0.00_-;_-* &quot;-&quot;??_-;_-@_-"/>
    <numFmt numFmtId="174" formatCode="_ * #,##0_ ;_ * \-#,##0_ ;_ * &quot;-&quot;_ ;_ @_ "/>
    <numFmt numFmtId="175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4" tint="-0.499984740745262"/>
      </left>
      <right style="double">
        <color theme="4" tint="-0.499984740745262"/>
      </right>
      <top style="double">
        <color theme="4" tint="-0.499984740745262"/>
      </top>
      <bottom style="double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7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2" fillId="0" borderId="0"/>
    <xf numFmtId="17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2" fillId="0" borderId="0"/>
    <xf numFmtId="17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</cellStyleXfs>
  <cellXfs count="16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3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 indent="1"/>
    </xf>
    <xf numFmtId="0" fontId="1" fillId="3" borderId="1" xfId="0" applyFont="1" applyFill="1" applyBorder="1" applyAlignment="1">
      <alignment horizontal="left"/>
    </xf>
    <xf numFmtId="3" fontId="1" fillId="3" borderId="1" xfId="0" applyNumberFormat="1" applyFont="1" applyFill="1" applyBorder="1"/>
    <xf numFmtId="3" fontId="0" fillId="0" borderId="1" xfId="0" applyNumberFormat="1" applyBorder="1"/>
    <xf numFmtId="0" fontId="2" fillId="0" borderId="2" xfId="0" applyFont="1" applyBorder="1"/>
    <xf numFmtId="3" fontId="0" fillId="0" borderId="0" xfId="0" applyNumberFormat="1"/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7" fillId="0" borderId="0" xfId="0" applyFont="1"/>
    <xf numFmtId="0" fontId="4" fillId="0" borderId="0" xfId="2" applyFill="1"/>
    <xf numFmtId="41" fontId="0" fillId="0" borderId="1" xfId="1" applyFont="1" applyBorder="1"/>
    <xf numFmtId="41" fontId="1" fillId="2" borderId="1" xfId="1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3" fontId="1" fillId="0" borderId="0" xfId="0" applyNumberFormat="1" applyFont="1"/>
    <xf numFmtId="41" fontId="0" fillId="0" borderId="0" xfId="0" applyNumberFormat="1"/>
    <xf numFmtId="41" fontId="0" fillId="0" borderId="1" xfId="0" applyNumberFormat="1" applyBorder="1"/>
    <xf numFmtId="41" fontId="1" fillId="2" borderId="1" xfId="0" applyNumberFormat="1" applyFont="1" applyFill="1" applyBorder="1"/>
    <xf numFmtId="164" fontId="0" fillId="0" borderId="1" xfId="3" applyNumberFormat="1" applyFont="1" applyBorder="1"/>
    <xf numFmtId="0" fontId="4" fillId="0" borderId="0" xfId="2"/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41" fontId="1" fillId="3" borderId="1" xfId="1" applyFont="1" applyFill="1" applyBorder="1"/>
    <xf numFmtId="164" fontId="1" fillId="2" borderId="1" xfId="3" applyNumberFormat="1" applyFont="1" applyFill="1" applyBorder="1" applyAlignment="1"/>
    <xf numFmtId="164" fontId="0" fillId="0" borderId="1" xfId="3" applyNumberFormat="1" applyFont="1" applyBorder="1" applyAlignment="1">
      <alignment horizontal="left"/>
    </xf>
    <xf numFmtId="164" fontId="0" fillId="0" borderId="0" xfId="3" applyNumberFormat="1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8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1" fontId="1" fillId="2" borderId="1" xfId="1" applyFont="1" applyFill="1" applyBorder="1" applyAlignment="1">
      <alignment horizontal="center" vertical="center" wrapText="1"/>
    </xf>
    <xf numFmtId="41" fontId="1" fillId="2" borderId="2" xfId="1" applyFont="1" applyFill="1" applyBorder="1" applyAlignment="1">
      <alignment horizontal="center" vertical="center" wrapText="1"/>
    </xf>
    <xf numFmtId="41" fontId="1" fillId="2" borderId="8" xfId="1" applyFont="1" applyFill="1" applyBorder="1" applyAlignment="1">
      <alignment horizontal="center" vertical="center" wrapText="1"/>
    </xf>
    <xf numFmtId="41" fontId="1" fillId="2" borderId="5" xfId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41" fontId="1" fillId="6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3" fontId="1" fillId="2" borderId="1" xfId="0" applyNumberFormat="1" applyFont="1" applyFill="1" applyBorder="1"/>
    <xf numFmtId="3" fontId="0" fillId="0" borderId="1" xfId="0" applyNumberFormat="1" applyBorder="1"/>
    <xf numFmtId="3" fontId="0" fillId="4" borderId="1" xfId="0" applyNumberForma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71" fontId="1" fillId="2" borderId="5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164" fontId="0" fillId="4" borderId="1" xfId="0" applyNumberFormat="1" applyFill="1" applyBorder="1"/>
    <xf numFmtId="164" fontId="1" fillId="2" borderId="1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left" indent="1"/>
    </xf>
    <xf numFmtId="3" fontId="0" fillId="0" borderId="1" xfId="0" applyNumberFormat="1" applyBorder="1"/>
    <xf numFmtId="0" fontId="0" fillId="0" borderId="1" xfId="0" applyBorder="1" applyAlignment="1">
      <alignment horizontal="left" indent="1"/>
    </xf>
    <xf numFmtId="3" fontId="0" fillId="0" borderId="1" xfId="0" applyNumberFormat="1" applyBorder="1"/>
    <xf numFmtId="0" fontId="0" fillId="0" borderId="1" xfId="0" applyBorder="1" applyAlignment="1">
      <alignment horizontal="left"/>
    </xf>
    <xf numFmtId="3" fontId="1" fillId="2" borderId="1" xfId="0" applyNumberFormat="1" applyFont="1" applyFill="1" applyBorder="1"/>
    <xf numFmtId="0" fontId="0" fillId="0" borderId="1" xfId="0" applyBorder="1" applyAlignment="1">
      <alignment horizontal="left" indent="1"/>
    </xf>
    <xf numFmtId="3" fontId="1" fillId="3" borderId="1" xfId="0" applyNumberFormat="1" applyFont="1" applyFill="1" applyBorder="1"/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 indent="1"/>
    </xf>
    <xf numFmtId="3" fontId="1" fillId="3" borderId="1" xfId="0" applyNumberFormat="1" applyFont="1" applyFill="1" applyBorder="1"/>
    <xf numFmtId="3" fontId="0" fillId="0" borderId="1" xfId="0" applyNumberFormat="1" applyBorder="1"/>
    <xf numFmtId="171" fontId="1" fillId="2" borderId="1" xfId="4" applyFont="1" applyFill="1" applyBorder="1" applyAlignment="1">
      <alignment horizontal="center" vertical="center" wrapText="1"/>
    </xf>
    <xf numFmtId="171" fontId="1" fillId="2" borderId="8" xfId="4" applyFont="1" applyFill="1" applyBorder="1" applyAlignment="1">
      <alignment horizontal="center" vertical="center" wrapText="1"/>
    </xf>
    <xf numFmtId="171" fontId="1" fillId="2" borderId="2" xfId="4" applyFont="1" applyFill="1" applyBorder="1" applyAlignment="1">
      <alignment horizontal="center" vertical="center" wrapText="1"/>
    </xf>
    <xf numFmtId="171" fontId="1" fillId="4" borderId="1" xfId="4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Border="1"/>
    <xf numFmtId="171" fontId="0" fillId="0" borderId="1" xfId="4" applyFont="1" applyBorder="1"/>
    <xf numFmtId="171" fontId="1" fillId="2" borderId="1" xfId="4" applyFont="1" applyFill="1" applyBorder="1" applyAlignment="1">
      <alignment horizontal="center" vertical="center" wrapText="1"/>
    </xf>
    <xf numFmtId="171" fontId="0" fillId="0" borderId="1" xfId="0" applyNumberFormat="1" applyBorder="1"/>
    <xf numFmtId="171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171" fontId="1" fillId="2" borderId="3" xfId="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171" fontId="1" fillId="4" borderId="3" xfId="4" applyFont="1" applyFill="1" applyBorder="1" applyAlignment="1">
      <alignment horizontal="center" vertical="center" wrapText="1"/>
    </xf>
    <xf numFmtId="171" fontId="1" fillId="2" borderId="2" xfId="4" applyFont="1" applyFill="1" applyBorder="1" applyAlignment="1">
      <alignment horizontal="center"/>
    </xf>
    <xf numFmtId="171" fontId="1" fillId="2" borderId="8" xfId="4" applyFont="1" applyFill="1" applyBorder="1" applyAlignment="1">
      <alignment horizontal="center"/>
    </xf>
    <xf numFmtId="171" fontId="1" fillId="2" borderId="5" xfId="4" applyFont="1" applyFill="1" applyBorder="1" applyAlignment="1">
      <alignment horizontal="center"/>
    </xf>
    <xf numFmtId="171" fontId="1" fillId="2" borderId="4" xfId="4" applyFont="1" applyFill="1" applyBorder="1" applyAlignment="1">
      <alignment horizontal="center" vertical="center" wrapText="1"/>
    </xf>
    <xf numFmtId="171" fontId="1" fillId="4" borderId="6" xfId="4" applyFont="1" applyFill="1" applyBorder="1" applyAlignment="1">
      <alignment horizontal="center" vertical="center" wrapText="1"/>
    </xf>
    <xf numFmtId="171" fontId="1" fillId="4" borderId="4" xfId="4" applyFont="1" applyFill="1" applyBorder="1" applyAlignment="1">
      <alignment horizontal="center" vertical="center" wrapText="1"/>
    </xf>
    <xf numFmtId="171" fontId="1" fillId="2" borderId="1" xfId="4" applyFont="1" applyFill="1" applyBorder="1" applyAlignment="1">
      <alignment horizontal="center"/>
    </xf>
    <xf numFmtId="171" fontId="1" fillId="2" borderId="6" xfId="4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2" fillId="0" borderId="1" xfId="0" applyFont="1" applyBorder="1"/>
    <xf numFmtId="171" fontId="1" fillId="2" borderId="1" xfId="4" applyFont="1" applyFill="1" applyBorder="1"/>
    <xf numFmtId="171" fontId="1" fillId="2" borderId="1" xfId="4" applyFont="1" applyFill="1" applyBorder="1" applyAlignment="1"/>
    <xf numFmtId="171" fontId="1" fillId="2" borderId="1" xfId="4" applyFont="1" applyFill="1" applyBorder="1" applyAlignment="1">
      <alignment horizontal="center"/>
    </xf>
    <xf numFmtId="164" fontId="0" fillId="0" borderId="1" xfId="26" applyNumberFormat="1" applyFont="1" applyBorder="1"/>
    <xf numFmtId="164" fontId="1" fillId="3" borderId="1" xfId="26" applyNumberFormat="1" applyFont="1" applyFill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3" fontId="0" fillId="0" borderId="1" xfId="0" applyNumberFormat="1" applyBorder="1"/>
    <xf numFmtId="0" fontId="2" fillId="0" borderId="1" xfId="0" applyFont="1" applyBorder="1"/>
  </cellXfs>
  <cellStyles count="37">
    <cellStyle name="Hipervínculo" xfId="2" builtinId="8"/>
    <cellStyle name="Millares" xfId="3" builtinId="3"/>
    <cellStyle name="Millares [0]" xfId="1" builtinId="6"/>
    <cellStyle name="Millares [0] 2" xfId="9" xr:uid="{775CF708-CF18-48B0-8DB3-67C3CC4C57ED}"/>
    <cellStyle name="Millares [0] 3" xfId="8" xr:uid="{93F854FB-1A87-474C-A7FE-AC42DC54C43A}"/>
    <cellStyle name="Millares [0] 3 2" xfId="33" xr:uid="{462058E9-B39F-43F8-9746-38CE017E3379}"/>
    <cellStyle name="Millares [0] 4" xfId="4" xr:uid="{1C82F623-741E-4105-A127-F80700FA8947}"/>
    <cellStyle name="Millares [0] 5" xfId="29" xr:uid="{B2BAA162-04BD-4E24-B9D1-72D3D2FA27E8}"/>
    <cellStyle name="Millares 10" xfId="15" xr:uid="{66607F21-ED93-476B-BDFC-9F17EB1A1303}"/>
    <cellStyle name="Millares 11" xfId="21" xr:uid="{1269FAE6-3AB5-4F3C-9691-8954700A9B8A}"/>
    <cellStyle name="Millares 12" xfId="19" xr:uid="{FAE33262-C9B4-45CB-837B-76A013906131}"/>
    <cellStyle name="Millares 13" xfId="17" xr:uid="{48753EEA-1385-4430-BFAA-C6C9D337C06A}"/>
    <cellStyle name="Millares 14" xfId="23" xr:uid="{7F5070C3-5154-41D0-9E1B-7E73BB5E6336}"/>
    <cellStyle name="Millares 15" xfId="24" xr:uid="{D42B11A9-0B5F-4B9E-93E9-97AD43F5454C}"/>
    <cellStyle name="Millares 16" xfId="25" xr:uid="{DE4CE275-54E9-4F41-8225-6E36DFAD1EF6}"/>
    <cellStyle name="Millares 17" xfId="26" xr:uid="{2D29969D-EEF8-47DF-A4AA-E27B9726D647}"/>
    <cellStyle name="Millares 18" xfId="30" xr:uid="{6492B244-924B-4ABC-99F1-E60BDCCAEFDF}"/>
    <cellStyle name="Millares 19" xfId="34" xr:uid="{BF01B79E-0801-4925-B2D8-831C0A2D194E}"/>
    <cellStyle name="Millares 2" xfId="7" xr:uid="{26EFE737-F06C-4116-A582-0749F469F663}"/>
    <cellStyle name="Millares 2 2" xfId="32" xr:uid="{F6AA3344-DA8A-4AC1-AEE4-245A02E41115}"/>
    <cellStyle name="Millares 20" xfId="27" xr:uid="{9F8FA158-8107-4C9F-97A5-320C08F83603}"/>
    <cellStyle name="Millares 21" xfId="28" xr:uid="{E0B2110C-37BC-48DB-9536-36C135A8353D}"/>
    <cellStyle name="Millares 3" xfId="13" xr:uid="{A99B9C98-31FD-4E31-BAA6-AD6001D3FF75}"/>
    <cellStyle name="Millares 3 2" xfId="35" xr:uid="{10DCF122-2944-4B5E-9FEC-0B8CA391AF15}"/>
    <cellStyle name="Millares 4" xfId="14" xr:uid="{4EC9F7A5-0BB8-44CC-931F-F9EB08F101AF}"/>
    <cellStyle name="Millares 4 2" xfId="36" xr:uid="{822AEC4C-22A6-435D-9DA8-58681F9F1235}"/>
    <cellStyle name="Millares 5" xfId="5" xr:uid="{14A2DA6A-7696-4676-8F99-0401FFD5EF30}"/>
    <cellStyle name="Millares 6" xfId="16" xr:uid="{1FEFBA2C-62B3-428B-9B96-20A4B4BCE829}"/>
    <cellStyle name="Millares 7" xfId="20" xr:uid="{F9DA37E4-3FE8-4725-90AA-31E6C5DBDAE0}"/>
    <cellStyle name="Millares 8" xfId="18" xr:uid="{A87CF1CE-C819-43F1-B135-5FB12462242A}"/>
    <cellStyle name="Millares 9" xfId="22" xr:uid="{A86CE9D8-FDA8-4D62-BECA-756DE4AD14ED}"/>
    <cellStyle name="Normal" xfId="0" builtinId="0"/>
    <cellStyle name="Normal 2" xfId="10" xr:uid="{3DD35C12-A353-40D1-A176-334189829885}"/>
    <cellStyle name="Normal 3" xfId="11" xr:uid="{404B0327-DCDD-4479-8191-F3839AECBC27}"/>
    <cellStyle name="Normal 4" xfId="6" xr:uid="{319BE361-855D-4821-AE86-960C3AA1E5A8}"/>
    <cellStyle name="Normal 4 2" xfId="31" xr:uid="{DECE798D-83E5-4DD8-AAF0-17087974A2D2}"/>
    <cellStyle name="Normal 5" xfId="12" xr:uid="{495CA538-8E8D-4324-8734-CD0C8C9379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4521-9597-4945-849C-08E8D809BA58}">
  <dimension ref="A1:A20"/>
  <sheetViews>
    <sheetView showGridLines="0" tabSelected="1" workbookViewId="0"/>
  </sheetViews>
  <sheetFormatPr baseColWidth="10" defaultColWidth="11.453125" defaultRowHeight="18.5" x14ac:dyDescent="0.45"/>
  <cols>
    <col min="1" max="1" width="109.26953125" style="16" customWidth="1"/>
    <col min="2" max="16384" width="11.453125" style="16"/>
  </cols>
  <sheetData>
    <row r="1" spans="1:1" ht="19.5" thickTop="1" thickBot="1" x14ac:dyDescent="0.5">
      <c r="A1" s="15" t="s">
        <v>1440</v>
      </c>
    </row>
    <row r="2" spans="1:1" ht="19" thickTop="1" x14ac:dyDescent="0.45"/>
    <row r="3" spans="1:1" x14ac:dyDescent="0.45">
      <c r="A3" s="17" t="s">
        <v>0</v>
      </c>
    </row>
    <row r="4" spans="1:1" x14ac:dyDescent="0.45">
      <c r="A4" s="17" t="s">
        <v>1182</v>
      </c>
    </row>
    <row r="5" spans="1:1" x14ac:dyDescent="0.45">
      <c r="A5" s="17" t="s">
        <v>1308</v>
      </c>
    </row>
    <row r="6" spans="1:1" x14ac:dyDescent="0.45">
      <c r="A6" s="17" t="s">
        <v>1289</v>
      </c>
    </row>
    <row r="7" spans="1:1" x14ac:dyDescent="0.45">
      <c r="A7" s="17" t="s">
        <v>1309</v>
      </c>
    </row>
    <row r="8" spans="1:1" x14ac:dyDescent="0.45">
      <c r="A8" s="17" t="s">
        <v>1310</v>
      </c>
    </row>
    <row r="9" spans="1:1" x14ac:dyDescent="0.45">
      <c r="A9" s="17" t="s">
        <v>1437</v>
      </c>
    </row>
    <row r="10" spans="1:1" x14ac:dyDescent="0.45">
      <c r="A10" s="17" t="s">
        <v>1311</v>
      </c>
    </row>
    <row r="11" spans="1:1" x14ac:dyDescent="0.45">
      <c r="A11" s="17" t="s">
        <v>1312</v>
      </c>
    </row>
    <row r="12" spans="1:1" x14ac:dyDescent="0.45">
      <c r="A12" s="17" t="s">
        <v>1313</v>
      </c>
    </row>
    <row r="13" spans="1:1" x14ac:dyDescent="0.45">
      <c r="A13" s="17" t="s">
        <v>1298</v>
      </c>
    </row>
    <row r="14" spans="1:1" x14ac:dyDescent="0.45">
      <c r="A14" s="17" t="s">
        <v>1314</v>
      </c>
    </row>
    <row r="15" spans="1:1" x14ac:dyDescent="0.45">
      <c r="A15" s="17" t="s">
        <v>1315</v>
      </c>
    </row>
    <row r="16" spans="1:1" x14ac:dyDescent="0.45">
      <c r="A16" s="35" t="s">
        <v>1316</v>
      </c>
    </row>
    <row r="17" spans="1:1" x14ac:dyDescent="0.45">
      <c r="A17" s="35" t="s">
        <v>1317</v>
      </c>
    </row>
    <row r="18" spans="1:1" x14ac:dyDescent="0.45">
      <c r="A18" s="35" t="s">
        <v>1306</v>
      </c>
    </row>
    <row r="19" spans="1:1" x14ac:dyDescent="0.45">
      <c r="A19" s="35" t="s">
        <v>1438</v>
      </c>
    </row>
    <row r="20" spans="1:1" x14ac:dyDescent="0.45">
      <c r="A20" s="35" t="s">
        <v>1307</v>
      </c>
    </row>
  </sheetData>
  <hyperlinks>
    <hyperlink ref="A4" location="'Tabla 2'!A1" display="Tabla 2. Estructura Empresarial según tamaño de empresa y sector económico (Total empresas y activos ($))" xr:uid="{5C9CC88E-2077-4ACA-BF23-8E256343B515}"/>
    <hyperlink ref="A5" location="'Tabla 3'!A1" display="Tabla 3. Estructura empresarial según sector económico y centro regional (Total empresas y activos ($))" xr:uid="{1182F786-B81A-45EF-9610-083C388A3DEF}"/>
    <hyperlink ref="A6" location="'Tabla 4'!A1" display="Tabla 4. Estructura Empresarial según sector económico, tamaño de empresa y Centro Regional (Total empresas y activos ($))" xr:uid="{C5BC938F-91B8-490B-996B-181218930CED}"/>
    <hyperlink ref="A7" location="'Tabla 5'!A1" display="Tabla 5. Estructura empresarial según divisiones de la CIIU (Total empresas y activos ($))" xr:uid="{38B453CE-9172-470C-A62B-1B158339CEA8}"/>
    <hyperlink ref="A8" location="'Tabla 6'!A1" display="Tabla 6. Estructura empresarial según centro regional/municipio y tamaño de empresa (Total empresas y activos ($))" xr:uid="{876C9A05-D15A-4E28-B66A-110C3C09921D}"/>
    <hyperlink ref="A9" location="'Tabla 7'!A1" display="Tabla 7. Estructura empresarial, según actividad económica  (Total empresas y activos ($))" xr:uid="{46D19EAA-FAE9-4D0F-A2F8-F18A181C5E85}"/>
    <hyperlink ref="A10" location="'Tabla 8'!A1" display="Tabla 8. Estructura empresarial según actividad económica, centro regional y tamaño (Total empresas)" xr:uid="{1775F361-FBFA-4E0A-A4F0-3A8174B32D97}"/>
    <hyperlink ref="A11" location="'Tabla 9'!A1" display="Tabla 9. Estructura empresarial según actividad económica, centro regional, naturaleza jurídica y tamaño de empresa (Total empresas)" xr:uid="{4C5E4B0D-A32A-453E-8055-1C06071D0A08}"/>
    <hyperlink ref="A12" location="'Tabla 10'!A1" display="Tabla 10. Estructura empresarial de Medellín, según comuna y tamaño de empresa (Total empresas y a ctivos ($))" xr:uid="{0BC9C897-0B10-46D5-8BFD-3FAE8447BD53}"/>
    <hyperlink ref="A13" location="'Tabla 11'!A1" display="Tabla 11. Estructura empresarial de Medellín, según sector económico y comuna (Total empresas)" xr:uid="{4CD32100-5C8B-4AFB-B64C-400DC3FF50EC}"/>
    <hyperlink ref="A14" location="'Tabla 12'!A1" display="Tabla 12. Estructura empresarial Medellín, según comunas y divisiones de la CIIU (Total empresas)" xr:uid="{DC5F2BDF-EA8F-4904-994B-F57D153D0AAE}"/>
    <hyperlink ref="A15" location="'Tabla 13'!A1" display="Tabla 13. Estructura empresarial Medellín, según comunas y actividad económica (Total empresas)" xr:uid="{2D3974C3-6EEA-4F0F-8826-FB9C5B39BB39}"/>
    <hyperlink ref="A3" location="'Tabla 1'!A1" display="Tabla 1. Estructura Empresarial según tipo de sociedad (Total empresas y activos ($))" xr:uid="{F1A423E2-CC05-42E1-BE89-63E601C80D79}"/>
    <hyperlink ref="A16" location="'Tabla 14'!A1" display="Tabla 14" xr:uid="{FA1D6A17-013D-4EEA-8C04-2DD94E013568}"/>
    <hyperlink ref="A17" location="'Tabla 15'!A1" display="Tabla 15" xr:uid="{813AFB82-CA57-4BB9-A686-9E992B92DFCB}"/>
    <hyperlink ref="A18" location="'Tabla 16'!A1" display="Tabla 16" xr:uid="{D91AAE2E-AEB6-4A82-B16B-9B3466F1A870}"/>
    <hyperlink ref="A19" location="'Tabla 17'!A1" display="Tabla 17" xr:uid="{FB7A682D-F9C3-454C-8623-E984723660E5}"/>
    <hyperlink ref="A20" location="'Tabla 18'!A1" display="Tabla 18" xr:uid="{BAAA9453-7E54-4E42-BEC9-E4FC871D26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7E1E-9633-4B4B-8934-B273B6B26A46}">
  <dimension ref="A1:F20"/>
  <sheetViews>
    <sheetView workbookViewId="0">
      <selection activeCell="F1" sqref="F1"/>
    </sheetView>
  </sheetViews>
  <sheetFormatPr baseColWidth="10" defaultColWidth="11.453125" defaultRowHeight="14.5" x14ac:dyDescent="0.35"/>
  <cols>
    <col min="1" max="1" width="16.81640625" customWidth="1"/>
    <col min="2" max="2" width="35.90625" customWidth="1"/>
    <col min="3" max="3" width="21.54296875" bestFit="1" customWidth="1"/>
    <col min="4" max="4" width="21.54296875" customWidth="1"/>
  </cols>
  <sheetData>
    <row r="1" spans="1:6" ht="18.5" x14ac:dyDescent="0.45">
      <c r="A1" s="21" t="s">
        <v>0</v>
      </c>
      <c r="F1" s="17" t="s">
        <v>1</v>
      </c>
    </row>
    <row r="3" spans="1:6" x14ac:dyDescent="0.35">
      <c r="A3" s="43" t="s">
        <v>2</v>
      </c>
      <c r="B3" s="44"/>
      <c r="C3" s="20" t="s">
        <v>3</v>
      </c>
      <c r="D3" s="20" t="s">
        <v>4</v>
      </c>
    </row>
    <row r="4" spans="1:6" x14ac:dyDescent="0.35">
      <c r="A4" s="18">
        <v>1</v>
      </c>
      <c r="B4" s="18" t="s">
        <v>5</v>
      </c>
      <c r="C4" s="18">
        <v>89377</v>
      </c>
      <c r="D4" s="18">
        <v>3455003843132</v>
      </c>
    </row>
    <row r="5" spans="1:6" x14ac:dyDescent="0.35">
      <c r="A5" s="18">
        <v>3</v>
      </c>
      <c r="B5" s="18" t="s">
        <v>6</v>
      </c>
      <c r="C5" s="18">
        <v>1220</v>
      </c>
      <c r="D5" s="18">
        <v>8062743858866</v>
      </c>
    </row>
    <row r="6" spans="1:6" x14ac:dyDescent="0.35">
      <c r="A6" s="18">
        <v>4</v>
      </c>
      <c r="B6" s="18" t="s">
        <v>7</v>
      </c>
      <c r="C6" s="18">
        <v>875</v>
      </c>
      <c r="D6" s="18">
        <v>509557710377730</v>
      </c>
    </row>
    <row r="7" spans="1:6" x14ac:dyDescent="0.35">
      <c r="A7" s="18">
        <v>5</v>
      </c>
      <c r="B7" s="18" t="s">
        <v>8</v>
      </c>
      <c r="C7" s="18">
        <v>3</v>
      </c>
      <c r="D7" s="18">
        <v>902292557</v>
      </c>
    </row>
    <row r="8" spans="1:6" x14ac:dyDescent="0.35">
      <c r="A8" s="18">
        <v>6</v>
      </c>
      <c r="B8" s="18" t="s">
        <v>9</v>
      </c>
      <c r="C8" s="18">
        <v>319</v>
      </c>
      <c r="D8" s="18">
        <v>550220072296</v>
      </c>
    </row>
    <row r="9" spans="1:6" x14ac:dyDescent="0.35">
      <c r="A9" s="18">
        <v>7</v>
      </c>
      <c r="B9" s="18" t="s">
        <v>10</v>
      </c>
      <c r="C9" s="18">
        <v>206</v>
      </c>
      <c r="D9" s="18">
        <v>31141179993630</v>
      </c>
    </row>
    <row r="10" spans="1:6" x14ac:dyDescent="0.35">
      <c r="A10" s="18">
        <v>8</v>
      </c>
      <c r="B10" s="18" t="s">
        <v>11</v>
      </c>
      <c r="C10" s="18" t="s">
        <v>1353</v>
      </c>
      <c r="D10" s="18" t="s">
        <v>1354</v>
      </c>
    </row>
    <row r="11" spans="1:6" x14ac:dyDescent="0.35">
      <c r="A11" s="18">
        <v>9</v>
      </c>
      <c r="B11" s="18" t="s">
        <v>12</v>
      </c>
      <c r="C11" s="18">
        <v>110</v>
      </c>
      <c r="D11" s="18">
        <v>48955869619</v>
      </c>
    </row>
    <row r="12" spans="1:6" x14ac:dyDescent="0.35">
      <c r="A12" s="18">
        <v>10</v>
      </c>
      <c r="B12" s="18" t="s">
        <v>13</v>
      </c>
      <c r="C12" s="18">
        <v>22</v>
      </c>
      <c r="D12" s="18">
        <v>6326456053</v>
      </c>
    </row>
    <row r="13" spans="1:6" x14ac:dyDescent="0.35">
      <c r="A13" s="18">
        <v>11</v>
      </c>
      <c r="B13" s="18" t="s">
        <v>14</v>
      </c>
      <c r="C13" s="18">
        <v>1</v>
      </c>
      <c r="D13" s="18">
        <v>14100000</v>
      </c>
    </row>
    <row r="14" spans="1:6" x14ac:dyDescent="0.35">
      <c r="A14" s="18">
        <v>12</v>
      </c>
      <c r="B14" s="18" t="s">
        <v>15</v>
      </c>
      <c r="C14" s="18">
        <v>66863</v>
      </c>
      <c r="D14" s="18">
        <v>358848854585603</v>
      </c>
    </row>
    <row r="15" spans="1:6" x14ac:dyDescent="0.35">
      <c r="A15" s="18">
        <v>93</v>
      </c>
      <c r="B15" s="18" t="s">
        <v>1319</v>
      </c>
      <c r="C15" s="18">
        <v>13</v>
      </c>
      <c r="D15" s="18">
        <v>12030856369</v>
      </c>
    </row>
    <row r="16" spans="1:6" x14ac:dyDescent="0.35">
      <c r="A16" s="43" t="s">
        <v>16</v>
      </c>
      <c r="B16" s="44"/>
      <c r="C16" s="19">
        <f>SUM(C4:C15)</f>
        <v>159009</v>
      </c>
      <c r="D16" s="19">
        <f>SUM(D4:D15)</f>
        <v>911683942305855</v>
      </c>
      <c r="F16" s="37"/>
    </row>
    <row r="18" spans="1:1" x14ac:dyDescent="0.35">
      <c r="A18" t="s">
        <v>1355</v>
      </c>
    </row>
    <row r="19" spans="1:1" x14ac:dyDescent="0.35">
      <c r="A19" t="s">
        <v>17</v>
      </c>
    </row>
    <row r="20" spans="1:1" x14ac:dyDescent="0.35">
      <c r="A20" t="s">
        <v>1320</v>
      </c>
    </row>
  </sheetData>
  <mergeCells count="2">
    <mergeCell ref="A3:B3"/>
    <mergeCell ref="A16:B16"/>
  </mergeCells>
  <hyperlinks>
    <hyperlink ref="F1" location="Índice!A1" display="Volver al índice" xr:uid="{3200F626-98D0-49D6-9D68-E9793A841AFA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8274-85C7-4687-BEB4-63174C04335F}">
  <dimension ref="A1:L32"/>
  <sheetViews>
    <sheetView workbookViewId="0">
      <selection activeCell="I1" sqref="I1"/>
    </sheetView>
  </sheetViews>
  <sheetFormatPr baseColWidth="10" defaultColWidth="11.453125" defaultRowHeight="14.5" x14ac:dyDescent="0.35"/>
  <cols>
    <col min="2" max="2" width="46.26953125" customWidth="1"/>
    <col min="3" max="6" width="11.54296875" bestFit="1" customWidth="1"/>
    <col min="7" max="7" width="16.453125" bestFit="1" customWidth="1"/>
    <col min="8" max="9" width="17.453125" bestFit="1" customWidth="1"/>
    <col min="10" max="10" width="18.453125" bestFit="1" customWidth="1"/>
    <col min="11" max="11" width="11.54296875" bestFit="1" customWidth="1"/>
    <col min="12" max="12" width="18.453125" bestFit="1" customWidth="1"/>
  </cols>
  <sheetData>
    <row r="1" spans="1:12" ht="18.5" x14ac:dyDescent="0.45">
      <c r="A1" s="21" t="s">
        <v>1286</v>
      </c>
      <c r="I1" s="17" t="s">
        <v>1</v>
      </c>
    </row>
    <row r="3" spans="1:12" ht="15" customHeight="1" x14ac:dyDescent="0.35">
      <c r="A3" s="48" t="s">
        <v>18</v>
      </c>
      <c r="B3" s="48" t="s">
        <v>19</v>
      </c>
      <c r="C3" s="43" t="s">
        <v>3</v>
      </c>
      <c r="D3" s="47"/>
      <c r="E3" s="47"/>
      <c r="F3" s="44"/>
      <c r="G3" s="43" t="s">
        <v>4</v>
      </c>
      <c r="H3" s="47"/>
      <c r="I3" s="47"/>
      <c r="J3" s="44"/>
      <c r="K3" s="45" t="s">
        <v>20</v>
      </c>
      <c r="L3" s="45" t="s">
        <v>21</v>
      </c>
    </row>
    <row r="4" spans="1:12" x14ac:dyDescent="0.35">
      <c r="A4" s="49"/>
      <c r="B4" s="49"/>
      <c r="C4" s="22" t="s">
        <v>22</v>
      </c>
      <c r="D4" s="22" t="s">
        <v>23</v>
      </c>
      <c r="E4" s="22" t="s">
        <v>24</v>
      </c>
      <c r="F4" s="22" t="s">
        <v>25</v>
      </c>
      <c r="G4" s="22" t="s">
        <v>22</v>
      </c>
      <c r="H4" s="22" t="s">
        <v>23</v>
      </c>
      <c r="I4" s="22" t="s">
        <v>24</v>
      </c>
      <c r="J4" s="22" t="s">
        <v>25</v>
      </c>
      <c r="K4" s="46"/>
      <c r="L4" s="46"/>
    </row>
    <row r="5" spans="1:12" x14ac:dyDescent="0.35">
      <c r="A5" s="3" t="s">
        <v>26</v>
      </c>
      <c r="B5" s="13" t="s">
        <v>27</v>
      </c>
      <c r="C5" s="10">
        <v>2179</v>
      </c>
      <c r="D5" s="10">
        <v>842</v>
      </c>
      <c r="E5" s="10">
        <v>292</v>
      </c>
      <c r="F5" s="10">
        <v>69</v>
      </c>
      <c r="G5" s="10">
        <v>185358421631</v>
      </c>
      <c r="H5" s="10">
        <v>2074135578884</v>
      </c>
      <c r="I5" s="10">
        <v>4364415899584</v>
      </c>
      <c r="J5" s="10">
        <v>6336666842601</v>
      </c>
      <c r="K5" s="10">
        <f>SUM(C5:F5)</f>
        <v>3382</v>
      </c>
      <c r="L5" s="10">
        <f>SUM(G5:J5)</f>
        <v>12960576742700</v>
      </c>
    </row>
    <row r="6" spans="1:12" x14ac:dyDescent="0.35">
      <c r="A6" s="3" t="s">
        <v>28</v>
      </c>
      <c r="B6" s="13" t="s">
        <v>29</v>
      </c>
      <c r="C6" s="10">
        <v>412</v>
      </c>
      <c r="D6" s="10">
        <v>119</v>
      </c>
      <c r="E6" s="10">
        <v>33</v>
      </c>
      <c r="F6" s="10">
        <v>25</v>
      </c>
      <c r="G6" s="10">
        <v>37083557102</v>
      </c>
      <c r="H6" s="10">
        <v>285298419002</v>
      </c>
      <c r="I6" s="10">
        <v>466488457830</v>
      </c>
      <c r="J6" s="10">
        <v>143753721658494</v>
      </c>
      <c r="K6" s="10">
        <f t="shared" ref="K6:K26" si="0">SUM(C6:F6)</f>
        <v>589</v>
      </c>
      <c r="L6" s="10">
        <f t="shared" ref="L6:L26" si="1">SUM(G6:J6)</f>
        <v>144542592092428</v>
      </c>
    </row>
    <row r="7" spans="1:12" x14ac:dyDescent="0.35">
      <c r="A7" s="3" t="s">
        <v>30</v>
      </c>
      <c r="B7" s="13" t="s">
        <v>31</v>
      </c>
      <c r="C7" s="10">
        <v>16685</v>
      </c>
      <c r="D7" s="10">
        <v>1577</v>
      </c>
      <c r="E7" s="10">
        <v>305</v>
      </c>
      <c r="F7" s="10">
        <v>103</v>
      </c>
      <c r="G7" s="10">
        <v>734509757710</v>
      </c>
      <c r="H7" s="10">
        <v>3304888044858</v>
      </c>
      <c r="I7" s="10">
        <v>4874133822046</v>
      </c>
      <c r="J7" s="10">
        <v>42927117418671</v>
      </c>
      <c r="K7" s="10">
        <f t="shared" si="0"/>
        <v>18670</v>
      </c>
      <c r="L7" s="10">
        <f t="shared" si="1"/>
        <v>51840649043285</v>
      </c>
    </row>
    <row r="8" spans="1:12" x14ac:dyDescent="0.35">
      <c r="A8" s="3" t="s">
        <v>32</v>
      </c>
      <c r="B8" s="13" t="s">
        <v>33</v>
      </c>
      <c r="C8" s="10">
        <v>195</v>
      </c>
      <c r="D8" s="10">
        <v>36</v>
      </c>
      <c r="E8" s="10">
        <v>29</v>
      </c>
      <c r="F8" s="10">
        <v>29</v>
      </c>
      <c r="G8" s="10">
        <v>10405706320</v>
      </c>
      <c r="H8" s="10">
        <v>86466103692</v>
      </c>
      <c r="I8" s="10">
        <v>564362918157</v>
      </c>
      <c r="J8" s="10">
        <v>56791578292759</v>
      </c>
      <c r="K8" s="10">
        <f t="shared" si="0"/>
        <v>289</v>
      </c>
      <c r="L8" s="10">
        <f t="shared" si="1"/>
        <v>57452813020928</v>
      </c>
    </row>
    <row r="9" spans="1:12" x14ac:dyDescent="0.35">
      <c r="A9" s="3" t="s">
        <v>34</v>
      </c>
      <c r="B9" s="13" t="s">
        <v>35</v>
      </c>
      <c r="C9" s="10">
        <v>530</v>
      </c>
      <c r="D9" s="10">
        <v>59</v>
      </c>
      <c r="E9" s="10">
        <v>10</v>
      </c>
      <c r="F9" s="10">
        <v>2</v>
      </c>
      <c r="G9" s="10">
        <v>23647033347</v>
      </c>
      <c r="H9" s="10">
        <v>107326761286</v>
      </c>
      <c r="I9" s="10">
        <v>167625643300</v>
      </c>
      <c r="J9" s="10">
        <v>3388492897644</v>
      </c>
      <c r="K9" s="10">
        <f t="shared" si="0"/>
        <v>601</v>
      </c>
      <c r="L9" s="10">
        <f t="shared" si="1"/>
        <v>3687092335577</v>
      </c>
    </row>
    <row r="10" spans="1:12" x14ac:dyDescent="0.35">
      <c r="A10" s="3" t="s">
        <v>36</v>
      </c>
      <c r="B10" s="13" t="s">
        <v>37</v>
      </c>
      <c r="C10" s="10">
        <v>6486</v>
      </c>
      <c r="D10" s="10">
        <v>1127</v>
      </c>
      <c r="E10" s="10">
        <v>314</v>
      </c>
      <c r="F10" s="10">
        <v>115</v>
      </c>
      <c r="G10" s="10">
        <v>423472092816</v>
      </c>
      <c r="H10" s="10">
        <v>2515243755466</v>
      </c>
      <c r="I10" s="10">
        <v>4923521810061</v>
      </c>
      <c r="J10" s="10">
        <v>30948271309762</v>
      </c>
      <c r="K10" s="10">
        <f t="shared" si="0"/>
        <v>8042</v>
      </c>
      <c r="L10" s="10">
        <f t="shared" si="1"/>
        <v>38810508968105</v>
      </c>
    </row>
    <row r="11" spans="1:12" x14ac:dyDescent="0.35">
      <c r="A11" s="3" t="s">
        <v>38</v>
      </c>
      <c r="B11" s="13" t="s">
        <v>39</v>
      </c>
      <c r="C11" s="10">
        <v>52137</v>
      </c>
      <c r="D11" s="10">
        <v>2983</v>
      </c>
      <c r="E11" s="10">
        <v>555</v>
      </c>
      <c r="F11" s="10">
        <v>126</v>
      </c>
      <c r="G11" s="10">
        <v>1549492356362</v>
      </c>
      <c r="H11" s="10">
        <v>6177490562769</v>
      </c>
      <c r="I11" s="10">
        <v>8035882012426</v>
      </c>
      <c r="J11" s="10">
        <v>18622805317523</v>
      </c>
      <c r="K11" s="10">
        <f t="shared" si="0"/>
        <v>55801</v>
      </c>
      <c r="L11" s="10">
        <f t="shared" si="1"/>
        <v>34385670249080</v>
      </c>
    </row>
    <row r="12" spans="1:12" x14ac:dyDescent="0.35">
      <c r="A12" s="3" t="s">
        <v>40</v>
      </c>
      <c r="B12" s="13" t="s">
        <v>41</v>
      </c>
      <c r="C12" s="10">
        <v>3033</v>
      </c>
      <c r="D12" s="10">
        <v>522</v>
      </c>
      <c r="E12" s="10">
        <v>106</v>
      </c>
      <c r="F12" s="10">
        <v>19</v>
      </c>
      <c r="G12" s="10">
        <v>157534458511</v>
      </c>
      <c r="H12" s="10">
        <v>1134361685141</v>
      </c>
      <c r="I12" s="10">
        <v>1624508245203</v>
      </c>
      <c r="J12" s="10">
        <v>10142313748765</v>
      </c>
      <c r="K12" s="10">
        <f t="shared" si="0"/>
        <v>3680</v>
      </c>
      <c r="L12" s="10">
        <f t="shared" si="1"/>
        <v>13058718137620</v>
      </c>
    </row>
    <row r="13" spans="1:12" x14ac:dyDescent="0.35">
      <c r="A13" s="3" t="s">
        <v>42</v>
      </c>
      <c r="B13" s="13" t="s">
        <v>43</v>
      </c>
      <c r="C13" s="10">
        <v>17983</v>
      </c>
      <c r="D13" s="10">
        <v>410</v>
      </c>
      <c r="E13" s="10">
        <v>83</v>
      </c>
      <c r="F13" s="10">
        <v>10</v>
      </c>
      <c r="G13" s="10">
        <v>306519784288</v>
      </c>
      <c r="H13" s="10">
        <v>824034751603</v>
      </c>
      <c r="I13" s="10">
        <v>1230856400965</v>
      </c>
      <c r="J13" s="10">
        <v>1008934365445</v>
      </c>
      <c r="K13" s="10">
        <f t="shared" si="0"/>
        <v>18486</v>
      </c>
      <c r="L13" s="10">
        <f t="shared" si="1"/>
        <v>3370345302301</v>
      </c>
    </row>
    <row r="14" spans="1:12" x14ac:dyDescent="0.35">
      <c r="A14" s="3" t="s">
        <v>44</v>
      </c>
      <c r="B14" s="13" t="s">
        <v>45</v>
      </c>
      <c r="C14" s="10">
        <v>3862</v>
      </c>
      <c r="D14" s="10">
        <v>562</v>
      </c>
      <c r="E14" s="10">
        <v>86</v>
      </c>
      <c r="F14" s="10">
        <v>27</v>
      </c>
      <c r="G14" s="10">
        <v>265416386093</v>
      </c>
      <c r="H14" s="10">
        <v>1145872803079</v>
      </c>
      <c r="I14" s="10">
        <v>1190866149384</v>
      </c>
      <c r="J14" s="10">
        <v>8035025893330</v>
      </c>
      <c r="K14" s="10">
        <f t="shared" si="0"/>
        <v>4537</v>
      </c>
      <c r="L14" s="10">
        <f t="shared" si="1"/>
        <v>10637181231886</v>
      </c>
    </row>
    <row r="15" spans="1:12" x14ac:dyDescent="0.35">
      <c r="A15" s="3" t="s">
        <v>46</v>
      </c>
      <c r="B15" s="13" t="s">
        <v>47</v>
      </c>
      <c r="C15" s="10">
        <v>1529</v>
      </c>
      <c r="D15" s="10">
        <v>377</v>
      </c>
      <c r="E15" s="10">
        <v>203</v>
      </c>
      <c r="F15" s="10">
        <v>98</v>
      </c>
      <c r="G15" s="10">
        <v>112693469705</v>
      </c>
      <c r="H15" s="10">
        <v>864700724462</v>
      </c>
      <c r="I15" s="10">
        <v>3570510991598</v>
      </c>
      <c r="J15" s="10">
        <v>404304456508746</v>
      </c>
      <c r="K15" s="10">
        <f t="shared" si="0"/>
        <v>2207</v>
      </c>
      <c r="L15" s="10">
        <f t="shared" si="1"/>
        <v>408852361694511</v>
      </c>
    </row>
    <row r="16" spans="1:12" x14ac:dyDescent="0.35">
      <c r="A16" s="3" t="s">
        <v>48</v>
      </c>
      <c r="B16" s="13" t="s">
        <v>49</v>
      </c>
      <c r="C16" s="10">
        <v>6017</v>
      </c>
      <c r="D16" s="10">
        <v>2589</v>
      </c>
      <c r="E16" s="10">
        <v>857</v>
      </c>
      <c r="F16" s="10">
        <v>137</v>
      </c>
      <c r="G16" s="10">
        <v>513617486759</v>
      </c>
      <c r="H16" s="10">
        <v>6313375677229</v>
      </c>
      <c r="I16" s="10">
        <v>13059214918024</v>
      </c>
      <c r="J16" s="10">
        <v>46554205991969</v>
      </c>
      <c r="K16" s="10">
        <f t="shared" si="0"/>
        <v>9600</v>
      </c>
      <c r="L16" s="10">
        <f t="shared" si="1"/>
        <v>66440414073981</v>
      </c>
    </row>
    <row r="17" spans="1:12" x14ac:dyDescent="0.35">
      <c r="A17" s="3" t="s">
        <v>50</v>
      </c>
      <c r="B17" s="13" t="s">
        <v>51</v>
      </c>
      <c r="C17" s="10">
        <v>10787</v>
      </c>
      <c r="D17" s="10">
        <v>1856</v>
      </c>
      <c r="E17" s="10">
        <v>432</v>
      </c>
      <c r="F17" s="10">
        <v>121</v>
      </c>
      <c r="G17" s="10">
        <v>791873025456</v>
      </c>
      <c r="H17" s="10">
        <v>4052600658438</v>
      </c>
      <c r="I17" s="10">
        <v>6669116894140</v>
      </c>
      <c r="J17" s="10">
        <v>31213347260706</v>
      </c>
      <c r="K17" s="10">
        <f t="shared" si="0"/>
        <v>13196</v>
      </c>
      <c r="L17" s="10">
        <f t="shared" si="1"/>
        <v>42726937838740</v>
      </c>
    </row>
    <row r="18" spans="1:12" x14ac:dyDescent="0.35">
      <c r="A18" s="3" t="s">
        <v>52</v>
      </c>
      <c r="B18" s="13" t="s">
        <v>53</v>
      </c>
      <c r="C18" s="10">
        <v>5832</v>
      </c>
      <c r="D18" s="10">
        <v>638</v>
      </c>
      <c r="E18" s="10">
        <v>164</v>
      </c>
      <c r="F18" s="10">
        <v>38</v>
      </c>
      <c r="G18" s="10">
        <v>251204737311</v>
      </c>
      <c r="H18" s="10">
        <v>1444334515397</v>
      </c>
      <c r="I18" s="10">
        <v>2462442516475</v>
      </c>
      <c r="J18" s="10">
        <v>8366690362210</v>
      </c>
      <c r="K18" s="10">
        <f t="shared" si="0"/>
        <v>6672</v>
      </c>
      <c r="L18" s="10">
        <f t="shared" si="1"/>
        <v>12524672131393</v>
      </c>
    </row>
    <row r="19" spans="1:12" x14ac:dyDescent="0.35">
      <c r="A19" s="3" t="s">
        <v>54</v>
      </c>
      <c r="B19" s="13" t="s">
        <v>55</v>
      </c>
      <c r="C19" s="10">
        <v>25</v>
      </c>
      <c r="D19" s="10">
        <v>4</v>
      </c>
      <c r="E19" s="10"/>
      <c r="F19" s="10">
        <v>1</v>
      </c>
      <c r="G19" s="10">
        <v>755015332</v>
      </c>
      <c r="H19" s="10">
        <v>8799989857</v>
      </c>
      <c r="I19" s="10"/>
      <c r="J19" s="10">
        <v>183028642088</v>
      </c>
      <c r="K19" s="10">
        <f t="shared" si="0"/>
        <v>30</v>
      </c>
      <c r="L19" s="10">
        <f t="shared" si="1"/>
        <v>192583647277</v>
      </c>
    </row>
    <row r="20" spans="1:12" x14ac:dyDescent="0.35">
      <c r="A20" s="3" t="s">
        <v>56</v>
      </c>
      <c r="B20" s="13" t="s">
        <v>57</v>
      </c>
      <c r="C20" s="10">
        <v>1237</v>
      </c>
      <c r="D20" s="10">
        <v>83</v>
      </c>
      <c r="E20" s="10">
        <v>11</v>
      </c>
      <c r="F20" s="10">
        <v>2</v>
      </c>
      <c r="G20" s="10">
        <v>63237234066</v>
      </c>
      <c r="H20" s="10">
        <v>144974992372</v>
      </c>
      <c r="I20" s="10">
        <v>169857305864</v>
      </c>
      <c r="J20" s="10">
        <v>102125555416</v>
      </c>
      <c r="K20" s="10">
        <f t="shared" si="0"/>
        <v>1333</v>
      </c>
      <c r="L20" s="10">
        <f t="shared" si="1"/>
        <v>480195087718</v>
      </c>
    </row>
    <row r="21" spans="1:12" x14ac:dyDescent="0.35">
      <c r="A21" s="3" t="s">
        <v>58</v>
      </c>
      <c r="B21" s="13" t="s">
        <v>59</v>
      </c>
      <c r="C21" s="10">
        <v>2314</v>
      </c>
      <c r="D21" s="10">
        <v>403</v>
      </c>
      <c r="E21" s="10">
        <v>70</v>
      </c>
      <c r="F21" s="10">
        <v>26</v>
      </c>
      <c r="G21" s="10">
        <v>181977211406</v>
      </c>
      <c r="H21" s="10">
        <v>802447692974</v>
      </c>
      <c r="I21" s="10">
        <v>1069614715545</v>
      </c>
      <c r="J21" s="10">
        <v>4644532396795</v>
      </c>
      <c r="K21" s="10">
        <f t="shared" si="0"/>
        <v>2813</v>
      </c>
      <c r="L21" s="10">
        <f t="shared" si="1"/>
        <v>6698572016720</v>
      </c>
    </row>
    <row r="22" spans="1:12" x14ac:dyDescent="0.35">
      <c r="A22" s="3" t="s">
        <v>60</v>
      </c>
      <c r="B22" s="13" t="s">
        <v>61</v>
      </c>
      <c r="C22" s="10">
        <v>2405</v>
      </c>
      <c r="D22" s="10">
        <v>151</v>
      </c>
      <c r="E22" s="10">
        <v>28</v>
      </c>
      <c r="F22" s="10">
        <v>8</v>
      </c>
      <c r="G22" s="10">
        <v>80798940050</v>
      </c>
      <c r="H22" s="10">
        <v>318255841927</v>
      </c>
      <c r="I22" s="10">
        <v>404337871891</v>
      </c>
      <c r="J22" s="10">
        <v>1601859560923</v>
      </c>
      <c r="K22" s="10">
        <f t="shared" si="0"/>
        <v>2592</v>
      </c>
      <c r="L22" s="10">
        <f t="shared" si="1"/>
        <v>2405252214791</v>
      </c>
    </row>
    <row r="23" spans="1:12" x14ac:dyDescent="0.35">
      <c r="A23" s="3" t="s">
        <v>62</v>
      </c>
      <c r="B23" s="13" t="s">
        <v>63</v>
      </c>
      <c r="C23" s="10">
        <v>6224</v>
      </c>
      <c r="D23" s="10">
        <v>50</v>
      </c>
      <c r="E23" s="10">
        <v>10</v>
      </c>
      <c r="F23" s="10">
        <v>1</v>
      </c>
      <c r="G23" s="10">
        <v>74837818979</v>
      </c>
      <c r="H23" s="10">
        <v>106964241869</v>
      </c>
      <c r="I23" s="10">
        <v>153542274430</v>
      </c>
      <c r="J23" s="10">
        <v>82934793000</v>
      </c>
      <c r="K23" s="10">
        <f t="shared" si="0"/>
        <v>6285</v>
      </c>
      <c r="L23" s="10">
        <f t="shared" si="1"/>
        <v>418279128278</v>
      </c>
    </row>
    <row r="24" spans="1:12" x14ac:dyDescent="0.35">
      <c r="A24" s="3" t="s">
        <v>64</v>
      </c>
      <c r="B24" s="13" t="s">
        <v>65</v>
      </c>
      <c r="C24" s="10">
        <v>20</v>
      </c>
      <c r="D24" s="10">
        <v>5</v>
      </c>
      <c r="E24" s="10"/>
      <c r="F24" s="10"/>
      <c r="G24" s="10">
        <v>1503575324</v>
      </c>
      <c r="H24" s="10">
        <v>11665265598</v>
      </c>
      <c r="I24" s="10"/>
      <c r="J24" s="10"/>
      <c r="K24" s="10">
        <f t="shared" si="0"/>
        <v>25</v>
      </c>
      <c r="L24" s="10">
        <f t="shared" si="1"/>
        <v>13168840922</v>
      </c>
    </row>
    <row r="25" spans="1:12" x14ac:dyDescent="0.35">
      <c r="A25" s="3" t="s">
        <v>66</v>
      </c>
      <c r="B25" s="13" t="s">
        <v>67</v>
      </c>
      <c r="C25" s="10">
        <v>1</v>
      </c>
      <c r="D25" s="10"/>
      <c r="E25" s="10"/>
      <c r="F25" s="10"/>
      <c r="G25" s="10">
        <v>3000000</v>
      </c>
      <c r="H25" s="10"/>
      <c r="I25" s="10"/>
      <c r="J25" s="10"/>
      <c r="K25" s="10">
        <f t="shared" si="0"/>
        <v>1</v>
      </c>
      <c r="L25" s="10">
        <f t="shared" si="1"/>
        <v>3000000</v>
      </c>
    </row>
    <row r="26" spans="1:12" x14ac:dyDescent="0.35">
      <c r="A26" s="1" t="s">
        <v>1193</v>
      </c>
      <c r="B26" s="13" t="s">
        <v>70</v>
      </c>
      <c r="C26" s="10">
        <v>165</v>
      </c>
      <c r="D26" s="10">
        <v>7</v>
      </c>
      <c r="E26" s="10">
        <v>5</v>
      </c>
      <c r="F26" s="10">
        <v>1</v>
      </c>
      <c r="G26" s="10">
        <v>5223907928</v>
      </c>
      <c r="H26" s="10">
        <v>29628095890</v>
      </c>
      <c r="I26" s="10">
        <v>106853418576</v>
      </c>
      <c r="J26" s="10">
        <v>43650085220</v>
      </c>
      <c r="K26" s="10">
        <f t="shared" si="0"/>
        <v>178</v>
      </c>
      <c r="L26" s="10">
        <f t="shared" si="1"/>
        <v>185355507614</v>
      </c>
    </row>
    <row r="27" spans="1:12" x14ac:dyDescent="0.35">
      <c r="A27" s="5" t="s">
        <v>16</v>
      </c>
      <c r="B27" s="5"/>
      <c r="C27" s="4">
        <f>SUM(C5:C26)</f>
        <v>140058</v>
      </c>
      <c r="D27" s="4">
        <f>SUM(D5:D26)</f>
        <v>14400</v>
      </c>
      <c r="E27" s="4">
        <f>SUM(E5:E26)</f>
        <v>3593</v>
      </c>
      <c r="F27" s="4">
        <f>SUM(F5:F26)</f>
        <v>958</v>
      </c>
      <c r="G27" s="4">
        <f>SUM(G5:G26)</f>
        <v>5771164976496</v>
      </c>
      <c r="H27" s="4">
        <f>SUM(H5:H26)</f>
        <v>31752866161793</v>
      </c>
      <c r="I27" s="4">
        <f>SUM(I5:I26)</f>
        <v>55108152265499</v>
      </c>
      <c r="J27" s="4">
        <f>SUM(J5:J26)</f>
        <v>819051758902067</v>
      </c>
      <c r="K27" s="4">
        <f>SUM(K5:K26)</f>
        <v>159009</v>
      </c>
      <c r="L27" s="4">
        <f>SUM(L5:L26)</f>
        <v>911683942305855</v>
      </c>
    </row>
    <row r="29" spans="1:12" x14ac:dyDescent="0.35">
      <c r="A29" t="s">
        <v>1356</v>
      </c>
    </row>
    <row r="30" spans="1:12" x14ac:dyDescent="0.35">
      <c r="A30" t="s">
        <v>1318</v>
      </c>
    </row>
    <row r="31" spans="1:12" x14ac:dyDescent="0.35">
      <c r="A31" t="s">
        <v>17</v>
      </c>
    </row>
    <row r="32" spans="1:12" x14ac:dyDescent="0.35">
      <c r="A32" t="s">
        <v>1320</v>
      </c>
    </row>
  </sheetData>
  <mergeCells count="6">
    <mergeCell ref="L3:L4"/>
    <mergeCell ref="C3:F3"/>
    <mergeCell ref="G3:J3"/>
    <mergeCell ref="A3:A4"/>
    <mergeCell ref="B3:B4"/>
    <mergeCell ref="K3:K4"/>
  </mergeCells>
  <hyperlinks>
    <hyperlink ref="I1" location="Índice!A1" display="Volver al índice" xr:uid="{3E39DD1B-A431-4C35-BAEA-308D6CCA1F2B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682B-0DDD-4DDB-86CE-0C0E36995998}">
  <dimension ref="A1:N32"/>
  <sheetViews>
    <sheetView workbookViewId="0">
      <selection activeCell="J1" sqref="J1"/>
    </sheetView>
  </sheetViews>
  <sheetFormatPr baseColWidth="10" defaultColWidth="11.453125" defaultRowHeight="14.5" x14ac:dyDescent="0.35"/>
  <cols>
    <col min="2" max="2" width="46.26953125" customWidth="1"/>
    <col min="3" max="6" width="11.54296875" bestFit="1" customWidth="1"/>
    <col min="7" max="7" width="16.453125" bestFit="1" customWidth="1"/>
    <col min="8" max="10" width="17.453125" bestFit="1" customWidth="1"/>
    <col min="11" max="11" width="19.6328125" bestFit="1" customWidth="1"/>
    <col min="12" max="12" width="18.453125" customWidth="1"/>
    <col min="13" max="13" width="11.54296875" bestFit="1" customWidth="1"/>
    <col min="14" max="14" width="19.6328125" bestFit="1" customWidth="1"/>
    <col min="17" max="19" width="16.453125" bestFit="1" customWidth="1"/>
    <col min="20" max="20" width="17.453125" bestFit="1" customWidth="1"/>
    <col min="21" max="21" width="14.26953125" bestFit="1" customWidth="1"/>
    <col min="22" max="22" width="17.453125" bestFit="1" customWidth="1"/>
    <col min="27" max="29" width="16.453125" bestFit="1" customWidth="1"/>
    <col min="30" max="30" width="18.453125" bestFit="1" customWidth="1"/>
    <col min="31" max="31" width="14.26953125" bestFit="1" customWidth="1"/>
    <col min="32" max="32" width="18.453125" bestFit="1" customWidth="1"/>
    <col min="33" max="33" width="15.453125" customWidth="1"/>
    <col min="34" max="34" width="20.7265625" bestFit="1" customWidth="1"/>
    <col min="35" max="35" width="14.54296875" customWidth="1"/>
    <col min="36" max="36" width="20.7265625" bestFit="1" customWidth="1"/>
  </cols>
  <sheetData>
    <row r="1" spans="1:14" ht="18.5" x14ac:dyDescent="0.45">
      <c r="A1" s="21" t="s">
        <v>1287</v>
      </c>
      <c r="J1" s="17" t="s">
        <v>1</v>
      </c>
    </row>
    <row r="3" spans="1:14" ht="15" customHeight="1" x14ac:dyDescent="0.35">
      <c r="A3" s="51" t="s">
        <v>18</v>
      </c>
      <c r="B3" s="51" t="s">
        <v>19</v>
      </c>
      <c r="C3" s="43" t="s">
        <v>3</v>
      </c>
      <c r="D3" s="47"/>
      <c r="E3" s="47"/>
      <c r="F3" s="47"/>
      <c r="G3" s="44"/>
      <c r="H3" s="43" t="s">
        <v>1184</v>
      </c>
      <c r="I3" s="47"/>
      <c r="J3" s="47"/>
      <c r="K3" s="47"/>
      <c r="L3" s="44"/>
      <c r="M3" s="50" t="s">
        <v>20</v>
      </c>
      <c r="N3" s="50" t="s">
        <v>1185</v>
      </c>
    </row>
    <row r="4" spans="1:14" x14ac:dyDescent="0.35">
      <c r="A4" s="51"/>
      <c r="B4" s="51"/>
      <c r="C4" s="22" t="s">
        <v>22</v>
      </c>
      <c r="D4" s="22" t="s">
        <v>23</v>
      </c>
      <c r="E4" s="22" t="s">
        <v>24</v>
      </c>
      <c r="F4" s="22" t="s">
        <v>25</v>
      </c>
      <c r="G4" s="27" t="s">
        <v>1183</v>
      </c>
      <c r="H4" s="22" t="s">
        <v>22</v>
      </c>
      <c r="I4" s="22" t="s">
        <v>23</v>
      </c>
      <c r="J4" s="22" t="s">
        <v>24</v>
      </c>
      <c r="K4" s="22" t="s">
        <v>25</v>
      </c>
      <c r="L4" s="27" t="s">
        <v>1183</v>
      </c>
      <c r="M4" s="50"/>
      <c r="N4" s="50"/>
    </row>
    <row r="5" spans="1:14" x14ac:dyDescent="0.35">
      <c r="A5" s="3" t="s">
        <v>26</v>
      </c>
      <c r="B5" s="13" t="s">
        <v>27</v>
      </c>
      <c r="C5" s="10">
        <v>2721</v>
      </c>
      <c r="D5" s="10">
        <v>516</v>
      </c>
      <c r="E5" s="10">
        <v>130</v>
      </c>
      <c r="F5" s="10">
        <v>15</v>
      </c>
      <c r="G5" s="10"/>
      <c r="H5" s="10">
        <v>371460545017</v>
      </c>
      <c r="I5" s="10">
        <v>1660292789720</v>
      </c>
      <c r="J5" s="10">
        <v>2710373505909</v>
      </c>
      <c r="K5" s="10">
        <v>2164383129062</v>
      </c>
      <c r="L5" s="10"/>
      <c r="M5" s="10">
        <f>SUM(C5:G5)</f>
        <v>3382</v>
      </c>
      <c r="N5" s="10">
        <f>SUM(H5:L5)</f>
        <v>6906509969708</v>
      </c>
    </row>
    <row r="6" spans="1:14" x14ac:dyDescent="0.35">
      <c r="A6" s="3" t="s">
        <v>28</v>
      </c>
      <c r="B6" s="13" t="s">
        <v>29</v>
      </c>
      <c r="C6" s="10">
        <v>496</v>
      </c>
      <c r="D6" s="10">
        <v>56</v>
      </c>
      <c r="E6" s="10">
        <v>25</v>
      </c>
      <c r="F6" s="10">
        <v>12</v>
      </c>
      <c r="G6" s="10"/>
      <c r="H6" s="10">
        <v>31945939122</v>
      </c>
      <c r="I6" s="10">
        <v>218956915102</v>
      </c>
      <c r="J6" s="10">
        <v>731496048752</v>
      </c>
      <c r="K6" s="10">
        <v>2243559382469</v>
      </c>
      <c r="L6" s="10"/>
      <c r="M6" s="10">
        <f t="shared" ref="M6:M26" si="0">SUM(C6:G6)</f>
        <v>589</v>
      </c>
      <c r="N6" s="10">
        <f t="shared" ref="N6:N26" si="1">SUM(H6:L6)</f>
        <v>3225958285445</v>
      </c>
    </row>
    <row r="7" spans="1:14" x14ac:dyDescent="0.35">
      <c r="A7" s="3" t="s">
        <v>30</v>
      </c>
      <c r="B7" s="13" t="s">
        <v>31</v>
      </c>
      <c r="C7" s="10">
        <v>16613</v>
      </c>
      <c r="D7" s="10">
        <v>1627</v>
      </c>
      <c r="E7" s="10">
        <v>342</v>
      </c>
      <c r="F7" s="10">
        <v>88</v>
      </c>
      <c r="G7" s="10"/>
      <c r="H7" s="10">
        <v>1828525379127</v>
      </c>
      <c r="I7" s="10">
        <v>4934348830118</v>
      </c>
      <c r="J7" s="10">
        <v>8996215951097</v>
      </c>
      <c r="K7" s="10">
        <v>40056791214291</v>
      </c>
      <c r="L7" s="10"/>
      <c r="M7" s="10">
        <f t="shared" si="0"/>
        <v>18670</v>
      </c>
      <c r="N7" s="10">
        <f t="shared" si="1"/>
        <v>55815881374633</v>
      </c>
    </row>
    <row r="8" spans="1:14" x14ac:dyDescent="0.35">
      <c r="A8" s="3" t="s">
        <v>32</v>
      </c>
      <c r="B8" s="13" t="s">
        <v>33</v>
      </c>
      <c r="C8" s="10">
        <v>240</v>
      </c>
      <c r="D8" s="10">
        <v>23</v>
      </c>
      <c r="E8" s="10">
        <v>9</v>
      </c>
      <c r="F8" s="10">
        <v>17</v>
      </c>
      <c r="G8" s="10"/>
      <c r="H8" s="10">
        <v>12793392999</v>
      </c>
      <c r="I8" s="10">
        <v>80308786059</v>
      </c>
      <c r="J8" s="10">
        <v>97232726685</v>
      </c>
      <c r="K8" s="10">
        <v>12238472589588</v>
      </c>
      <c r="L8" s="10"/>
      <c r="M8" s="10">
        <f t="shared" si="0"/>
        <v>289</v>
      </c>
      <c r="N8" s="10">
        <f t="shared" si="1"/>
        <v>12428807495331</v>
      </c>
    </row>
    <row r="9" spans="1:14" x14ac:dyDescent="0.35">
      <c r="A9" s="3" t="s">
        <v>34</v>
      </c>
      <c r="B9" s="13" t="s">
        <v>35</v>
      </c>
      <c r="C9" s="10">
        <v>556</v>
      </c>
      <c r="D9" s="10">
        <v>33</v>
      </c>
      <c r="E9" s="10">
        <v>10</v>
      </c>
      <c r="F9" s="10">
        <v>2</v>
      </c>
      <c r="G9" s="10"/>
      <c r="H9" s="10">
        <v>71413086878</v>
      </c>
      <c r="I9" s="10">
        <v>94161187176</v>
      </c>
      <c r="J9" s="10">
        <v>108353608392</v>
      </c>
      <c r="K9" s="10">
        <v>811370339486</v>
      </c>
      <c r="L9" s="10"/>
      <c r="M9" s="10">
        <f t="shared" si="0"/>
        <v>601</v>
      </c>
      <c r="N9" s="10">
        <f t="shared" si="1"/>
        <v>1085298221932</v>
      </c>
    </row>
    <row r="10" spans="1:14" x14ac:dyDescent="0.35">
      <c r="A10" s="3" t="s">
        <v>36</v>
      </c>
      <c r="B10" s="13" t="s">
        <v>37</v>
      </c>
      <c r="C10" s="10">
        <v>6992</v>
      </c>
      <c r="D10" s="10">
        <v>701</v>
      </c>
      <c r="E10" s="10">
        <v>257</v>
      </c>
      <c r="F10" s="10">
        <v>92</v>
      </c>
      <c r="G10" s="10"/>
      <c r="H10" s="10">
        <v>1173500668773</v>
      </c>
      <c r="I10" s="10">
        <v>2118435960858</v>
      </c>
      <c r="J10" s="10">
        <v>2838646830061</v>
      </c>
      <c r="K10" s="10">
        <v>17474788085364</v>
      </c>
      <c r="L10" s="10"/>
      <c r="M10" s="10">
        <f t="shared" si="0"/>
        <v>8042</v>
      </c>
      <c r="N10" s="10">
        <f t="shared" si="1"/>
        <v>23605371545056</v>
      </c>
    </row>
    <row r="11" spans="1:14" x14ac:dyDescent="0.35">
      <c r="A11" s="3" t="s">
        <v>38</v>
      </c>
      <c r="B11" s="13" t="s">
        <v>39</v>
      </c>
      <c r="C11" s="10">
        <v>52817</v>
      </c>
      <c r="D11" s="10">
        <v>2480</v>
      </c>
      <c r="E11" s="10">
        <v>392</v>
      </c>
      <c r="F11" s="10">
        <v>112</v>
      </c>
      <c r="G11" s="10"/>
      <c r="H11" s="10">
        <v>5710599140839</v>
      </c>
      <c r="I11" s="10">
        <v>15157295397281</v>
      </c>
      <c r="J11" s="10">
        <v>15912096977587</v>
      </c>
      <c r="K11" s="10">
        <v>37121516651077</v>
      </c>
      <c r="L11" s="10"/>
      <c r="M11" s="10">
        <f t="shared" si="0"/>
        <v>55801</v>
      </c>
      <c r="N11" s="10">
        <f t="shared" si="1"/>
        <v>73901508166784</v>
      </c>
    </row>
    <row r="12" spans="1:14" x14ac:dyDescent="0.35">
      <c r="A12" s="3" t="s">
        <v>40</v>
      </c>
      <c r="B12" s="13" t="s">
        <v>41</v>
      </c>
      <c r="C12" s="10">
        <v>3239</v>
      </c>
      <c r="D12" s="10">
        <v>292</v>
      </c>
      <c r="E12" s="10">
        <v>110</v>
      </c>
      <c r="F12" s="10">
        <v>39</v>
      </c>
      <c r="G12" s="10"/>
      <c r="H12" s="10">
        <v>450165129577</v>
      </c>
      <c r="I12" s="10">
        <v>869634003136</v>
      </c>
      <c r="J12" s="10">
        <v>1210425722037</v>
      </c>
      <c r="K12" s="10">
        <v>4476783078867</v>
      </c>
      <c r="L12" s="10"/>
      <c r="M12" s="10">
        <f t="shared" si="0"/>
        <v>3680</v>
      </c>
      <c r="N12" s="10">
        <f t="shared" si="1"/>
        <v>7007007933617</v>
      </c>
    </row>
    <row r="13" spans="1:14" x14ac:dyDescent="0.35">
      <c r="A13" s="3" t="s">
        <v>42</v>
      </c>
      <c r="B13" s="13" t="s">
        <v>43</v>
      </c>
      <c r="C13" s="10">
        <v>18075</v>
      </c>
      <c r="D13" s="10">
        <v>303</v>
      </c>
      <c r="E13" s="10">
        <v>92</v>
      </c>
      <c r="F13" s="10">
        <v>16</v>
      </c>
      <c r="G13" s="10"/>
      <c r="H13" s="10">
        <v>846565724125</v>
      </c>
      <c r="I13" s="10">
        <v>892566824306</v>
      </c>
      <c r="J13" s="10">
        <v>984419203663</v>
      </c>
      <c r="K13" s="10">
        <v>948519842237</v>
      </c>
      <c r="L13" s="10"/>
      <c r="M13" s="10">
        <f t="shared" si="0"/>
        <v>18486</v>
      </c>
      <c r="N13" s="10">
        <f t="shared" si="1"/>
        <v>3672071594331</v>
      </c>
    </row>
    <row r="14" spans="1:14" x14ac:dyDescent="0.35">
      <c r="A14" s="3" t="s">
        <v>44</v>
      </c>
      <c r="B14" s="13" t="s">
        <v>45</v>
      </c>
      <c r="C14" s="10">
        <v>4052</v>
      </c>
      <c r="D14" s="10">
        <v>323</v>
      </c>
      <c r="E14" s="10">
        <v>108</v>
      </c>
      <c r="F14" s="10">
        <v>54</v>
      </c>
      <c r="G14" s="10"/>
      <c r="H14" s="10">
        <v>603817432057</v>
      </c>
      <c r="I14" s="10">
        <v>987375196841</v>
      </c>
      <c r="J14" s="10">
        <v>1197720784334</v>
      </c>
      <c r="K14" s="10">
        <v>8023410909286</v>
      </c>
      <c r="L14" s="10"/>
      <c r="M14" s="10">
        <f t="shared" si="0"/>
        <v>4537</v>
      </c>
      <c r="N14" s="10">
        <f t="shared" si="1"/>
        <v>10812324322518</v>
      </c>
    </row>
    <row r="15" spans="1:14" x14ac:dyDescent="0.35">
      <c r="A15" s="3" t="s">
        <v>46</v>
      </c>
      <c r="B15" s="13" t="s">
        <v>47</v>
      </c>
      <c r="C15" s="10">
        <v>1980</v>
      </c>
      <c r="D15" s="10">
        <v>142</v>
      </c>
      <c r="E15" s="10">
        <v>43</v>
      </c>
      <c r="F15" s="10">
        <v>42</v>
      </c>
      <c r="G15" s="10"/>
      <c r="H15" s="10">
        <v>352853990513</v>
      </c>
      <c r="I15" s="10">
        <v>451610993138</v>
      </c>
      <c r="J15" s="10">
        <v>501756682841</v>
      </c>
      <c r="K15" s="10">
        <v>83822420278347</v>
      </c>
      <c r="L15" s="10"/>
      <c r="M15" s="10">
        <f t="shared" si="0"/>
        <v>2207</v>
      </c>
      <c r="N15" s="10">
        <f t="shared" si="1"/>
        <v>85128641944839</v>
      </c>
    </row>
    <row r="16" spans="1:14" x14ac:dyDescent="0.35">
      <c r="A16" s="3" t="s">
        <v>48</v>
      </c>
      <c r="B16" s="13" t="s">
        <v>49</v>
      </c>
      <c r="C16" s="10">
        <v>9183</v>
      </c>
      <c r="D16" s="10">
        <v>327</v>
      </c>
      <c r="E16" s="10">
        <v>69</v>
      </c>
      <c r="F16" s="10">
        <v>21</v>
      </c>
      <c r="G16" s="10"/>
      <c r="H16" s="10">
        <v>1112770091727</v>
      </c>
      <c r="I16" s="10">
        <v>900687094842</v>
      </c>
      <c r="J16" s="10">
        <v>689306361545</v>
      </c>
      <c r="K16" s="10">
        <v>1312718177647</v>
      </c>
      <c r="L16" s="10"/>
      <c r="M16" s="10">
        <f t="shared" si="0"/>
        <v>9600</v>
      </c>
      <c r="N16" s="10">
        <f t="shared" si="1"/>
        <v>4015481725761</v>
      </c>
    </row>
    <row r="17" spans="1:14" x14ac:dyDescent="0.35">
      <c r="A17" s="3" t="s">
        <v>50</v>
      </c>
      <c r="B17" s="13" t="s">
        <v>51</v>
      </c>
      <c r="C17" s="10">
        <v>12355</v>
      </c>
      <c r="D17" s="10">
        <v>651</v>
      </c>
      <c r="E17" s="10">
        <v>148</v>
      </c>
      <c r="F17" s="10">
        <v>42</v>
      </c>
      <c r="G17" s="10"/>
      <c r="H17" s="10">
        <v>1735943554437</v>
      </c>
      <c r="I17" s="10">
        <v>1873161385691</v>
      </c>
      <c r="J17" s="10">
        <v>1661751402913</v>
      </c>
      <c r="K17" s="10">
        <v>4160051354271</v>
      </c>
      <c r="L17" s="10"/>
      <c r="M17" s="10">
        <f t="shared" si="0"/>
        <v>13196</v>
      </c>
      <c r="N17" s="10">
        <f t="shared" si="1"/>
        <v>9430907697312</v>
      </c>
    </row>
    <row r="18" spans="1:14" x14ac:dyDescent="0.35">
      <c r="A18" s="3" t="s">
        <v>52</v>
      </c>
      <c r="B18" s="13" t="s">
        <v>53</v>
      </c>
      <c r="C18" s="10">
        <v>6227</v>
      </c>
      <c r="D18" s="10">
        <v>287</v>
      </c>
      <c r="E18" s="10">
        <v>91</v>
      </c>
      <c r="F18" s="10">
        <v>67</v>
      </c>
      <c r="G18" s="10"/>
      <c r="H18" s="10">
        <v>628790163138</v>
      </c>
      <c r="I18" s="10">
        <v>851269449011</v>
      </c>
      <c r="J18" s="10">
        <v>1055498184229</v>
      </c>
      <c r="K18" s="10">
        <v>8080574703236</v>
      </c>
      <c r="L18" s="10"/>
      <c r="M18" s="10">
        <f t="shared" si="0"/>
        <v>6672</v>
      </c>
      <c r="N18" s="10">
        <f t="shared" si="1"/>
        <v>10616132499614</v>
      </c>
    </row>
    <row r="19" spans="1:14" x14ac:dyDescent="0.35">
      <c r="A19" s="3" t="s">
        <v>54</v>
      </c>
      <c r="B19" s="13" t="s">
        <v>55</v>
      </c>
      <c r="C19" s="10">
        <v>26</v>
      </c>
      <c r="D19" s="10">
        <v>3</v>
      </c>
      <c r="E19" s="10"/>
      <c r="F19" s="10">
        <v>1</v>
      </c>
      <c r="G19" s="10"/>
      <c r="H19" s="10">
        <v>3540270246</v>
      </c>
      <c r="I19" s="10">
        <v>8400480591</v>
      </c>
      <c r="J19" s="10"/>
      <c r="K19" s="10">
        <v>2521842497857</v>
      </c>
      <c r="L19" s="10"/>
      <c r="M19" s="10">
        <f t="shared" si="0"/>
        <v>30</v>
      </c>
      <c r="N19" s="10">
        <f t="shared" si="1"/>
        <v>2533783248694</v>
      </c>
    </row>
    <row r="20" spans="1:14" x14ac:dyDescent="0.35">
      <c r="A20" s="3" t="s">
        <v>56</v>
      </c>
      <c r="B20" s="13" t="s">
        <v>57</v>
      </c>
      <c r="C20" s="10">
        <v>1259</v>
      </c>
      <c r="D20" s="10">
        <v>58</v>
      </c>
      <c r="E20" s="10">
        <v>12</v>
      </c>
      <c r="F20" s="10">
        <v>4</v>
      </c>
      <c r="G20" s="10"/>
      <c r="H20" s="10">
        <v>160424358808</v>
      </c>
      <c r="I20" s="10">
        <v>169211080962</v>
      </c>
      <c r="J20" s="10">
        <v>127215522964</v>
      </c>
      <c r="K20" s="10">
        <v>142578808294</v>
      </c>
      <c r="L20" s="10"/>
      <c r="M20" s="10">
        <f t="shared" si="0"/>
        <v>1333</v>
      </c>
      <c r="N20" s="10">
        <f t="shared" si="1"/>
        <v>599429771028</v>
      </c>
    </row>
    <row r="21" spans="1:14" x14ac:dyDescent="0.35">
      <c r="A21" s="3" t="s">
        <v>58</v>
      </c>
      <c r="B21" s="13" t="s">
        <v>59</v>
      </c>
      <c r="C21" s="10">
        <v>2444</v>
      </c>
      <c r="D21" s="10">
        <v>236</v>
      </c>
      <c r="E21" s="10">
        <v>85</v>
      </c>
      <c r="F21" s="10">
        <v>48</v>
      </c>
      <c r="G21" s="10"/>
      <c r="H21" s="10">
        <v>466306438887</v>
      </c>
      <c r="I21" s="10">
        <v>665448427269</v>
      </c>
      <c r="J21" s="10">
        <v>955210212543</v>
      </c>
      <c r="K21" s="10">
        <v>7030640304723</v>
      </c>
      <c r="L21" s="10"/>
      <c r="M21" s="10">
        <f t="shared" si="0"/>
        <v>2813</v>
      </c>
      <c r="N21" s="10">
        <f t="shared" si="1"/>
        <v>9117605383422</v>
      </c>
    </row>
    <row r="22" spans="1:14" x14ac:dyDescent="0.35">
      <c r="A22" s="3" t="s">
        <v>60</v>
      </c>
      <c r="B22" s="13" t="s">
        <v>61</v>
      </c>
      <c r="C22" s="10">
        <v>2470</v>
      </c>
      <c r="D22" s="10">
        <v>87</v>
      </c>
      <c r="E22" s="10">
        <v>22</v>
      </c>
      <c r="F22" s="10">
        <v>13</v>
      </c>
      <c r="G22" s="10"/>
      <c r="H22" s="10">
        <v>185138851400</v>
      </c>
      <c r="I22" s="10">
        <v>276296755025</v>
      </c>
      <c r="J22" s="10">
        <v>254604445681</v>
      </c>
      <c r="K22" s="10">
        <v>1385713667582</v>
      </c>
      <c r="L22" s="10"/>
      <c r="M22" s="10">
        <f t="shared" si="0"/>
        <v>2592</v>
      </c>
      <c r="N22" s="10">
        <f t="shared" si="1"/>
        <v>2101753719688</v>
      </c>
    </row>
    <row r="23" spans="1:14" x14ac:dyDescent="0.35">
      <c r="A23" s="3" t="s">
        <v>62</v>
      </c>
      <c r="B23" s="13" t="s">
        <v>63</v>
      </c>
      <c r="C23" s="10">
        <v>6244</v>
      </c>
      <c r="D23" s="10">
        <v>30</v>
      </c>
      <c r="E23" s="10">
        <v>8</v>
      </c>
      <c r="F23" s="10">
        <v>3</v>
      </c>
      <c r="G23" s="10"/>
      <c r="H23" s="10">
        <v>208264145259</v>
      </c>
      <c r="I23" s="10">
        <v>83275746109</v>
      </c>
      <c r="J23" s="10">
        <v>105657508336</v>
      </c>
      <c r="K23" s="10">
        <v>94559657728</v>
      </c>
      <c r="L23" s="10"/>
      <c r="M23" s="10">
        <f t="shared" si="0"/>
        <v>6285</v>
      </c>
      <c r="N23" s="10">
        <f t="shared" si="1"/>
        <v>491757057432</v>
      </c>
    </row>
    <row r="24" spans="1:14" x14ac:dyDescent="0.35">
      <c r="A24" s="3" t="s">
        <v>64</v>
      </c>
      <c r="B24" s="13" t="s">
        <v>65</v>
      </c>
      <c r="C24" s="10">
        <v>25</v>
      </c>
      <c r="D24" s="10"/>
      <c r="E24" s="10"/>
      <c r="F24" s="10"/>
      <c r="G24" s="10"/>
      <c r="H24" s="10">
        <v>2664561308</v>
      </c>
      <c r="I24" s="10"/>
      <c r="J24" s="10"/>
      <c r="K24" s="10"/>
      <c r="L24" s="10"/>
      <c r="M24" s="10">
        <f t="shared" si="0"/>
        <v>25</v>
      </c>
      <c r="N24" s="10">
        <f t="shared" si="1"/>
        <v>2664561308</v>
      </c>
    </row>
    <row r="25" spans="1:14" x14ac:dyDescent="0.35">
      <c r="A25" s="3" t="s">
        <v>66</v>
      </c>
      <c r="B25" s="13" t="s">
        <v>67</v>
      </c>
      <c r="C25" s="10">
        <v>1</v>
      </c>
      <c r="D25" s="10"/>
      <c r="E25" s="10"/>
      <c r="F25" s="10"/>
      <c r="G25" s="10"/>
      <c r="H25" s="10">
        <v>0</v>
      </c>
      <c r="I25" s="10"/>
      <c r="J25" s="10"/>
      <c r="K25" s="10"/>
      <c r="L25" s="10"/>
      <c r="M25" s="10">
        <f t="shared" si="0"/>
        <v>1</v>
      </c>
      <c r="N25" s="10">
        <f t="shared" si="1"/>
        <v>0</v>
      </c>
    </row>
    <row r="26" spans="1:14" x14ac:dyDescent="0.35">
      <c r="A26" s="1" t="s">
        <v>1193</v>
      </c>
      <c r="B26" s="13" t="s">
        <v>70</v>
      </c>
      <c r="C26" s="10"/>
      <c r="D26" s="10"/>
      <c r="E26" s="10"/>
      <c r="F26" s="10"/>
      <c r="G26" s="10">
        <v>178</v>
      </c>
      <c r="H26" s="10"/>
      <c r="I26" s="10"/>
      <c r="J26" s="10"/>
      <c r="K26" s="10"/>
      <c r="L26" s="10">
        <v>50955232046</v>
      </c>
      <c r="M26" s="10">
        <f t="shared" si="0"/>
        <v>178</v>
      </c>
      <c r="N26" s="10">
        <f t="shared" si="1"/>
        <v>50955232046</v>
      </c>
    </row>
    <row r="27" spans="1:14" x14ac:dyDescent="0.35">
      <c r="A27" s="5" t="s">
        <v>16</v>
      </c>
      <c r="B27" s="5"/>
      <c r="C27" s="4">
        <f>SUM(C5:C26)</f>
        <v>148015</v>
      </c>
      <c r="D27" s="4">
        <f>SUM(D5:D26)</f>
        <v>8175</v>
      </c>
      <c r="E27" s="4">
        <f>SUM(E5:E26)</f>
        <v>1953</v>
      </c>
      <c r="F27" s="4">
        <f>SUM(F5:F26)</f>
        <v>688</v>
      </c>
      <c r="G27" s="4">
        <f>SUM(G5:G26)</f>
        <v>178</v>
      </c>
      <c r="H27" s="4">
        <f>SUM(H5:H26)</f>
        <v>15957482864237</v>
      </c>
      <c r="I27" s="4">
        <f>SUM(I5:I26)</f>
        <v>32292737303235</v>
      </c>
      <c r="J27" s="4">
        <f>SUM(J5:J26)</f>
        <v>40137981679569</v>
      </c>
      <c r="K27" s="4">
        <f>SUM(K5:K26)</f>
        <v>234110694671412</v>
      </c>
      <c r="L27" s="4">
        <f>SUM(L5:L26)</f>
        <v>50955232046</v>
      </c>
      <c r="M27" s="4">
        <f>SUM(M5:M26)</f>
        <v>159009</v>
      </c>
      <c r="N27" s="4">
        <f>SUM(N5:N26)</f>
        <v>322549851750499</v>
      </c>
    </row>
    <row r="29" spans="1:14" x14ac:dyDescent="0.35">
      <c r="A29" t="s">
        <v>1356</v>
      </c>
    </row>
    <row r="30" spans="1:14" x14ac:dyDescent="0.35">
      <c r="A30" t="s">
        <v>1288</v>
      </c>
    </row>
    <row r="31" spans="1:14" x14ac:dyDescent="0.35">
      <c r="A31" t="s">
        <v>17</v>
      </c>
    </row>
    <row r="32" spans="1:14" x14ac:dyDescent="0.35">
      <c r="A32" t="s">
        <v>1320</v>
      </c>
    </row>
  </sheetData>
  <mergeCells count="6">
    <mergeCell ref="N3:N4"/>
    <mergeCell ref="H3:L3"/>
    <mergeCell ref="C3:G3"/>
    <mergeCell ref="A3:A4"/>
    <mergeCell ref="B3:B4"/>
    <mergeCell ref="M3:M4"/>
  </mergeCells>
  <hyperlinks>
    <hyperlink ref="J1" location="Índice!A1" display="Volver al índice" xr:uid="{40C37666-D09A-4462-8E07-D6C987D761D7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9-0607-4188-A813-A644FC6D5D40}">
  <dimension ref="A1:R32"/>
  <sheetViews>
    <sheetView workbookViewId="0">
      <selection activeCell="F1" sqref="F1"/>
    </sheetView>
  </sheetViews>
  <sheetFormatPr baseColWidth="10" defaultColWidth="11.453125" defaultRowHeight="14.5" x14ac:dyDescent="0.35"/>
  <cols>
    <col min="2" max="2" width="68.81640625" customWidth="1"/>
    <col min="3" max="3" width="11.54296875" bestFit="1" customWidth="1"/>
    <col min="4" max="4" width="18.453125" bestFit="1" customWidth="1"/>
    <col min="5" max="5" width="11.54296875" bestFit="1" customWidth="1"/>
    <col min="6" max="6" width="16.453125" bestFit="1" customWidth="1"/>
    <col min="7" max="7" width="11.54296875" bestFit="1" customWidth="1"/>
    <col min="8" max="8" width="16.453125" bestFit="1" customWidth="1"/>
    <col min="9" max="9" width="11.54296875" bestFit="1" customWidth="1"/>
    <col min="10" max="10" width="16.453125" bestFit="1" customWidth="1"/>
    <col min="11" max="11" width="11.54296875" bestFit="1" customWidth="1"/>
    <col min="12" max="12" width="17.453125" bestFit="1" customWidth="1"/>
    <col min="13" max="13" width="15.81640625" customWidth="1"/>
    <col min="14" max="14" width="14.7265625" bestFit="1" customWidth="1"/>
    <col min="15" max="15" width="15.453125" customWidth="1"/>
    <col min="16" max="16" width="17.453125" bestFit="1" customWidth="1"/>
    <col min="17" max="17" width="16.1796875" customWidth="1"/>
    <col min="18" max="18" width="18.453125" bestFit="1" customWidth="1"/>
  </cols>
  <sheetData>
    <row r="1" spans="1:18" ht="18.5" x14ac:dyDescent="0.45">
      <c r="A1" s="21" t="s">
        <v>1289</v>
      </c>
      <c r="F1" s="17" t="s">
        <v>1</v>
      </c>
    </row>
    <row r="3" spans="1:18" ht="15" customHeight="1" x14ac:dyDescent="0.35">
      <c r="A3" s="48" t="s">
        <v>18</v>
      </c>
      <c r="B3" s="48" t="s">
        <v>19</v>
      </c>
      <c r="C3" s="50" t="s">
        <v>71</v>
      </c>
      <c r="D3" s="50"/>
      <c r="E3" s="50" t="s">
        <v>72</v>
      </c>
      <c r="F3" s="50"/>
      <c r="G3" s="50" t="s">
        <v>73</v>
      </c>
      <c r="H3" s="50"/>
      <c r="I3" s="50" t="s">
        <v>74</v>
      </c>
      <c r="J3" s="50"/>
      <c r="K3" s="50" t="s">
        <v>75</v>
      </c>
      <c r="L3" s="50"/>
      <c r="M3" s="50" t="s">
        <v>76</v>
      </c>
      <c r="N3" s="50"/>
      <c r="O3" s="50" t="s">
        <v>77</v>
      </c>
      <c r="P3" s="50"/>
      <c r="Q3" s="43" t="s">
        <v>78</v>
      </c>
      <c r="R3" s="44"/>
    </row>
    <row r="4" spans="1:18" ht="29" x14ac:dyDescent="0.35">
      <c r="A4" s="49"/>
      <c r="B4" s="49"/>
      <c r="C4" s="20" t="s">
        <v>3</v>
      </c>
      <c r="D4" s="20" t="s">
        <v>4</v>
      </c>
      <c r="E4" s="20" t="s">
        <v>3</v>
      </c>
      <c r="F4" s="20" t="s">
        <v>4</v>
      </c>
      <c r="G4" s="20" t="s">
        <v>3</v>
      </c>
      <c r="H4" s="20" t="s">
        <v>4</v>
      </c>
      <c r="I4" s="20" t="s">
        <v>3</v>
      </c>
      <c r="J4" s="20" t="s">
        <v>4</v>
      </c>
      <c r="K4" s="20" t="s">
        <v>3</v>
      </c>
      <c r="L4" s="20" t="s">
        <v>4</v>
      </c>
      <c r="M4" s="20" t="s">
        <v>3</v>
      </c>
      <c r="N4" s="20" t="s">
        <v>4</v>
      </c>
      <c r="O4" s="20" t="s">
        <v>3</v>
      </c>
      <c r="P4" s="20" t="s">
        <v>4</v>
      </c>
      <c r="Q4" s="20" t="s">
        <v>3</v>
      </c>
      <c r="R4" s="20" t="s">
        <v>4</v>
      </c>
    </row>
    <row r="5" spans="1:18" x14ac:dyDescent="0.35">
      <c r="A5" s="3" t="s">
        <v>26</v>
      </c>
      <c r="B5" s="11" t="s">
        <v>27</v>
      </c>
      <c r="C5" s="10">
        <v>2281</v>
      </c>
      <c r="D5" s="10">
        <v>11099077850739</v>
      </c>
      <c r="E5" s="10">
        <v>411</v>
      </c>
      <c r="F5" s="10">
        <v>1271992104724</v>
      </c>
      <c r="G5" s="10">
        <v>279</v>
      </c>
      <c r="H5" s="10">
        <v>341693198694</v>
      </c>
      <c r="I5" s="10">
        <v>136</v>
      </c>
      <c r="J5" s="10">
        <v>51147202668</v>
      </c>
      <c r="K5" s="10">
        <v>171</v>
      </c>
      <c r="L5" s="10">
        <v>169731752821</v>
      </c>
      <c r="M5" s="10">
        <v>104</v>
      </c>
      <c r="N5" s="10">
        <v>26934633054</v>
      </c>
      <c r="O5" s="10"/>
      <c r="P5" s="10"/>
      <c r="Q5" s="10">
        <f>O5+M5+I5+G5+E5+C5+K5</f>
        <v>3382</v>
      </c>
      <c r="R5" s="10">
        <f>P5+N5+J5+H5+F5+D5+L5</f>
        <v>12960576742700</v>
      </c>
    </row>
    <row r="6" spans="1:18" x14ac:dyDescent="0.35">
      <c r="A6" s="3" t="s">
        <v>28</v>
      </c>
      <c r="B6" s="11" t="s">
        <v>29</v>
      </c>
      <c r="C6" s="10">
        <v>345</v>
      </c>
      <c r="D6" s="10">
        <v>143916485831649</v>
      </c>
      <c r="E6" s="10">
        <v>80</v>
      </c>
      <c r="F6" s="10">
        <v>116595388165</v>
      </c>
      <c r="G6" s="10">
        <v>18</v>
      </c>
      <c r="H6" s="10">
        <v>7936924173</v>
      </c>
      <c r="I6" s="10">
        <v>68</v>
      </c>
      <c r="J6" s="10">
        <v>67138860898</v>
      </c>
      <c r="K6" s="10">
        <v>47</v>
      </c>
      <c r="L6" s="10">
        <v>413509500287</v>
      </c>
      <c r="M6" s="10">
        <v>31</v>
      </c>
      <c r="N6" s="10">
        <v>20925587256</v>
      </c>
      <c r="O6" s="10"/>
      <c r="P6" s="10"/>
      <c r="Q6" s="10">
        <f t="shared" ref="Q6:R26" si="0">O6+M6+I6+G6+E6+C6+K6</f>
        <v>589</v>
      </c>
      <c r="R6" s="10">
        <f t="shared" si="0"/>
        <v>144542592092428</v>
      </c>
    </row>
    <row r="7" spans="1:18" x14ac:dyDescent="0.35">
      <c r="A7" s="3" t="s">
        <v>30</v>
      </c>
      <c r="B7" s="11" t="s">
        <v>31</v>
      </c>
      <c r="C7" s="10">
        <v>14207</v>
      </c>
      <c r="D7" s="10">
        <v>39010560459006</v>
      </c>
      <c r="E7" s="10">
        <v>797</v>
      </c>
      <c r="F7" s="10">
        <v>628458317282</v>
      </c>
      <c r="G7" s="10">
        <v>720</v>
      </c>
      <c r="H7" s="10">
        <v>2964060979050</v>
      </c>
      <c r="I7" s="10">
        <v>309</v>
      </c>
      <c r="J7" s="10">
        <v>18040114998</v>
      </c>
      <c r="K7" s="10">
        <v>2327</v>
      </c>
      <c r="L7" s="10">
        <v>9211060042534</v>
      </c>
      <c r="M7" s="10">
        <v>310</v>
      </c>
      <c r="N7" s="10">
        <v>8469130415</v>
      </c>
      <c r="O7" s="10"/>
      <c r="P7" s="10"/>
      <c r="Q7" s="10">
        <f t="shared" si="0"/>
        <v>18670</v>
      </c>
      <c r="R7" s="10">
        <f t="shared" si="0"/>
        <v>51840649043285</v>
      </c>
    </row>
    <row r="8" spans="1:18" x14ac:dyDescent="0.35">
      <c r="A8" s="3" t="s">
        <v>32</v>
      </c>
      <c r="B8" s="11" t="s">
        <v>33</v>
      </c>
      <c r="C8" s="10">
        <v>272</v>
      </c>
      <c r="D8" s="10">
        <v>57311094503991</v>
      </c>
      <c r="E8" s="10">
        <v>3</v>
      </c>
      <c r="F8" s="10">
        <v>15310499153</v>
      </c>
      <c r="G8" s="10">
        <v>4</v>
      </c>
      <c r="H8" s="10">
        <v>18897255510</v>
      </c>
      <c r="I8" s="10"/>
      <c r="J8" s="10"/>
      <c r="K8" s="10">
        <v>6</v>
      </c>
      <c r="L8" s="10">
        <v>3637062801</v>
      </c>
      <c r="M8" s="10">
        <v>4</v>
      </c>
      <c r="N8" s="10">
        <v>103873699473</v>
      </c>
      <c r="O8" s="10"/>
      <c r="P8" s="10"/>
      <c r="Q8" s="10">
        <f t="shared" si="0"/>
        <v>289</v>
      </c>
      <c r="R8" s="10">
        <f t="shared" si="0"/>
        <v>57452813020928</v>
      </c>
    </row>
    <row r="9" spans="1:18" x14ac:dyDescent="0.35">
      <c r="A9" s="3" t="s">
        <v>34</v>
      </c>
      <c r="B9" s="11" t="s">
        <v>35</v>
      </c>
      <c r="C9" s="10">
        <v>378</v>
      </c>
      <c r="D9" s="10">
        <v>3541011362134</v>
      </c>
      <c r="E9" s="10">
        <v>39</v>
      </c>
      <c r="F9" s="10">
        <v>46686560769</v>
      </c>
      <c r="G9" s="10">
        <v>24</v>
      </c>
      <c r="H9" s="10">
        <v>26737342463</v>
      </c>
      <c r="I9" s="10">
        <v>19</v>
      </c>
      <c r="J9" s="10">
        <v>14091466858</v>
      </c>
      <c r="K9" s="10">
        <v>107</v>
      </c>
      <c r="L9" s="10">
        <v>50146422087</v>
      </c>
      <c r="M9" s="10">
        <v>34</v>
      </c>
      <c r="N9" s="10">
        <v>8419181266</v>
      </c>
      <c r="O9" s="10"/>
      <c r="P9" s="10"/>
      <c r="Q9" s="10">
        <f t="shared" si="0"/>
        <v>601</v>
      </c>
      <c r="R9" s="10">
        <f t="shared" si="0"/>
        <v>3687092335577</v>
      </c>
    </row>
    <row r="10" spans="1:18" x14ac:dyDescent="0.35">
      <c r="A10" s="159" t="s">
        <v>36</v>
      </c>
      <c r="B10" s="163" t="s">
        <v>37</v>
      </c>
      <c r="C10" s="10">
        <v>6564</v>
      </c>
      <c r="D10" s="10">
        <v>37851086501623</v>
      </c>
      <c r="E10" s="10">
        <v>127</v>
      </c>
      <c r="F10" s="10">
        <v>31157129498</v>
      </c>
      <c r="G10" s="10">
        <v>106</v>
      </c>
      <c r="H10" s="10">
        <v>52584298462</v>
      </c>
      <c r="I10" s="10">
        <v>117</v>
      </c>
      <c r="J10" s="10">
        <v>60672990803</v>
      </c>
      <c r="K10" s="10">
        <v>1015</v>
      </c>
      <c r="L10" s="10">
        <v>791764241498</v>
      </c>
      <c r="M10" s="10">
        <v>113</v>
      </c>
      <c r="N10" s="10">
        <v>23243806221</v>
      </c>
      <c r="O10" s="10"/>
      <c r="P10" s="10"/>
      <c r="Q10" s="10">
        <f t="shared" si="0"/>
        <v>8042</v>
      </c>
      <c r="R10" s="10">
        <f t="shared" si="0"/>
        <v>38810508968105</v>
      </c>
    </row>
    <row r="11" spans="1:18" x14ac:dyDescent="0.35">
      <c r="A11" s="159" t="s">
        <v>38</v>
      </c>
      <c r="B11" s="163" t="s">
        <v>39</v>
      </c>
      <c r="C11" s="10">
        <v>38060</v>
      </c>
      <c r="D11" s="10">
        <v>31515360986600</v>
      </c>
      <c r="E11" s="10">
        <v>4261</v>
      </c>
      <c r="F11" s="10">
        <v>363908616914</v>
      </c>
      <c r="G11" s="10">
        <v>2736</v>
      </c>
      <c r="H11" s="10">
        <v>367524226811</v>
      </c>
      <c r="I11" s="10">
        <v>1890</v>
      </c>
      <c r="J11" s="10">
        <v>412023469254</v>
      </c>
      <c r="K11" s="10">
        <v>6727</v>
      </c>
      <c r="L11" s="10">
        <v>1589011012285</v>
      </c>
      <c r="M11" s="10">
        <v>2126</v>
      </c>
      <c r="N11" s="10">
        <v>137840137216</v>
      </c>
      <c r="O11" s="10">
        <v>1</v>
      </c>
      <c r="P11" s="10">
        <v>1800000</v>
      </c>
      <c r="Q11" s="10">
        <f t="shared" si="0"/>
        <v>55801</v>
      </c>
      <c r="R11" s="10">
        <f t="shared" si="0"/>
        <v>34385670249080</v>
      </c>
    </row>
    <row r="12" spans="1:18" x14ac:dyDescent="0.35">
      <c r="A12" s="159" t="s">
        <v>40</v>
      </c>
      <c r="B12" s="163" t="s">
        <v>41</v>
      </c>
      <c r="C12" s="10">
        <v>2669</v>
      </c>
      <c r="D12" s="10">
        <v>6522637868524</v>
      </c>
      <c r="E12" s="10">
        <v>203</v>
      </c>
      <c r="F12" s="10">
        <v>49069317128</v>
      </c>
      <c r="G12" s="10">
        <v>177</v>
      </c>
      <c r="H12" s="10">
        <v>75171633887</v>
      </c>
      <c r="I12" s="10">
        <v>69</v>
      </c>
      <c r="J12" s="10">
        <v>7128457028</v>
      </c>
      <c r="K12" s="10">
        <v>471</v>
      </c>
      <c r="L12" s="10">
        <v>6395188624298</v>
      </c>
      <c r="M12" s="10">
        <v>91</v>
      </c>
      <c r="N12" s="10">
        <v>9522236755</v>
      </c>
      <c r="O12" s="10"/>
      <c r="P12" s="10"/>
      <c r="Q12" s="10">
        <f t="shared" si="0"/>
        <v>3680</v>
      </c>
      <c r="R12" s="10">
        <f t="shared" si="0"/>
        <v>13058718137620</v>
      </c>
    </row>
    <row r="13" spans="1:18" x14ac:dyDescent="0.35">
      <c r="A13" s="159" t="s">
        <v>42</v>
      </c>
      <c r="B13" s="163" t="s">
        <v>43</v>
      </c>
      <c r="C13" s="10">
        <v>10884</v>
      </c>
      <c r="D13" s="10">
        <v>3234752979300</v>
      </c>
      <c r="E13" s="10">
        <v>2313</v>
      </c>
      <c r="F13" s="10">
        <v>42115759325</v>
      </c>
      <c r="G13" s="10">
        <v>1350</v>
      </c>
      <c r="H13" s="10">
        <v>20273556704</v>
      </c>
      <c r="I13" s="10">
        <v>465</v>
      </c>
      <c r="J13" s="10">
        <v>7937056461</v>
      </c>
      <c r="K13" s="10">
        <v>2263</v>
      </c>
      <c r="L13" s="10">
        <v>37150132031</v>
      </c>
      <c r="M13" s="10">
        <v>1211</v>
      </c>
      <c r="N13" s="10">
        <v>28115818480</v>
      </c>
      <c r="O13" s="10"/>
      <c r="P13" s="10"/>
      <c r="Q13" s="10">
        <f t="shared" si="0"/>
        <v>18486</v>
      </c>
      <c r="R13" s="10">
        <f t="shared" si="0"/>
        <v>3370345302301</v>
      </c>
    </row>
    <row r="14" spans="1:18" x14ac:dyDescent="0.35">
      <c r="A14" s="159" t="s">
        <v>44</v>
      </c>
      <c r="B14" s="163" t="s">
        <v>45</v>
      </c>
      <c r="C14" s="10">
        <v>4015</v>
      </c>
      <c r="D14" s="10">
        <v>10588723407039</v>
      </c>
      <c r="E14" s="10">
        <v>91</v>
      </c>
      <c r="F14" s="10">
        <v>8014817325</v>
      </c>
      <c r="G14" s="10">
        <v>72</v>
      </c>
      <c r="H14" s="10">
        <v>11458848848</v>
      </c>
      <c r="I14" s="10">
        <v>44</v>
      </c>
      <c r="J14" s="10">
        <v>2043578631</v>
      </c>
      <c r="K14" s="10">
        <v>272</v>
      </c>
      <c r="L14" s="10">
        <v>18272846706</v>
      </c>
      <c r="M14" s="10">
        <v>43</v>
      </c>
      <c r="N14" s="10">
        <v>8667733337</v>
      </c>
      <c r="O14" s="10"/>
      <c r="P14" s="10"/>
      <c r="Q14" s="10">
        <f t="shared" si="0"/>
        <v>4537</v>
      </c>
      <c r="R14" s="10">
        <f t="shared" si="0"/>
        <v>10637181231886</v>
      </c>
    </row>
    <row r="15" spans="1:18" x14ac:dyDescent="0.35">
      <c r="A15" s="159" t="s">
        <v>46</v>
      </c>
      <c r="B15" s="163" t="s">
        <v>47</v>
      </c>
      <c r="C15" s="10">
        <v>2096</v>
      </c>
      <c r="D15" s="10">
        <v>408743454465616</v>
      </c>
      <c r="E15" s="10">
        <v>22</v>
      </c>
      <c r="F15" s="10">
        <v>69102554572</v>
      </c>
      <c r="G15" s="10">
        <v>9</v>
      </c>
      <c r="H15" s="10">
        <v>56800000</v>
      </c>
      <c r="I15" s="10">
        <v>9</v>
      </c>
      <c r="J15" s="10">
        <v>102900000</v>
      </c>
      <c r="K15" s="10">
        <v>65</v>
      </c>
      <c r="L15" s="10">
        <v>34581712151</v>
      </c>
      <c r="M15" s="10">
        <v>6</v>
      </c>
      <c r="N15" s="10">
        <v>5063262172</v>
      </c>
      <c r="O15" s="10"/>
      <c r="P15" s="10"/>
      <c r="Q15" s="10">
        <f t="shared" si="0"/>
        <v>2207</v>
      </c>
      <c r="R15" s="10">
        <f t="shared" si="0"/>
        <v>408852361694511</v>
      </c>
    </row>
    <row r="16" spans="1:18" x14ac:dyDescent="0.35">
      <c r="A16" s="159" t="s">
        <v>48</v>
      </c>
      <c r="B16" s="163" t="s">
        <v>49</v>
      </c>
      <c r="C16" s="10">
        <v>9074</v>
      </c>
      <c r="D16" s="10">
        <v>65538970161744</v>
      </c>
      <c r="E16" s="10">
        <v>89</v>
      </c>
      <c r="F16" s="10">
        <v>236945235188</v>
      </c>
      <c r="G16" s="10">
        <v>65</v>
      </c>
      <c r="H16" s="10">
        <v>40906063180</v>
      </c>
      <c r="I16" s="10">
        <v>24</v>
      </c>
      <c r="J16" s="10">
        <v>1311159681</v>
      </c>
      <c r="K16" s="10">
        <v>286</v>
      </c>
      <c r="L16" s="10">
        <v>556102649953</v>
      </c>
      <c r="M16" s="10">
        <v>61</v>
      </c>
      <c r="N16" s="10">
        <v>62458568368</v>
      </c>
      <c r="O16" s="10">
        <v>1</v>
      </c>
      <c r="P16" s="10">
        <v>3720235867</v>
      </c>
      <c r="Q16" s="10">
        <f t="shared" si="0"/>
        <v>9600</v>
      </c>
      <c r="R16" s="10">
        <f t="shared" si="0"/>
        <v>66440414073981</v>
      </c>
    </row>
    <row r="17" spans="1:18" x14ac:dyDescent="0.35">
      <c r="A17" s="159" t="s">
        <v>50</v>
      </c>
      <c r="B17" s="163" t="s">
        <v>51</v>
      </c>
      <c r="C17" s="10">
        <v>12130</v>
      </c>
      <c r="D17" s="10">
        <v>42575822876280</v>
      </c>
      <c r="E17" s="10">
        <v>141</v>
      </c>
      <c r="F17" s="10">
        <v>40898212220</v>
      </c>
      <c r="G17" s="10">
        <v>118</v>
      </c>
      <c r="H17" s="10">
        <v>18549107294</v>
      </c>
      <c r="I17" s="10">
        <v>102</v>
      </c>
      <c r="J17" s="10">
        <v>10965448097</v>
      </c>
      <c r="K17" s="10">
        <v>613</v>
      </c>
      <c r="L17" s="10">
        <v>57080070696</v>
      </c>
      <c r="M17" s="10">
        <v>92</v>
      </c>
      <c r="N17" s="10">
        <v>23622124153</v>
      </c>
      <c r="O17" s="10"/>
      <c r="P17" s="10"/>
      <c r="Q17" s="10">
        <f t="shared" si="0"/>
        <v>13196</v>
      </c>
      <c r="R17" s="10">
        <f t="shared" si="0"/>
        <v>42726937838740</v>
      </c>
    </row>
    <row r="18" spans="1:18" x14ac:dyDescent="0.35">
      <c r="A18" s="159" t="s">
        <v>52</v>
      </c>
      <c r="B18" s="163" t="s">
        <v>53</v>
      </c>
      <c r="C18" s="10">
        <v>5499</v>
      </c>
      <c r="D18" s="10">
        <v>12186257456292</v>
      </c>
      <c r="E18" s="10">
        <v>242</v>
      </c>
      <c r="F18" s="10">
        <v>15326408675</v>
      </c>
      <c r="G18" s="10">
        <v>107</v>
      </c>
      <c r="H18" s="10">
        <v>3279984573</v>
      </c>
      <c r="I18" s="10">
        <v>94</v>
      </c>
      <c r="J18" s="10">
        <v>16178103372</v>
      </c>
      <c r="K18" s="10">
        <v>641</v>
      </c>
      <c r="L18" s="10">
        <v>292424589262</v>
      </c>
      <c r="M18" s="10">
        <v>89</v>
      </c>
      <c r="N18" s="10">
        <v>11205589219</v>
      </c>
      <c r="O18" s="10"/>
      <c r="P18" s="10"/>
      <c r="Q18" s="10">
        <f t="shared" si="0"/>
        <v>6672</v>
      </c>
      <c r="R18" s="10">
        <f t="shared" si="0"/>
        <v>12524672131393</v>
      </c>
    </row>
    <row r="19" spans="1:18" x14ac:dyDescent="0.35">
      <c r="A19" s="159" t="s">
        <v>54</v>
      </c>
      <c r="B19" s="163" t="s">
        <v>55</v>
      </c>
      <c r="C19" s="10">
        <v>27</v>
      </c>
      <c r="D19" s="10">
        <v>191788865799</v>
      </c>
      <c r="E19" s="10">
        <v>1</v>
      </c>
      <c r="F19" s="10">
        <v>787578034</v>
      </c>
      <c r="G19" s="10"/>
      <c r="H19" s="10"/>
      <c r="I19" s="10"/>
      <c r="J19" s="10"/>
      <c r="K19" s="10">
        <v>2</v>
      </c>
      <c r="L19" s="10">
        <v>7203444</v>
      </c>
      <c r="M19" s="10"/>
      <c r="N19" s="10"/>
      <c r="O19" s="10"/>
      <c r="P19" s="10"/>
      <c r="Q19" s="10">
        <f t="shared" si="0"/>
        <v>30</v>
      </c>
      <c r="R19" s="10">
        <f t="shared" si="0"/>
        <v>192583647277</v>
      </c>
    </row>
    <row r="20" spans="1:18" x14ac:dyDescent="0.35">
      <c r="A20" s="159" t="s">
        <v>56</v>
      </c>
      <c r="B20" s="163" t="s">
        <v>57</v>
      </c>
      <c r="C20" s="10">
        <v>1080</v>
      </c>
      <c r="D20" s="10">
        <v>459275010878</v>
      </c>
      <c r="E20" s="10">
        <v>30</v>
      </c>
      <c r="F20" s="10">
        <v>1194114100</v>
      </c>
      <c r="G20" s="10">
        <v>21</v>
      </c>
      <c r="H20" s="10">
        <v>807514858</v>
      </c>
      <c r="I20" s="10">
        <v>27</v>
      </c>
      <c r="J20" s="10">
        <v>715315258</v>
      </c>
      <c r="K20" s="10">
        <v>160</v>
      </c>
      <c r="L20" s="10">
        <v>18058026624</v>
      </c>
      <c r="M20" s="10">
        <v>15</v>
      </c>
      <c r="N20" s="10">
        <v>145106000</v>
      </c>
      <c r="O20" s="10"/>
      <c r="P20" s="10"/>
      <c r="Q20" s="10">
        <f t="shared" si="0"/>
        <v>1333</v>
      </c>
      <c r="R20" s="10">
        <f t="shared" si="0"/>
        <v>480195087718</v>
      </c>
    </row>
    <row r="21" spans="1:18" x14ac:dyDescent="0.35">
      <c r="A21" s="159" t="s">
        <v>58</v>
      </c>
      <c r="B21" s="163" t="s">
        <v>59</v>
      </c>
      <c r="C21" s="10">
        <v>2461</v>
      </c>
      <c r="D21" s="10">
        <v>6583874115286</v>
      </c>
      <c r="E21" s="10">
        <v>48</v>
      </c>
      <c r="F21" s="10">
        <v>983897143</v>
      </c>
      <c r="G21" s="10">
        <v>34</v>
      </c>
      <c r="H21" s="10">
        <v>922065253</v>
      </c>
      <c r="I21" s="10">
        <v>38</v>
      </c>
      <c r="J21" s="10">
        <v>44999097053</v>
      </c>
      <c r="K21" s="10">
        <v>212</v>
      </c>
      <c r="L21" s="10">
        <v>67382740422</v>
      </c>
      <c r="M21" s="10">
        <v>20</v>
      </c>
      <c r="N21" s="10">
        <v>410101563</v>
      </c>
      <c r="O21" s="10"/>
      <c r="P21" s="10"/>
      <c r="Q21" s="10">
        <f t="shared" si="0"/>
        <v>2813</v>
      </c>
      <c r="R21" s="10">
        <f t="shared" si="0"/>
        <v>6698572016720</v>
      </c>
    </row>
    <row r="22" spans="1:18" x14ac:dyDescent="0.35">
      <c r="A22" s="159" t="s">
        <v>60</v>
      </c>
      <c r="B22" s="163" t="s">
        <v>61</v>
      </c>
      <c r="C22" s="10">
        <v>1885</v>
      </c>
      <c r="D22" s="10">
        <v>2361377627651</v>
      </c>
      <c r="E22" s="10">
        <v>148</v>
      </c>
      <c r="F22" s="10">
        <v>1512126979</v>
      </c>
      <c r="G22" s="10">
        <v>102</v>
      </c>
      <c r="H22" s="10">
        <v>1523047597</v>
      </c>
      <c r="I22" s="10">
        <v>49</v>
      </c>
      <c r="J22" s="10">
        <v>1248358867</v>
      </c>
      <c r="K22" s="10">
        <v>320</v>
      </c>
      <c r="L22" s="10">
        <v>21393625308</v>
      </c>
      <c r="M22" s="10">
        <v>88</v>
      </c>
      <c r="N22" s="10">
        <v>18197428389</v>
      </c>
      <c r="O22" s="10"/>
      <c r="P22" s="10"/>
      <c r="Q22" s="10">
        <f t="shared" si="0"/>
        <v>2592</v>
      </c>
      <c r="R22" s="10">
        <f t="shared" si="0"/>
        <v>2405252214791</v>
      </c>
    </row>
    <row r="23" spans="1:18" x14ac:dyDescent="0.35">
      <c r="A23" s="159" t="s">
        <v>62</v>
      </c>
      <c r="B23" s="163" t="s">
        <v>63</v>
      </c>
      <c r="C23" s="10">
        <v>4343</v>
      </c>
      <c r="D23" s="10">
        <v>401040903134</v>
      </c>
      <c r="E23" s="10">
        <v>402</v>
      </c>
      <c r="F23" s="10">
        <v>1765319186</v>
      </c>
      <c r="G23" s="10">
        <v>325</v>
      </c>
      <c r="H23" s="10">
        <v>7876456720</v>
      </c>
      <c r="I23" s="10">
        <v>139</v>
      </c>
      <c r="J23" s="10">
        <v>643197000</v>
      </c>
      <c r="K23" s="10">
        <v>888</v>
      </c>
      <c r="L23" s="10">
        <v>6347196237</v>
      </c>
      <c r="M23" s="10">
        <v>187</v>
      </c>
      <c r="N23" s="10">
        <v>597056001</v>
      </c>
      <c r="O23" s="10">
        <v>1</v>
      </c>
      <c r="P23" s="10">
        <v>9000000</v>
      </c>
      <c r="Q23" s="10">
        <f t="shared" si="0"/>
        <v>6285</v>
      </c>
      <c r="R23" s="10">
        <f t="shared" si="0"/>
        <v>418279128278</v>
      </c>
    </row>
    <row r="24" spans="1:18" x14ac:dyDescent="0.35">
      <c r="A24" s="159" t="s">
        <v>64</v>
      </c>
      <c r="B24" s="163" t="s">
        <v>65</v>
      </c>
      <c r="C24" s="10">
        <v>24</v>
      </c>
      <c r="D24" s="10">
        <v>13156036922</v>
      </c>
      <c r="E24" s="10"/>
      <c r="F24" s="10"/>
      <c r="G24" s="10">
        <v>1</v>
      </c>
      <c r="H24" s="10">
        <v>12804000</v>
      </c>
      <c r="I24" s="10"/>
      <c r="J24" s="10"/>
      <c r="K24" s="10"/>
      <c r="L24" s="10"/>
      <c r="M24" s="10"/>
      <c r="N24" s="10"/>
      <c r="O24" s="10"/>
      <c r="P24" s="10"/>
      <c r="Q24" s="10">
        <f t="shared" si="0"/>
        <v>25</v>
      </c>
      <c r="R24" s="10">
        <f t="shared" si="0"/>
        <v>13168840922</v>
      </c>
    </row>
    <row r="25" spans="1:18" x14ac:dyDescent="0.35">
      <c r="A25" s="159" t="s">
        <v>66</v>
      </c>
      <c r="B25" s="163" t="s">
        <v>67</v>
      </c>
      <c r="C25" s="10"/>
      <c r="D25" s="10"/>
      <c r="E25" s="10"/>
      <c r="F25" s="10"/>
      <c r="G25" s="10">
        <v>1</v>
      </c>
      <c r="H25" s="10">
        <v>3000000</v>
      </c>
      <c r="I25" s="10"/>
      <c r="J25" s="10"/>
      <c r="K25" s="10"/>
      <c r="L25" s="10"/>
      <c r="M25" s="10"/>
      <c r="N25" s="10"/>
      <c r="O25" s="10"/>
      <c r="P25" s="10"/>
      <c r="Q25" s="10">
        <f t="shared" si="0"/>
        <v>1</v>
      </c>
      <c r="R25" s="10">
        <f t="shared" si="0"/>
        <v>3000000</v>
      </c>
    </row>
    <row r="26" spans="1:18" x14ac:dyDescent="0.35">
      <c r="A26" s="157" t="s">
        <v>69</v>
      </c>
      <c r="B26" s="163" t="s">
        <v>70</v>
      </c>
      <c r="C26" s="10">
        <v>147</v>
      </c>
      <c r="D26" s="10">
        <v>176527391546</v>
      </c>
      <c r="E26" s="10">
        <v>12</v>
      </c>
      <c r="F26" s="10">
        <v>4899527068</v>
      </c>
      <c r="G26" s="10">
        <v>4</v>
      </c>
      <c r="H26" s="10">
        <v>57620000</v>
      </c>
      <c r="I26" s="10">
        <v>3</v>
      </c>
      <c r="J26" s="10">
        <v>31800000</v>
      </c>
      <c r="K26" s="10">
        <v>11</v>
      </c>
      <c r="L26" s="10">
        <v>3831669000</v>
      </c>
      <c r="M26" s="10">
        <v>1</v>
      </c>
      <c r="N26" s="10">
        <v>7500000</v>
      </c>
      <c r="O26" s="10"/>
      <c r="P26" s="10"/>
      <c r="Q26" s="10">
        <f t="shared" si="0"/>
        <v>178</v>
      </c>
      <c r="R26" s="10">
        <f t="shared" si="0"/>
        <v>185355507614</v>
      </c>
    </row>
    <row r="27" spans="1:18" x14ac:dyDescent="0.35">
      <c r="A27" s="53" t="s">
        <v>16</v>
      </c>
      <c r="B27" s="54"/>
      <c r="C27" s="4">
        <f>SUM(C5:C26)</f>
        <v>118441</v>
      </c>
      <c r="D27" s="4">
        <f>SUM(D5:D26)</f>
        <v>883822336661753</v>
      </c>
      <c r="E27" s="4">
        <f>SUM(E5:E26)</f>
        <v>9460</v>
      </c>
      <c r="F27" s="4">
        <f>SUM(F5:F26)</f>
        <v>2946723483448</v>
      </c>
      <c r="G27" s="4">
        <f>SUM(G5:G26)</f>
        <v>6273</v>
      </c>
      <c r="H27" s="4">
        <f>SUM(H5:H26)</f>
        <v>3960332728077</v>
      </c>
      <c r="I27" s="4">
        <f>SUM(I5:I26)</f>
        <v>3602</v>
      </c>
      <c r="J27" s="4">
        <f>SUM(J5:J26)</f>
        <v>716418576927</v>
      </c>
      <c r="K27" s="4">
        <f>SUM(K5:K26)</f>
        <v>16604</v>
      </c>
      <c r="L27" s="4">
        <f>SUM(L5:L26)</f>
        <v>19736681120445</v>
      </c>
      <c r="M27" s="4">
        <f>SUM(M5:M26)</f>
        <v>4626</v>
      </c>
      <c r="N27" s="4">
        <f>SUM(N5:N26)</f>
        <v>497718699338</v>
      </c>
      <c r="O27" s="4">
        <f>SUM(O5:O26)</f>
        <v>3</v>
      </c>
      <c r="P27" s="4">
        <f>SUM(P5:P26)</f>
        <v>3731035867</v>
      </c>
      <c r="Q27" s="4">
        <f>SUM(Q5:Q26)</f>
        <v>159009</v>
      </c>
      <c r="R27" s="4">
        <f>SUM(R5:R26)</f>
        <v>911683942305855</v>
      </c>
    </row>
    <row r="29" spans="1:18" x14ac:dyDescent="0.35">
      <c r="A29" t="s">
        <v>1356</v>
      </c>
    </row>
    <row r="30" spans="1:18" x14ac:dyDescent="0.35">
      <c r="A30" t="s">
        <v>1318</v>
      </c>
    </row>
    <row r="31" spans="1:18" x14ac:dyDescent="0.35">
      <c r="A31" t="s">
        <v>17</v>
      </c>
    </row>
    <row r="32" spans="1:18" x14ac:dyDescent="0.35">
      <c r="A32" t="s">
        <v>1320</v>
      </c>
    </row>
  </sheetData>
  <mergeCells count="11">
    <mergeCell ref="A27:B27"/>
    <mergeCell ref="K3:L3"/>
    <mergeCell ref="M3:N3"/>
    <mergeCell ref="O3:P3"/>
    <mergeCell ref="Q3:R3"/>
    <mergeCell ref="A3:A4"/>
    <mergeCell ref="B3:B4"/>
    <mergeCell ref="C3:D3"/>
    <mergeCell ref="E3:F3"/>
    <mergeCell ref="G3:H3"/>
    <mergeCell ref="I3:J3"/>
  </mergeCells>
  <hyperlinks>
    <hyperlink ref="F1" location="Índice!A1" display="Volver al índice" xr:uid="{33835F84-90E8-4DD8-B04E-DB4E13D7301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8734-C409-481B-81CD-3D0A0F7D05AA}">
  <dimension ref="A1:BR33"/>
  <sheetViews>
    <sheetView workbookViewId="0">
      <selection activeCell="G1" sqref="G1"/>
    </sheetView>
  </sheetViews>
  <sheetFormatPr baseColWidth="10" defaultColWidth="11.453125" defaultRowHeight="14.5" x14ac:dyDescent="0.35"/>
  <cols>
    <col min="2" max="2" width="85" customWidth="1"/>
    <col min="3" max="6" width="11.7265625" bestFit="1" customWidth="1"/>
    <col min="7" max="7" width="16.54296875" bestFit="1" customWidth="1"/>
    <col min="8" max="9" width="17.54296875" bestFit="1" customWidth="1"/>
    <col min="10" max="10" width="18.54296875" bestFit="1" customWidth="1"/>
    <col min="11" max="11" width="13.1796875" customWidth="1"/>
    <col min="12" max="12" width="18.54296875" bestFit="1" customWidth="1"/>
    <col min="13" max="16" width="11.7265625" bestFit="1" customWidth="1"/>
    <col min="17" max="17" width="13.81640625" bestFit="1" customWidth="1"/>
    <col min="18" max="20" width="14.81640625" bestFit="1" customWidth="1"/>
    <col min="21" max="21" width="11.7265625" bestFit="1" customWidth="1"/>
    <col min="22" max="22" width="16.54296875" bestFit="1" customWidth="1"/>
    <col min="23" max="26" width="11.7265625" bestFit="1" customWidth="1"/>
    <col min="27" max="27" width="13.81640625" bestFit="1" customWidth="1"/>
    <col min="28" max="29" width="14.81640625" bestFit="1" customWidth="1"/>
    <col min="30" max="30" width="13.81640625" bestFit="1" customWidth="1"/>
    <col min="31" max="31" width="13" customWidth="1"/>
    <col min="32" max="32" width="14.81640625" bestFit="1" customWidth="1"/>
    <col min="33" max="36" width="11.7265625" bestFit="1" customWidth="1"/>
    <col min="37" max="37" width="13.81640625" bestFit="1" customWidth="1"/>
    <col min="38" max="39" width="14.81640625" bestFit="1" customWidth="1"/>
    <col min="40" max="40" width="16.54296875" bestFit="1" customWidth="1"/>
    <col min="41" max="41" width="11.7265625" bestFit="1" customWidth="1"/>
    <col min="42" max="42" width="16.54296875" bestFit="1" customWidth="1"/>
    <col min="43" max="46" width="11.7265625" bestFit="1" customWidth="1"/>
    <col min="47" max="48" width="14.81640625" bestFit="1" customWidth="1"/>
    <col min="49" max="49" width="16.453125" bestFit="1" customWidth="1"/>
    <col min="50" max="50" width="17.54296875" bestFit="1" customWidth="1"/>
    <col min="51" max="51" width="11.7265625" bestFit="1" customWidth="1"/>
    <col min="52" max="52" width="17.54296875" bestFit="1" customWidth="1"/>
    <col min="53" max="55" width="11.7265625" bestFit="1" customWidth="1"/>
    <col min="56" max="56" width="13.81640625" bestFit="1" customWidth="1"/>
    <col min="57" max="57" width="14.7265625" bestFit="1" customWidth="1"/>
    <col min="58" max="58" width="13.81640625" bestFit="1" customWidth="1"/>
    <col min="59" max="59" width="14.453125" bestFit="1" customWidth="1"/>
    <col min="60" max="60" width="14.81640625" bestFit="1" customWidth="1"/>
    <col min="61" max="61" width="11.7265625" bestFit="1" customWidth="1"/>
    <col min="62" max="62" width="14.453125" bestFit="1" customWidth="1"/>
    <col min="63" max="63" width="11.7265625" bestFit="1" customWidth="1"/>
    <col min="64" max="64" width="12.7265625" bestFit="1" customWidth="1"/>
    <col min="65" max="65" width="13.7265625" bestFit="1" customWidth="1"/>
    <col min="66" max="66" width="14.81640625" bestFit="1" customWidth="1"/>
    <col min="67" max="67" width="16.453125" bestFit="1" customWidth="1"/>
    <col min="68" max="68" width="18.453125" bestFit="1" customWidth="1"/>
    <col min="70" max="70" width="18.08984375" bestFit="1" customWidth="1"/>
  </cols>
  <sheetData>
    <row r="1" spans="1:70" ht="18.5" x14ac:dyDescent="0.45">
      <c r="A1" s="21" t="s">
        <v>1290</v>
      </c>
      <c r="G1" s="17" t="s">
        <v>1</v>
      </c>
    </row>
    <row r="3" spans="1:70" ht="15" customHeight="1" x14ac:dyDescent="0.35">
      <c r="A3" s="51" t="s">
        <v>18</v>
      </c>
      <c r="B3" s="51" t="s">
        <v>19</v>
      </c>
      <c r="C3" s="51" t="s">
        <v>71</v>
      </c>
      <c r="D3" s="51"/>
      <c r="E3" s="51"/>
      <c r="F3" s="51"/>
      <c r="G3" s="51"/>
      <c r="H3" s="51"/>
      <c r="I3" s="51"/>
      <c r="J3" s="51"/>
      <c r="K3" s="52" t="s">
        <v>79</v>
      </c>
      <c r="L3" s="52"/>
      <c r="M3" s="51" t="s">
        <v>72</v>
      </c>
      <c r="N3" s="51"/>
      <c r="O3" s="51"/>
      <c r="P3" s="51"/>
      <c r="Q3" s="51"/>
      <c r="R3" s="51"/>
      <c r="S3" s="51"/>
      <c r="T3" s="51"/>
      <c r="U3" s="52" t="s">
        <v>80</v>
      </c>
      <c r="V3" s="52"/>
      <c r="W3" s="51" t="s">
        <v>73</v>
      </c>
      <c r="X3" s="51"/>
      <c r="Y3" s="51"/>
      <c r="Z3" s="51"/>
      <c r="AA3" s="51"/>
      <c r="AB3" s="51"/>
      <c r="AC3" s="51"/>
      <c r="AD3" s="51"/>
      <c r="AE3" s="52" t="s">
        <v>81</v>
      </c>
      <c r="AF3" s="52"/>
      <c r="AG3" s="51" t="s">
        <v>74</v>
      </c>
      <c r="AH3" s="51"/>
      <c r="AI3" s="51"/>
      <c r="AJ3" s="51"/>
      <c r="AK3" s="51"/>
      <c r="AL3" s="51"/>
      <c r="AM3" s="51"/>
      <c r="AN3" s="51"/>
      <c r="AO3" s="52" t="s">
        <v>82</v>
      </c>
      <c r="AP3" s="52"/>
      <c r="AQ3" s="51" t="s">
        <v>75</v>
      </c>
      <c r="AR3" s="51"/>
      <c r="AS3" s="51"/>
      <c r="AT3" s="51"/>
      <c r="AU3" s="51"/>
      <c r="AV3" s="51"/>
      <c r="AW3" s="51"/>
      <c r="AX3" s="51"/>
      <c r="AY3" s="52" t="s">
        <v>75</v>
      </c>
      <c r="AZ3" s="52"/>
      <c r="BA3" s="51" t="s">
        <v>76</v>
      </c>
      <c r="BB3" s="51"/>
      <c r="BC3" s="51"/>
      <c r="BD3" s="51"/>
      <c r="BE3" s="51"/>
      <c r="BF3" s="51"/>
      <c r="BG3" s="51"/>
      <c r="BH3" s="96"/>
      <c r="BI3" s="52" t="s">
        <v>83</v>
      </c>
      <c r="BJ3" s="52"/>
      <c r="BK3" s="51" t="s">
        <v>77</v>
      </c>
      <c r="BL3" s="51"/>
      <c r="BM3" s="51"/>
      <c r="BN3" s="51"/>
      <c r="BO3" s="52" t="s">
        <v>77</v>
      </c>
      <c r="BP3" s="52"/>
      <c r="BQ3" s="51" t="s">
        <v>78</v>
      </c>
      <c r="BR3" s="51"/>
    </row>
    <row r="4" spans="1:70" ht="15" customHeight="1" x14ac:dyDescent="0.35">
      <c r="A4" s="51"/>
      <c r="B4" s="51"/>
      <c r="C4" s="51" t="s">
        <v>84</v>
      </c>
      <c r="D4" s="51"/>
      <c r="E4" s="51"/>
      <c r="F4" s="51"/>
      <c r="G4" s="51" t="s">
        <v>85</v>
      </c>
      <c r="H4" s="51"/>
      <c r="I4" s="51"/>
      <c r="J4" s="51"/>
      <c r="K4" s="52" t="s">
        <v>86</v>
      </c>
      <c r="L4" s="52" t="s">
        <v>4</v>
      </c>
      <c r="M4" s="51" t="s">
        <v>84</v>
      </c>
      <c r="N4" s="51"/>
      <c r="O4" s="51"/>
      <c r="P4" s="51"/>
      <c r="Q4" s="51" t="s">
        <v>85</v>
      </c>
      <c r="R4" s="51"/>
      <c r="S4" s="51"/>
      <c r="T4" s="51"/>
      <c r="U4" s="52" t="s">
        <v>86</v>
      </c>
      <c r="V4" s="52" t="s">
        <v>4</v>
      </c>
      <c r="W4" s="51" t="s">
        <v>84</v>
      </c>
      <c r="X4" s="51"/>
      <c r="Y4" s="51"/>
      <c r="Z4" s="51"/>
      <c r="AA4" s="51" t="s">
        <v>85</v>
      </c>
      <c r="AB4" s="51"/>
      <c r="AC4" s="51"/>
      <c r="AD4" s="51"/>
      <c r="AE4" s="52" t="s">
        <v>86</v>
      </c>
      <c r="AF4" s="52" t="s">
        <v>4</v>
      </c>
      <c r="AG4" s="51" t="s">
        <v>87</v>
      </c>
      <c r="AH4" s="51"/>
      <c r="AI4" s="51"/>
      <c r="AJ4" s="51"/>
      <c r="AK4" s="51" t="s">
        <v>88</v>
      </c>
      <c r="AL4" s="51"/>
      <c r="AM4" s="51"/>
      <c r="AN4" s="51"/>
      <c r="AO4" s="52" t="s">
        <v>86</v>
      </c>
      <c r="AP4" s="52" t="s">
        <v>4</v>
      </c>
      <c r="AQ4" s="51" t="s">
        <v>87</v>
      </c>
      <c r="AR4" s="51"/>
      <c r="AS4" s="51"/>
      <c r="AT4" s="51"/>
      <c r="AU4" s="51" t="s">
        <v>88</v>
      </c>
      <c r="AV4" s="51"/>
      <c r="AW4" s="51"/>
      <c r="AX4" s="51"/>
      <c r="AY4" s="52" t="s">
        <v>86</v>
      </c>
      <c r="AZ4" s="52" t="s">
        <v>88</v>
      </c>
      <c r="BA4" s="51" t="s">
        <v>87</v>
      </c>
      <c r="BB4" s="51"/>
      <c r="BC4" s="51"/>
      <c r="BD4" s="51"/>
      <c r="BE4" s="51" t="s">
        <v>88</v>
      </c>
      <c r="BF4" s="51"/>
      <c r="BG4" s="51"/>
      <c r="BH4" s="51"/>
      <c r="BI4" s="52" t="s">
        <v>86</v>
      </c>
      <c r="BJ4" s="52" t="s">
        <v>88</v>
      </c>
      <c r="BK4" s="51" t="s">
        <v>87</v>
      </c>
      <c r="BL4" s="51"/>
      <c r="BM4" s="51" t="s">
        <v>88</v>
      </c>
      <c r="BN4" s="51"/>
      <c r="BO4" s="52" t="s">
        <v>86</v>
      </c>
      <c r="BP4" s="52" t="s">
        <v>88</v>
      </c>
      <c r="BQ4" s="51" t="s">
        <v>86</v>
      </c>
      <c r="BR4" s="51" t="s">
        <v>4</v>
      </c>
    </row>
    <row r="5" spans="1:70" x14ac:dyDescent="0.35">
      <c r="A5" s="51"/>
      <c r="B5" s="51"/>
      <c r="C5" s="96" t="s">
        <v>22</v>
      </c>
      <c r="D5" s="96" t="s">
        <v>23</v>
      </c>
      <c r="E5" s="96" t="s">
        <v>24</v>
      </c>
      <c r="F5" s="96" t="s">
        <v>25</v>
      </c>
      <c r="G5" s="96" t="s">
        <v>22</v>
      </c>
      <c r="H5" s="96" t="s">
        <v>23</v>
      </c>
      <c r="I5" s="96" t="s">
        <v>24</v>
      </c>
      <c r="J5" s="96" t="s">
        <v>25</v>
      </c>
      <c r="K5" s="52"/>
      <c r="L5" s="52"/>
      <c r="M5" s="96" t="s">
        <v>22</v>
      </c>
      <c r="N5" s="96" t="s">
        <v>23</v>
      </c>
      <c r="O5" s="96" t="s">
        <v>24</v>
      </c>
      <c r="P5" s="96" t="s">
        <v>25</v>
      </c>
      <c r="Q5" s="96" t="s">
        <v>22</v>
      </c>
      <c r="R5" s="96" t="s">
        <v>23</v>
      </c>
      <c r="S5" s="96" t="s">
        <v>24</v>
      </c>
      <c r="T5" s="96" t="s">
        <v>25</v>
      </c>
      <c r="U5" s="52"/>
      <c r="V5" s="52"/>
      <c r="W5" s="96" t="s">
        <v>22</v>
      </c>
      <c r="X5" s="96" t="s">
        <v>23</v>
      </c>
      <c r="Y5" s="96" t="s">
        <v>24</v>
      </c>
      <c r="Z5" s="96" t="s">
        <v>25</v>
      </c>
      <c r="AA5" s="96" t="s">
        <v>22</v>
      </c>
      <c r="AB5" s="96" t="s">
        <v>23</v>
      </c>
      <c r="AC5" s="96" t="s">
        <v>24</v>
      </c>
      <c r="AD5" s="96" t="s">
        <v>25</v>
      </c>
      <c r="AE5" s="52"/>
      <c r="AF5" s="52"/>
      <c r="AG5" s="96" t="s">
        <v>22</v>
      </c>
      <c r="AH5" s="96" t="s">
        <v>23</v>
      </c>
      <c r="AI5" s="96" t="s">
        <v>24</v>
      </c>
      <c r="AJ5" s="96" t="s">
        <v>25</v>
      </c>
      <c r="AK5" s="96" t="s">
        <v>22</v>
      </c>
      <c r="AL5" s="96" t="s">
        <v>23</v>
      </c>
      <c r="AM5" s="96" t="s">
        <v>24</v>
      </c>
      <c r="AN5" s="96" t="s">
        <v>25</v>
      </c>
      <c r="AO5" s="52"/>
      <c r="AP5" s="52"/>
      <c r="AQ5" s="97" t="s">
        <v>22</v>
      </c>
      <c r="AR5" s="97" t="s">
        <v>23</v>
      </c>
      <c r="AS5" s="97" t="s">
        <v>24</v>
      </c>
      <c r="AT5" s="97" t="s">
        <v>25</v>
      </c>
      <c r="AU5" s="97" t="s">
        <v>22</v>
      </c>
      <c r="AV5" s="97" t="s">
        <v>23</v>
      </c>
      <c r="AW5" s="97" t="s">
        <v>24</v>
      </c>
      <c r="AX5" s="97" t="s">
        <v>25</v>
      </c>
      <c r="AY5" s="52"/>
      <c r="AZ5" s="52"/>
      <c r="BA5" s="97" t="s">
        <v>22</v>
      </c>
      <c r="BB5" s="97" t="s">
        <v>23</v>
      </c>
      <c r="BC5" s="97" t="s">
        <v>24</v>
      </c>
      <c r="BD5" s="97" t="s">
        <v>25</v>
      </c>
      <c r="BE5" s="97" t="s">
        <v>22</v>
      </c>
      <c r="BF5" s="97" t="s">
        <v>23</v>
      </c>
      <c r="BG5" s="97" t="s">
        <v>24</v>
      </c>
      <c r="BH5" s="97" t="s">
        <v>25</v>
      </c>
      <c r="BI5" s="52"/>
      <c r="BJ5" s="52"/>
      <c r="BK5" s="97" t="s">
        <v>22</v>
      </c>
      <c r="BL5" s="97" t="s">
        <v>23</v>
      </c>
      <c r="BM5" s="97" t="s">
        <v>22</v>
      </c>
      <c r="BN5" s="97" t="s">
        <v>23</v>
      </c>
      <c r="BO5" s="52"/>
      <c r="BP5" s="52"/>
      <c r="BQ5" s="51"/>
      <c r="BR5" s="51"/>
    </row>
    <row r="6" spans="1:70" x14ac:dyDescent="0.35">
      <c r="A6" s="91" t="s">
        <v>26</v>
      </c>
      <c r="B6" s="95" t="s">
        <v>27</v>
      </c>
      <c r="C6" s="93">
        <v>1295</v>
      </c>
      <c r="D6" s="93">
        <v>664</v>
      </c>
      <c r="E6" s="93">
        <v>260</v>
      </c>
      <c r="F6" s="93">
        <v>62</v>
      </c>
      <c r="G6" s="93">
        <v>130444784328</v>
      </c>
      <c r="H6" s="93">
        <v>1665731525151</v>
      </c>
      <c r="I6" s="93">
        <v>3937132160273</v>
      </c>
      <c r="J6" s="93">
        <v>5365769380987</v>
      </c>
      <c r="K6" s="94">
        <v>2281</v>
      </c>
      <c r="L6" s="94">
        <v>11099077850739</v>
      </c>
      <c r="M6" s="93">
        <v>316</v>
      </c>
      <c r="N6" s="93">
        <v>69</v>
      </c>
      <c r="O6" s="93">
        <v>21</v>
      </c>
      <c r="P6" s="93">
        <v>5</v>
      </c>
      <c r="Q6" s="93">
        <v>19122832055</v>
      </c>
      <c r="R6" s="93">
        <v>160319353659</v>
      </c>
      <c r="S6" s="93">
        <v>237004218612</v>
      </c>
      <c r="T6" s="93">
        <v>855545700398</v>
      </c>
      <c r="U6" s="94">
        <v>411</v>
      </c>
      <c r="V6" s="94">
        <v>1271992104724</v>
      </c>
      <c r="W6" s="93">
        <v>206</v>
      </c>
      <c r="X6" s="93">
        <v>65</v>
      </c>
      <c r="Y6" s="93">
        <v>7</v>
      </c>
      <c r="Z6" s="93">
        <v>1</v>
      </c>
      <c r="AA6" s="93">
        <v>14916200077</v>
      </c>
      <c r="AB6" s="93">
        <v>158453028682</v>
      </c>
      <c r="AC6" s="93">
        <v>98880843719</v>
      </c>
      <c r="AD6" s="93">
        <v>69443126216</v>
      </c>
      <c r="AE6" s="94">
        <v>279</v>
      </c>
      <c r="AF6" s="94">
        <v>341693198694</v>
      </c>
      <c r="AG6" s="93">
        <v>114</v>
      </c>
      <c r="AH6" s="93">
        <v>22</v>
      </c>
      <c r="AI6" s="93"/>
      <c r="AJ6" s="93"/>
      <c r="AK6" s="93">
        <v>9972208189</v>
      </c>
      <c r="AL6" s="93">
        <v>41174994479</v>
      </c>
      <c r="AM6" s="93"/>
      <c r="AN6" s="93"/>
      <c r="AO6" s="94">
        <v>136</v>
      </c>
      <c r="AP6" s="94">
        <v>51147202668</v>
      </c>
      <c r="AQ6" s="93">
        <v>154</v>
      </c>
      <c r="AR6" s="93">
        <v>13</v>
      </c>
      <c r="AS6" s="93">
        <v>3</v>
      </c>
      <c r="AT6" s="93">
        <v>1</v>
      </c>
      <c r="AU6" s="93">
        <v>7518244816</v>
      </c>
      <c r="AV6" s="93">
        <v>32003348938</v>
      </c>
      <c r="AW6" s="93">
        <v>84301524067</v>
      </c>
      <c r="AX6" s="93">
        <v>45908635000</v>
      </c>
      <c r="AY6" s="94">
        <v>171</v>
      </c>
      <c r="AZ6" s="94">
        <v>169731752821</v>
      </c>
      <c r="BA6" s="93">
        <v>94</v>
      </c>
      <c r="BB6" s="93">
        <v>9</v>
      </c>
      <c r="BC6" s="93">
        <v>1</v>
      </c>
      <c r="BD6" s="93"/>
      <c r="BE6" s="93">
        <v>3384152166</v>
      </c>
      <c r="BF6" s="93">
        <v>16453327975</v>
      </c>
      <c r="BG6" s="93">
        <v>7097152913</v>
      </c>
      <c r="BH6" s="93"/>
      <c r="BI6" s="94">
        <v>104</v>
      </c>
      <c r="BJ6" s="94">
        <v>26934633054</v>
      </c>
      <c r="BK6" s="93"/>
      <c r="BL6" s="93"/>
      <c r="BM6" s="93"/>
      <c r="BN6" s="93"/>
      <c r="BO6" s="94">
        <v>0</v>
      </c>
      <c r="BP6" s="94">
        <v>0</v>
      </c>
      <c r="BQ6" s="93">
        <v>3382</v>
      </c>
      <c r="BR6" s="93">
        <v>12960576742700</v>
      </c>
    </row>
    <row r="7" spans="1:70" x14ac:dyDescent="0.35">
      <c r="A7" s="91" t="s">
        <v>28</v>
      </c>
      <c r="B7" s="95" t="s">
        <v>29</v>
      </c>
      <c r="C7" s="93">
        <v>216</v>
      </c>
      <c r="D7" s="93">
        <v>81</v>
      </c>
      <c r="E7" s="93">
        <v>26</v>
      </c>
      <c r="F7" s="93">
        <v>22</v>
      </c>
      <c r="G7" s="93">
        <v>22923022012</v>
      </c>
      <c r="H7" s="93">
        <v>206567968028</v>
      </c>
      <c r="I7" s="93">
        <v>390777636524</v>
      </c>
      <c r="J7" s="93">
        <v>143296217205085</v>
      </c>
      <c r="K7" s="94">
        <v>345</v>
      </c>
      <c r="L7" s="94">
        <v>143916485831649</v>
      </c>
      <c r="M7" s="93">
        <v>69</v>
      </c>
      <c r="N7" s="93">
        <v>7</v>
      </c>
      <c r="O7" s="93">
        <v>3</v>
      </c>
      <c r="P7" s="93">
        <v>1</v>
      </c>
      <c r="Q7" s="93">
        <v>2811963700</v>
      </c>
      <c r="R7" s="93">
        <v>16513423572</v>
      </c>
      <c r="S7" s="93">
        <v>34685125893</v>
      </c>
      <c r="T7" s="93">
        <v>62584875000</v>
      </c>
      <c r="U7" s="94">
        <v>80</v>
      </c>
      <c r="V7" s="94">
        <v>116595388165</v>
      </c>
      <c r="W7" s="93">
        <v>16</v>
      </c>
      <c r="X7" s="93">
        <v>2</v>
      </c>
      <c r="Y7" s="93"/>
      <c r="Z7" s="93"/>
      <c r="AA7" s="93">
        <v>1256821908</v>
      </c>
      <c r="AB7" s="93">
        <v>6680102265</v>
      </c>
      <c r="AC7" s="93"/>
      <c r="AD7" s="93"/>
      <c r="AE7" s="94">
        <v>18</v>
      </c>
      <c r="AF7" s="94">
        <v>7936924173</v>
      </c>
      <c r="AG7" s="93">
        <v>49</v>
      </c>
      <c r="AH7" s="93">
        <v>16</v>
      </c>
      <c r="AI7" s="93">
        <v>3</v>
      </c>
      <c r="AJ7" s="93"/>
      <c r="AK7" s="93">
        <v>5656965053</v>
      </c>
      <c r="AL7" s="93">
        <v>27323803432</v>
      </c>
      <c r="AM7" s="93">
        <v>34158092413</v>
      </c>
      <c r="AN7" s="93"/>
      <c r="AO7" s="94">
        <v>68</v>
      </c>
      <c r="AP7" s="94">
        <v>67138860898</v>
      </c>
      <c r="AQ7" s="93">
        <v>37</v>
      </c>
      <c r="AR7" s="93">
        <v>8</v>
      </c>
      <c r="AS7" s="93"/>
      <c r="AT7" s="93">
        <v>2</v>
      </c>
      <c r="AU7" s="93">
        <v>2488428279</v>
      </c>
      <c r="AV7" s="93">
        <v>16101493599</v>
      </c>
      <c r="AW7" s="93"/>
      <c r="AX7" s="93">
        <v>394919578409</v>
      </c>
      <c r="AY7" s="94">
        <v>47</v>
      </c>
      <c r="AZ7" s="94">
        <v>413509500287</v>
      </c>
      <c r="BA7" s="93">
        <v>25</v>
      </c>
      <c r="BB7" s="93">
        <v>5</v>
      </c>
      <c r="BC7" s="93">
        <v>1</v>
      </c>
      <c r="BD7" s="93"/>
      <c r="BE7" s="93">
        <v>1946356150</v>
      </c>
      <c r="BF7" s="93">
        <v>12111628106</v>
      </c>
      <c r="BG7" s="93">
        <v>6867603000</v>
      </c>
      <c r="BH7" s="93"/>
      <c r="BI7" s="94">
        <v>31</v>
      </c>
      <c r="BJ7" s="94">
        <v>20925587256</v>
      </c>
      <c r="BK7" s="93"/>
      <c r="BL7" s="93"/>
      <c r="BM7" s="93"/>
      <c r="BN7" s="93"/>
      <c r="BO7" s="94">
        <v>0</v>
      </c>
      <c r="BP7" s="94">
        <v>0</v>
      </c>
      <c r="BQ7" s="93">
        <v>589</v>
      </c>
      <c r="BR7" s="93">
        <v>144542592092428</v>
      </c>
    </row>
    <row r="8" spans="1:70" x14ac:dyDescent="0.35">
      <c r="A8" s="91" t="s">
        <v>30</v>
      </c>
      <c r="B8" s="95" t="s">
        <v>31</v>
      </c>
      <c r="C8" s="93">
        <v>12536</v>
      </c>
      <c r="D8" s="93">
        <v>1353</v>
      </c>
      <c r="E8" s="93">
        <v>242</v>
      </c>
      <c r="F8" s="93">
        <v>76</v>
      </c>
      <c r="G8" s="93">
        <v>629046092280</v>
      </c>
      <c r="H8" s="93">
        <v>2807640511782</v>
      </c>
      <c r="I8" s="93">
        <v>3850977281347</v>
      </c>
      <c r="J8" s="93">
        <v>31722896573597</v>
      </c>
      <c r="K8" s="94">
        <v>14207</v>
      </c>
      <c r="L8" s="94">
        <v>39010560459006</v>
      </c>
      <c r="M8" s="93">
        <v>776</v>
      </c>
      <c r="N8" s="93">
        <v>12</v>
      </c>
      <c r="O8" s="93">
        <v>6</v>
      </c>
      <c r="P8" s="93">
        <v>3</v>
      </c>
      <c r="Q8" s="93">
        <v>9918079383</v>
      </c>
      <c r="R8" s="93">
        <v>29179537276</v>
      </c>
      <c r="S8" s="93">
        <v>61873054623</v>
      </c>
      <c r="T8" s="93">
        <v>527487646000</v>
      </c>
      <c r="U8" s="94">
        <v>797</v>
      </c>
      <c r="V8" s="94">
        <v>628458317282</v>
      </c>
      <c r="W8" s="93">
        <v>673</v>
      </c>
      <c r="X8" s="93">
        <v>34</v>
      </c>
      <c r="Y8" s="93">
        <v>10</v>
      </c>
      <c r="Z8" s="93">
        <v>3</v>
      </c>
      <c r="AA8" s="93">
        <v>16513012811</v>
      </c>
      <c r="AB8" s="93">
        <v>83601270217</v>
      </c>
      <c r="AC8" s="93">
        <v>157278679728</v>
      </c>
      <c r="AD8" s="93">
        <v>2706668016294</v>
      </c>
      <c r="AE8" s="94">
        <v>720</v>
      </c>
      <c r="AF8" s="94">
        <v>2964060979050</v>
      </c>
      <c r="AG8" s="93">
        <v>300</v>
      </c>
      <c r="AH8" s="93">
        <v>9</v>
      </c>
      <c r="AI8" s="93"/>
      <c r="AJ8" s="93"/>
      <c r="AK8" s="93">
        <v>5496670981</v>
      </c>
      <c r="AL8" s="93">
        <v>12543444017</v>
      </c>
      <c r="AM8" s="93"/>
      <c r="AN8" s="93"/>
      <c r="AO8" s="94">
        <v>309</v>
      </c>
      <c r="AP8" s="94">
        <v>18040114998</v>
      </c>
      <c r="AQ8" s="93">
        <v>2093</v>
      </c>
      <c r="AR8" s="93">
        <v>166</v>
      </c>
      <c r="AS8" s="93">
        <v>47</v>
      </c>
      <c r="AT8" s="93">
        <v>21</v>
      </c>
      <c r="AU8" s="93">
        <v>70558794826</v>
      </c>
      <c r="AV8" s="93">
        <v>366431258580</v>
      </c>
      <c r="AW8" s="93">
        <v>804004806348</v>
      </c>
      <c r="AX8" s="93">
        <v>7970065182780</v>
      </c>
      <c r="AY8" s="94">
        <v>2327</v>
      </c>
      <c r="AZ8" s="94">
        <v>9211060042534</v>
      </c>
      <c r="BA8" s="93">
        <v>307</v>
      </c>
      <c r="BB8" s="93">
        <v>3</v>
      </c>
      <c r="BC8" s="93"/>
      <c r="BD8" s="93"/>
      <c r="BE8" s="93">
        <v>2977107429</v>
      </c>
      <c r="BF8" s="93">
        <v>5492022986</v>
      </c>
      <c r="BG8" s="93"/>
      <c r="BH8" s="93"/>
      <c r="BI8" s="94">
        <v>310</v>
      </c>
      <c r="BJ8" s="94">
        <v>8469130415</v>
      </c>
      <c r="BK8" s="93"/>
      <c r="BL8" s="93"/>
      <c r="BM8" s="93"/>
      <c r="BN8" s="93"/>
      <c r="BO8" s="94">
        <v>0</v>
      </c>
      <c r="BP8" s="94">
        <v>0</v>
      </c>
      <c r="BQ8" s="93">
        <v>18670</v>
      </c>
      <c r="BR8" s="93">
        <v>51840649043285</v>
      </c>
    </row>
    <row r="9" spans="1:70" x14ac:dyDescent="0.35">
      <c r="A9" s="91" t="s">
        <v>32</v>
      </c>
      <c r="B9" s="95" t="s">
        <v>33</v>
      </c>
      <c r="C9" s="93">
        <v>188</v>
      </c>
      <c r="D9" s="93">
        <v>31</v>
      </c>
      <c r="E9" s="93">
        <v>25</v>
      </c>
      <c r="F9" s="93">
        <v>28</v>
      </c>
      <c r="G9" s="93">
        <v>10103323938</v>
      </c>
      <c r="H9" s="93">
        <v>74007852365</v>
      </c>
      <c r="I9" s="93">
        <v>510030583620</v>
      </c>
      <c r="J9" s="93">
        <v>56716952744068</v>
      </c>
      <c r="K9" s="94">
        <v>272</v>
      </c>
      <c r="L9" s="94">
        <v>57311094503991</v>
      </c>
      <c r="M9" s="93">
        <v>1</v>
      </c>
      <c r="N9" s="93">
        <v>1</v>
      </c>
      <c r="O9" s="93">
        <v>1</v>
      </c>
      <c r="P9" s="93"/>
      <c r="Q9" s="93">
        <v>10000000</v>
      </c>
      <c r="R9" s="93">
        <v>1947939153</v>
      </c>
      <c r="S9" s="93">
        <v>13352560000</v>
      </c>
      <c r="T9" s="93"/>
      <c r="U9" s="94">
        <v>3</v>
      </c>
      <c r="V9" s="94">
        <v>15310499153</v>
      </c>
      <c r="W9" s="93">
        <v>2</v>
      </c>
      <c r="X9" s="93">
        <v>1</v>
      </c>
      <c r="Y9" s="93">
        <v>1</v>
      </c>
      <c r="Z9" s="93"/>
      <c r="AA9" s="93">
        <v>50000000</v>
      </c>
      <c r="AB9" s="93">
        <v>4331678510</v>
      </c>
      <c r="AC9" s="93">
        <v>14515577000</v>
      </c>
      <c r="AD9" s="93"/>
      <c r="AE9" s="94">
        <v>4</v>
      </c>
      <c r="AF9" s="94">
        <v>18897255510</v>
      </c>
      <c r="AG9" s="93"/>
      <c r="AH9" s="93"/>
      <c r="AI9" s="93"/>
      <c r="AJ9" s="93"/>
      <c r="AK9" s="93"/>
      <c r="AL9" s="93"/>
      <c r="AM9" s="93"/>
      <c r="AN9" s="93"/>
      <c r="AO9" s="94">
        <v>0</v>
      </c>
      <c r="AP9" s="94">
        <v>0</v>
      </c>
      <c r="AQ9" s="93">
        <v>4</v>
      </c>
      <c r="AR9" s="93">
        <v>2</v>
      </c>
      <c r="AS9" s="93"/>
      <c r="AT9" s="93"/>
      <c r="AU9" s="93">
        <v>242382382</v>
      </c>
      <c r="AV9" s="93">
        <v>3394680419</v>
      </c>
      <c r="AW9" s="93"/>
      <c r="AX9" s="93"/>
      <c r="AY9" s="94">
        <v>6</v>
      </c>
      <c r="AZ9" s="94">
        <v>3637062801</v>
      </c>
      <c r="BA9" s="93"/>
      <c r="BB9" s="93">
        <v>1</v>
      </c>
      <c r="BC9" s="93">
        <v>2</v>
      </c>
      <c r="BD9" s="93">
        <v>1</v>
      </c>
      <c r="BE9" s="93"/>
      <c r="BF9" s="93">
        <v>2783953245</v>
      </c>
      <c r="BG9" s="93">
        <v>26464197537</v>
      </c>
      <c r="BH9" s="93">
        <v>74625548691</v>
      </c>
      <c r="BI9" s="94">
        <v>4</v>
      </c>
      <c r="BJ9" s="94">
        <v>103873699473</v>
      </c>
      <c r="BK9" s="93"/>
      <c r="BL9" s="93"/>
      <c r="BM9" s="93"/>
      <c r="BN9" s="93"/>
      <c r="BO9" s="94">
        <v>0</v>
      </c>
      <c r="BP9" s="94">
        <v>0</v>
      </c>
      <c r="BQ9" s="93">
        <v>289</v>
      </c>
      <c r="BR9" s="93">
        <v>57452813020928</v>
      </c>
    </row>
    <row r="10" spans="1:70" x14ac:dyDescent="0.35">
      <c r="A10" s="91" t="s">
        <v>34</v>
      </c>
      <c r="B10" s="95" t="s">
        <v>35</v>
      </c>
      <c r="C10" s="93">
        <v>346</v>
      </c>
      <c r="D10" s="93">
        <v>25</v>
      </c>
      <c r="E10" s="93">
        <v>5</v>
      </c>
      <c r="F10" s="93">
        <v>2</v>
      </c>
      <c r="G10" s="93">
        <v>13037393463</v>
      </c>
      <c r="H10" s="93">
        <v>46524753047</v>
      </c>
      <c r="I10" s="93">
        <v>92956317980</v>
      </c>
      <c r="J10" s="93">
        <v>3388492897644</v>
      </c>
      <c r="K10" s="94">
        <v>378</v>
      </c>
      <c r="L10" s="94">
        <v>3541011362134</v>
      </c>
      <c r="M10" s="93">
        <v>26</v>
      </c>
      <c r="N10" s="93">
        <v>12</v>
      </c>
      <c r="O10" s="93">
        <v>1</v>
      </c>
      <c r="P10" s="93"/>
      <c r="Q10" s="93">
        <v>2539328075</v>
      </c>
      <c r="R10" s="93">
        <v>21427381694</v>
      </c>
      <c r="S10" s="93">
        <v>22719851000</v>
      </c>
      <c r="T10" s="93"/>
      <c r="U10" s="94">
        <v>39</v>
      </c>
      <c r="V10" s="94">
        <v>46686560769</v>
      </c>
      <c r="W10" s="93">
        <v>15</v>
      </c>
      <c r="X10" s="93">
        <v>8</v>
      </c>
      <c r="Y10" s="93">
        <v>1</v>
      </c>
      <c r="Z10" s="93"/>
      <c r="AA10" s="93">
        <v>1773309916</v>
      </c>
      <c r="AB10" s="93">
        <v>16114252257</v>
      </c>
      <c r="AC10" s="93">
        <v>8849780290</v>
      </c>
      <c r="AD10" s="93"/>
      <c r="AE10" s="94">
        <v>24</v>
      </c>
      <c r="AF10" s="94">
        <v>26737342463</v>
      </c>
      <c r="AG10" s="93">
        <v>17</v>
      </c>
      <c r="AH10" s="93">
        <v>1</v>
      </c>
      <c r="AI10" s="93">
        <v>1</v>
      </c>
      <c r="AJ10" s="93"/>
      <c r="AK10" s="93">
        <v>1113799281</v>
      </c>
      <c r="AL10" s="93">
        <v>701982694</v>
      </c>
      <c r="AM10" s="93">
        <v>12275684883</v>
      </c>
      <c r="AN10" s="93"/>
      <c r="AO10" s="94">
        <v>19</v>
      </c>
      <c r="AP10" s="94">
        <v>14091466858</v>
      </c>
      <c r="AQ10" s="93">
        <v>97</v>
      </c>
      <c r="AR10" s="93">
        <v>8</v>
      </c>
      <c r="AS10" s="93">
        <v>2</v>
      </c>
      <c r="AT10" s="93"/>
      <c r="AU10" s="93">
        <v>2981601246</v>
      </c>
      <c r="AV10" s="93">
        <v>16340811694</v>
      </c>
      <c r="AW10" s="93">
        <v>30824009147</v>
      </c>
      <c r="AX10" s="93"/>
      <c r="AY10" s="94">
        <v>107</v>
      </c>
      <c r="AZ10" s="94">
        <v>50146422087</v>
      </c>
      <c r="BA10" s="93">
        <v>29</v>
      </c>
      <c r="BB10" s="93">
        <v>5</v>
      </c>
      <c r="BC10" s="93"/>
      <c r="BD10" s="93"/>
      <c r="BE10" s="93">
        <v>2201601366</v>
      </c>
      <c r="BF10" s="93">
        <v>6217579900</v>
      </c>
      <c r="BG10" s="93"/>
      <c r="BH10" s="93"/>
      <c r="BI10" s="94">
        <v>34</v>
      </c>
      <c r="BJ10" s="94">
        <v>8419181266</v>
      </c>
      <c r="BK10" s="93"/>
      <c r="BL10" s="93"/>
      <c r="BM10" s="93"/>
      <c r="BN10" s="93"/>
      <c r="BO10" s="94">
        <v>0</v>
      </c>
      <c r="BP10" s="94">
        <v>0</v>
      </c>
      <c r="BQ10" s="93">
        <v>601</v>
      </c>
      <c r="BR10" s="93">
        <v>3687092335577</v>
      </c>
    </row>
    <row r="11" spans="1:70" x14ac:dyDescent="0.35">
      <c r="A11" s="91" t="s">
        <v>36</v>
      </c>
      <c r="B11" s="95" t="s">
        <v>37</v>
      </c>
      <c r="C11" s="93">
        <v>5150</v>
      </c>
      <c r="D11" s="93">
        <v>1002</v>
      </c>
      <c r="E11" s="93">
        <v>300</v>
      </c>
      <c r="F11" s="93">
        <v>112</v>
      </c>
      <c r="G11" s="93">
        <v>353416720664</v>
      </c>
      <c r="H11" s="93">
        <v>2285727616693</v>
      </c>
      <c r="I11" s="93">
        <v>4721061889879</v>
      </c>
      <c r="J11" s="93">
        <v>30490880274387</v>
      </c>
      <c r="K11" s="94">
        <v>6564</v>
      </c>
      <c r="L11" s="94">
        <v>37851086501623</v>
      </c>
      <c r="M11" s="93">
        <v>118</v>
      </c>
      <c r="N11" s="93">
        <v>8</v>
      </c>
      <c r="O11" s="93">
        <v>1</v>
      </c>
      <c r="P11" s="93"/>
      <c r="Q11" s="93">
        <v>3799308389</v>
      </c>
      <c r="R11" s="93">
        <v>18268472109</v>
      </c>
      <c r="S11" s="93">
        <v>9089349000</v>
      </c>
      <c r="T11" s="93"/>
      <c r="U11" s="94">
        <v>127</v>
      </c>
      <c r="V11" s="94">
        <v>31157129498</v>
      </c>
      <c r="W11" s="93">
        <v>90</v>
      </c>
      <c r="X11" s="93">
        <v>14</v>
      </c>
      <c r="Y11" s="93">
        <v>2</v>
      </c>
      <c r="Z11" s="93"/>
      <c r="AA11" s="93">
        <v>7264210303</v>
      </c>
      <c r="AB11" s="93">
        <v>26616543608</v>
      </c>
      <c r="AC11" s="93">
        <v>18703544551</v>
      </c>
      <c r="AD11" s="93"/>
      <c r="AE11" s="94">
        <v>106</v>
      </c>
      <c r="AF11" s="94">
        <v>52584298462</v>
      </c>
      <c r="AG11" s="93">
        <v>96</v>
      </c>
      <c r="AH11" s="93">
        <v>20</v>
      </c>
      <c r="AI11" s="93">
        <v>1</v>
      </c>
      <c r="AJ11" s="93"/>
      <c r="AK11" s="93">
        <v>9181452472</v>
      </c>
      <c r="AL11" s="93">
        <v>40982335383</v>
      </c>
      <c r="AM11" s="93">
        <v>10509202948</v>
      </c>
      <c r="AN11" s="93"/>
      <c r="AO11" s="94">
        <v>117</v>
      </c>
      <c r="AP11" s="94">
        <v>60672990803</v>
      </c>
      <c r="AQ11" s="93">
        <v>927</v>
      </c>
      <c r="AR11" s="93">
        <v>76</v>
      </c>
      <c r="AS11" s="93">
        <v>9</v>
      </c>
      <c r="AT11" s="93">
        <v>3</v>
      </c>
      <c r="AU11" s="93">
        <v>45585346931</v>
      </c>
      <c r="AV11" s="93">
        <v>131868041286</v>
      </c>
      <c r="AW11" s="93">
        <v>156919817906</v>
      </c>
      <c r="AX11" s="93">
        <v>457391035375</v>
      </c>
      <c r="AY11" s="94">
        <v>1015</v>
      </c>
      <c r="AZ11" s="94">
        <v>791764241498</v>
      </c>
      <c r="BA11" s="93">
        <v>105</v>
      </c>
      <c r="BB11" s="93">
        <v>7</v>
      </c>
      <c r="BC11" s="93">
        <v>1</v>
      </c>
      <c r="BD11" s="93"/>
      <c r="BE11" s="93">
        <v>4225054057</v>
      </c>
      <c r="BF11" s="93">
        <v>11780746387</v>
      </c>
      <c r="BG11" s="93">
        <v>7238005777</v>
      </c>
      <c r="BH11" s="93"/>
      <c r="BI11" s="94">
        <v>113</v>
      </c>
      <c r="BJ11" s="94">
        <v>23243806221</v>
      </c>
      <c r="BK11" s="93"/>
      <c r="BL11" s="93"/>
      <c r="BM11" s="93"/>
      <c r="BN11" s="93"/>
      <c r="BO11" s="94">
        <v>0</v>
      </c>
      <c r="BP11" s="94">
        <v>0</v>
      </c>
      <c r="BQ11" s="93">
        <v>8042</v>
      </c>
      <c r="BR11" s="93">
        <v>38810508968105</v>
      </c>
    </row>
    <row r="12" spans="1:70" x14ac:dyDescent="0.35">
      <c r="A12" s="91" t="s">
        <v>38</v>
      </c>
      <c r="B12" s="95" t="s">
        <v>39</v>
      </c>
      <c r="C12" s="93">
        <v>34884</v>
      </c>
      <c r="D12" s="93">
        <v>2574</v>
      </c>
      <c r="E12" s="93">
        <v>487</v>
      </c>
      <c r="F12" s="93">
        <v>115</v>
      </c>
      <c r="G12" s="93">
        <v>1274430477924</v>
      </c>
      <c r="H12" s="93">
        <v>5336895974446</v>
      </c>
      <c r="I12" s="93">
        <v>7141521949645</v>
      </c>
      <c r="J12" s="93">
        <v>17762512584585</v>
      </c>
      <c r="K12" s="94">
        <v>38060</v>
      </c>
      <c r="L12" s="94">
        <v>31515360986600</v>
      </c>
      <c r="M12" s="93">
        <v>4176</v>
      </c>
      <c r="N12" s="93">
        <v>76</v>
      </c>
      <c r="O12" s="93">
        <v>7</v>
      </c>
      <c r="P12" s="93">
        <v>2</v>
      </c>
      <c r="Q12" s="93">
        <v>45761349148</v>
      </c>
      <c r="R12" s="93">
        <v>150454981911</v>
      </c>
      <c r="S12" s="93">
        <v>63343443659</v>
      </c>
      <c r="T12" s="93">
        <v>104348842196</v>
      </c>
      <c r="U12" s="94">
        <v>4261</v>
      </c>
      <c r="V12" s="94">
        <v>363908616914</v>
      </c>
      <c r="W12" s="93">
        <v>2657</v>
      </c>
      <c r="X12" s="93">
        <v>65</v>
      </c>
      <c r="Y12" s="93">
        <v>13</v>
      </c>
      <c r="Z12" s="93">
        <v>1</v>
      </c>
      <c r="AA12" s="93">
        <v>44647573400</v>
      </c>
      <c r="AB12" s="93">
        <v>125772051862</v>
      </c>
      <c r="AC12" s="93">
        <v>151881951812</v>
      </c>
      <c r="AD12" s="93">
        <v>45222649737</v>
      </c>
      <c r="AE12" s="94">
        <v>2736</v>
      </c>
      <c r="AF12" s="94">
        <v>367524226811</v>
      </c>
      <c r="AG12" s="93">
        <v>1800</v>
      </c>
      <c r="AH12" s="93">
        <v>79</v>
      </c>
      <c r="AI12" s="93">
        <v>10</v>
      </c>
      <c r="AJ12" s="93">
        <v>1</v>
      </c>
      <c r="AK12" s="93">
        <v>49107888358</v>
      </c>
      <c r="AL12" s="93">
        <v>168748016380</v>
      </c>
      <c r="AM12" s="93">
        <v>127608817241</v>
      </c>
      <c r="AN12" s="93">
        <v>66558747275</v>
      </c>
      <c r="AO12" s="94">
        <v>1890</v>
      </c>
      <c r="AP12" s="94">
        <v>412023469254</v>
      </c>
      <c r="AQ12" s="93">
        <v>6527</v>
      </c>
      <c r="AR12" s="93">
        <v>158</v>
      </c>
      <c r="AS12" s="93">
        <v>35</v>
      </c>
      <c r="AT12" s="93">
        <v>7</v>
      </c>
      <c r="AU12" s="93">
        <v>104687523008</v>
      </c>
      <c r="AV12" s="93">
        <v>334595872651</v>
      </c>
      <c r="AW12" s="93">
        <v>505565122896</v>
      </c>
      <c r="AX12" s="93">
        <v>644162493730</v>
      </c>
      <c r="AY12" s="94">
        <v>6727</v>
      </c>
      <c r="AZ12" s="94">
        <v>1589011012285</v>
      </c>
      <c r="BA12" s="93">
        <v>2092</v>
      </c>
      <c r="BB12" s="93">
        <v>31</v>
      </c>
      <c r="BC12" s="93">
        <v>3</v>
      </c>
      <c r="BD12" s="93"/>
      <c r="BE12" s="93">
        <v>30855744524</v>
      </c>
      <c r="BF12" s="93">
        <v>61023665519</v>
      </c>
      <c r="BG12" s="93">
        <v>45960727173</v>
      </c>
      <c r="BH12" s="93"/>
      <c r="BI12" s="94">
        <v>2126</v>
      </c>
      <c r="BJ12" s="94">
        <v>137840137216</v>
      </c>
      <c r="BK12" s="93">
        <v>1</v>
      </c>
      <c r="BL12" s="93"/>
      <c r="BM12" s="93">
        <v>1800000</v>
      </c>
      <c r="BN12" s="93"/>
      <c r="BO12" s="94">
        <v>1</v>
      </c>
      <c r="BP12" s="94">
        <v>1800000</v>
      </c>
      <c r="BQ12" s="93">
        <v>55801</v>
      </c>
      <c r="BR12" s="93">
        <v>34385670249080</v>
      </c>
    </row>
    <row r="13" spans="1:70" x14ac:dyDescent="0.35">
      <c r="A13" s="91" t="s">
        <v>40</v>
      </c>
      <c r="B13" s="95" t="s">
        <v>41</v>
      </c>
      <c r="C13" s="93">
        <v>2119</v>
      </c>
      <c r="D13" s="93">
        <v>442</v>
      </c>
      <c r="E13" s="93">
        <v>91</v>
      </c>
      <c r="F13" s="93">
        <v>17</v>
      </c>
      <c r="G13" s="93">
        <v>129192593550</v>
      </c>
      <c r="H13" s="93">
        <v>941581830347</v>
      </c>
      <c r="I13" s="93">
        <v>1440466081920</v>
      </c>
      <c r="J13" s="93">
        <v>4011397362707</v>
      </c>
      <c r="K13" s="94">
        <v>2669</v>
      </c>
      <c r="L13" s="94">
        <v>6522637868524</v>
      </c>
      <c r="M13" s="93">
        <v>191</v>
      </c>
      <c r="N13" s="93">
        <v>10</v>
      </c>
      <c r="O13" s="93">
        <v>2</v>
      </c>
      <c r="P13" s="93"/>
      <c r="Q13" s="93">
        <v>4445870999</v>
      </c>
      <c r="R13" s="93">
        <v>18031787174</v>
      </c>
      <c r="S13" s="93">
        <v>26591658955</v>
      </c>
      <c r="T13" s="93"/>
      <c r="U13" s="94">
        <v>203</v>
      </c>
      <c r="V13" s="94">
        <v>49069317128</v>
      </c>
      <c r="W13" s="93">
        <v>156</v>
      </c>
      <c r="X13" s="93">
        <v>18</v>
      </c>
      <c r="Y13" s="93">
        <v>3</v>
      </c>
      <c r="Z13" s="93"/>
      <c r="AA13" s="93">
        <v>5764667849</v>
      </c>
      <c r="AB13" s="93">
        <v>43473069524</v>
      </c>
      <c r="AC13" s="93">
        <v>25933896514</v>
      </c>
      <c r="AD13" s="93"/>
      <c r="AE13" s="94">
        <v>177</v>
      </c>
      <c r="AF13" s="94">
        <v>75171633887</v>
      </c>
      <c r="AG13" s="93">
        <v>66</v>
      </c>
      <c r="AH13" s="93">
        <v>3</v>
      </c>
      <c r="AI13" s="93"/>
      <c r="AJ13" s="93"/>
      <c r="AK13" s="93">
        <v>1287545799</v>
      </c>
      <c r="AL13" s="93">
        <v>5840911229</v>
      </c>
      <c r="AM13" s="93"/>
      <c r="AN13" s="93"/>
      <c r="AO13" s="94">
        <v>69</v>
      </c>
      <c r="AP13" s="94">
        <v>7128457028</v>
      </c>
      <c r="AQ13" s="93">
        <v>413</v>
      </c>
      <c r="AR13" s="93">
        <v>46</v>
      </c>
      <c r="AS13" s="93">
        <v>10</v>
      </c>
      <c r="AT13" s="93">
        <v>2</v>
      </c>
      <c r="AU13" s="93">
        <v>14712294899</v>
      </c>
      <c r="AV13" s="93">
        <v>118043335527</v>
      </c>
      <c r="AW13" s="93">
        <v>131516607814</v>
      </c>
      <c r="AX13" s="93">
        <v>6130916386058</v>
      </c>
      <c r="AY13" s="94">
        <v>471</v>
      </c>
      <c r="AZ13" s="94">
        <v>6395188624298</v>
      </c>
      <c r="BA13" s="93">
        <v>88</v>
      </c>
      <c r="BB13" s="93">
        <v>3</v>
      </c>
      <c r="BC13" s="93"/>
      <c r="BD13" s="93"/>
      <c r="BE13" s="93">
        <v>2131485415</v>
      </c>
      <c r="BF13" s="93">
        <v>7390751340</v>
      </c>
      <c r="BG13" s="93"/>
      <c r="BH13" s="93"/>
      <c r="BI13" s="94">
        <v>91</v>
      </c>
      <c r="BJ13" s="94">
        <v>9522236755</v>
      </c>
      <c r="BK13" s="93"/>
      <c r="BL13" s="93"/>
      <c r="BM13" s="93"/>
      <c r="BN13" s="93"/>
      <c r="BO13" s="94">
        <v>0</v>
      </c>
      <c r="BP13" s="94">
        <v>0</v>
      </c>
      <c r="BQ13" s="93">
        <v>3680</v>
      </c>
      <c r="BR13" s="93">
        <v>13058718137620</v>
      </c>
    </row>
    <row r="14" spans="1:70" x14ac:dyDescent="0.35">
      <c r="A14" s="91" t="s">
        <v>42</v>
      </c>
      <c r="B14" s="95" t="s">
        <v>43</v>
      </c>
      <c r="C14" s="93">
        <v>10411</v>
      </c>
      <c r="D14" s="93">
        <v>382</v>
      </c>
      <c r="E14" s="93">
        <v>81</v>
      </c>
      <c r="F14" s="93">
        <v>10</v>
      </c>
      <c r="G14" s="93">
        <v>235092878723</v>
      </c>
      <c r="H14" s="93">
        <v>775499975122</v>
      </c>
      <c r="I14" s="93">
        <v>1215225760010</v>
      </c>
      <c r="J14" s="93">
        <v>1008934365445</v>
      </c>
      <c r="K14" s="94">
        <v>10884</v>
      </c>
      <c r="L14" s="94">
        <v>3234752979300</v>
      </c>
      <c r="M14" s="93">
        <v>2307</v>
      </c>
      <c r="N14" s="93">
        <v>4</v>
      </c>
      <c r="O14" s="93">
        <v>2</v>
      </c>
      <c r="P14" s="93"/>
      <c r="Q14" s="93">
        <v>19027707628</v>
      </c>
      <c r="R14" s="93">
        <v>7457410742</v>
      </c>
      <c r="S14" s="93">
        <v>15630640955</v>
      </c>
      <c r="T14" s="93"/>
      <c r="U14" s="94">
        <v>2313</v>
      </c>
      <c r="V14" s="94">
        <v>42115759325</v>
      </c>
      <c r="W14" s="93">
        <v>1346</v>
      </c>
      <c r="X14" s="93">
        <v>4</v>
      </c>
      <c r="Y14" s="93"/>
      <c r="Z14" s="93"/>
      <c r="AA14" s="93">
        <v>11870378801</v>
      </c>
      <c r="AB14" s="93">
        <v>8403177903</v>
      </c>
      <c r="AC14" s="93"/>
      <c r="AD14" s="93"/>
      <c r="AE14" s="94">
        <v>1350</v>
      </c>
      <c r="AF14" s="94">
        <v>20273556704</v>
      </c>
      <c r="AG14" s="93">
        <v>463</v>
      </c>
      <c r="AH14" s="93">
        <v>2</v>
      </c>
      <c r="AI14" s="93"/>
      <c r="AJ14" s="93"/>
      <c r="AK14" s="93">
        <v>3705257931</v>
      </c>
      <c r="AL14" s="93">
        <v>4231798530</v>
      </c>
      <c r="AM14" s="93"/>
      <c r="AN14" s="93"/>
      <c r="AO14" s="94">
        <v>465</v>
      </c>
      <c r="AP14" s="94">
        <v>7937056461</v>
      </c>
      <c r="AQ14" s="93">
        <v>2255</v>
      </c>
      <c r="AR14" s="93">
        <v>8</v>
      </c>
      <c r="AS14" s="93"/>
      <c r="AT14" s="93"/>
      <c r="AU14" s="93">
        <v>23423519108</v>
      </c>
      <c r="AV14" s="93">
        <v>13726612923</v>
      </c>
      <c r="AW14" s="93"/>
      <c r="AX14" s="93"/>
      <c r="AY14" s="94">
        <v>2263</v>
      </c>
      <c r="AZ14" s="94">
        <v>37150132031</v>
      </c>
      <c r="BA14" s="93">
        <v>1201</v>
      </c>
      <c r="BB14" s="93">
        <v>10</v>
      </c>
      <c r="BC14" s="93"/>
      <c r="BD14" s="93"/>
      <c r="BE14" s="93">
        <v>13400042097</v>
      </c>
      <c r="BF14" s="93">
        <v>14715776383</v>
      </c>
      <c r="BG14" s="93"/>
      <c r="BH14" s="93"/>
      <c r="BI14" s="94">
        <v>1211</v>
      </c>
      <c r="BJ14" s="94">
        <v>28115818480</v>
      </c>
      <c r="BK14" s="93"/>
      <c r="BL14" s="93"/>
      <c r="BM14" s="93"/>
      <c r="BN14" s="93"/>
      <c r="BO14" s="94">
        <v>0</v>
      </c>
      <c r="BP14" s="94">
        <v>0</v>
      </c>
      <c r="BQ14" s="93">
        <v>18486</v>
      </c>
      <c r="BR14" s="93">
        <v>3370345302301</v>
      </c>
    </row>
    <row r="15" spans="1:70" x14ac:dyDescent="0.35">
      <c r="A15" s="91" t="s">
        <v>44</v>
      </c>
      <c r="B15" s="95" t="s">
        <v>45</v>
      </c>
      <c r="C15" s="93">
        <v>3357</v>
      </c>
      <c r="D15" s="93">
        <v>545</v>
      </c>
      <c r="E15" s="93">
        <v>86</v>
      </c>
      <c r="F15" s="93">
        <v>27</v>
      </c>
      <c r="G15" s="93">
        <v>248941326336</v>
      </c>
      <c r="H15" s="93">
        <v>1113890037989</v>
      </c>
      <c r="I15" s="93">
        <v>1190866149384</v>
      </c>
      <c r="J15" s="93">
        <v>8035025893330</v>
      </c>
      <c r="K15" s="94">
        <v>4015</v>
      </c>
      <c r="L15" s="94">
        <v>10588723407039</v>
      </c>
      <c r="M15" s="93">
        <v>89</v>
      </c>
      <c r="N15" s="93">
        <v>2</v>
      </c>
      <c r="O15" s="93"/>
      <c r="P15" s="93"/>
      <c r="Q15" s="93">
        <v>2138122325</v>
      </c>
      <c r="R15" s="93">
        <v>5876695000</v>
      </c>
      <c r="S15" s="93"/>
      <c r="T15" s="93"/>
      <c r="U15" s="94">
        <v>91</v>
      </c>
      <c r="V15" s="94">
        <v>8014817325</v>
      </c>
      <c r="W15" s="93">
        <v>68</v>
      </c>
      <c r="X15" s="93">
        <v>4</v>
      </c>
      <c r="Y15" s="93"/>
      <c r="Z15" s="93"/>
      <c r="AA15" s="93">
        <v>3678129355</v>
      </c>
      <c r="AB15" s="93">
        <v>7780719493</v>
      </c>
      <c r="AC15" s="93"/>
      <c r="AD15" s="93"/>
      <c r="AE15" s="94">
        <v>72</v>
      </c>
      <c r="AF15" s="94">
        <v>11458848848</v>
      </c>
      <c r="AG15" s="93">
        <v>43</v>
      </c>
      <c r="AH15" s="93">
        <v>1</v>
      </c>
      <c r="AI15" s="93"/>
      <c r="AJ15" s="93"/>
      <c r="AK15" s="93">
        <v>1190320538</v>
      </c>
      <c r="AL15" s="93">
        <v>853258093</v>
      </c>
      <c r="AM15" s="93"/>
      <c r="AN15" s="93"/>
      <c r="AO15" s="94">
        <v>44</v>
      </c>
      <c r="AP15" s="94">
        <v>2043578631</v>
      </c>
      <c r="AQ15" s="93">
        <v>265</v>
      </c>
      <c r="AR15" s="93">
        <v>7</v>
      </c>
      <c r="AS15" s="93"/>
      <c r="AT15" s="93"/>
      <c r="AU15" s="93">
        <v>8210600550</v>
      </c>
      <c r="AV15" s="93">
        <v>10062246156</v>
      </c>
      <c r="AW15" s="93"/>
      <c r="AX15" s="93"/>
      <c r="AY15" s="94">
        <v>272</v>
      </c>
      <c r="AZ15" s="94">
        <v>18272846706</v>
      </c>
      <c r="BA15" s="93">
        <v>40</v>
      </c>
      <c r="BB15" s="93">
        <v>3</v>
      </c>
      <c r="BC15" s="93"/>
      <c r="BD15" s="93"/>
      <c r="BE15" s="93">
        <v>1257886989</v>
      </c>
      <c r="BF15" s="93">
        <v>7409846348</v>
      </c>
      <c r="BG15" s="93"/>
      <c r="BH15" s="93"/>
      <c r="BI15" s="94">
        <v>43</v>
      </c>
      <c r="BJ15" s="94">
        <v>8667733337</v>
      </c>
      <c r="BK15" s="93"/>
      <c r="BL15" s="93"/>
      <c r="BM15" s="93"/>
      <c r="BN15" s="93"/>
      <c r="BO15" s="94">
        <v>0</v>
      </c>
      <c r="BP15" s="94">
        <v>0</v>
      </c>
      <c r="BQ15" s="93">
        <v>4537</v>
      </c>
      <c r="BR15" s="93">
        <v>10637181231886</v>
      </c>
    </row>
    <row r="16" spans="1:70" x14ac:dyDescent="0.35">
      <c r="A16" s="91" t="s">
        <v>46</v>
      </c>
      <c r="B16" s="95" t="s">
        <v>47</v>
      </c>
      <c r="C16" s="93">
        <v>1435</v>
      </c>
      <c r="D16" s="93">
        <v>365</v>
      </c>
      <c r="E16" s="93">
        <v>198</v>
      </c>
      <c r="F16" s="93">
        <v>98</v>
      </c>
      <c r="G16" s="93">
        <v>111029063854</v>
      </c>
      <c r="H16" s="93">
        <v>830204901413</v>
      </c>
      <c r="I16" s="93">
        <v>3497763991603</v>
      </c>
      <c r="J16" s="93">
        <v>404304456508746</v>
      </c>
      <c r="K16" s="94">
        <v>2096</v>
      </c>
      <c r="L16" s="94">
        <v>408743454465616</v>
      </c>
      <c r="M16" s="93">
        <v>13</v>
      </c>
      <c r="N16" s="93">
        <v>5</v>
      </c>
      <c r="O16" s="93">
        <v>4</v>
      </c>
      <c r="P16" s="93"/>
      <c r="Q16" s="93">
        <v>285620000</v>
      </c>
      <c r="R16" s="93">
        <v>11623535758</v>
      </c>
      <c r="S16" s="93">
        <v>57193398814</v>
      </c>
      <c r="T16" s="93"/>
      <c r="U16" s="94">
        <v>22</v>
      </c>
      <c r="V16" s="94">
        <v>69102554572</v>
      </c>
      <c r="W16" s="93">
        <v>9</v>
      </c>
      <c r="X16" s="93"/>
      <c r="Y16" s="93"/>
      <c r="Z16" s="93"/>
      <c r="AA16" s="93">
        <v>56800000</v>
      </c>
      <c r="AB16" s="93"/>
      <c r="AC16" s="93"/>
      <c r="AD16" s="93"/>
      <c r="AE16" s="94">
        <v>9</v>
      </c>
      <c r="AF16" s="94">
        <v>56800000</v>
      </c>
      <c r="AG16" s="93">
        <v>9</v>
      </c>
      <c r="AH16" s="93"/>
      <c r="AI16" s="93"/>
      <c r="AJ16" s="93"/>
      <c r="AK16" s="93">
        <v>102900000</v>
      </c>
      <c r="AL16" s="93"/>
      <c r="AM16" s="93"/>
      <c r="AN16" s="93"/>
      <c r="AO16" s="94">
        <v>9</v>
      </c>
      <c r="AP16" s="94">
        <v>102900000</v>
      </c>
      <c r="AQ16" s="93">
        <v>59</v>
      </c>
      <c r="AR16" s="93">
        <v>5</v>
      </c>
      <c r="AS16" s="93">
        <v>1</v>
      </c>
      <c r="AT16" s="93"/>
      <c r="AU16" s="93">
        <v>1193585851</v>
      </c>
      <c r="AV16" s="93">
        <v>17834525119</v>
      </c>
      <c r="AW16" s="93">
        <v>15553601181</v>
      </c>
      <c r="AX16" s="93"/>
      <c r="AY16" s="94">
        <v>65</v>
      </c>
      <c r="AZ16" s="94">
        <v>34581712151</v>
      </c>
      <c r="BA16" s="93">
        <v>4</v>
      </c>
      <c r="BB16" s="93">
        <v>2</v>
      </c>
      <c r="BC16" s="93"/>
      <c r="BD16" s="93"/>
      <c r="BE16" s="93">
        <v>25500000</v>
      </c>
      <c r="BF16" s="93">
        <v>5037762172</v>
      </c>
      <c r="BG16" s="93"/>
      <c r="BH16" s="93"/>
      <c r="BI16" s="94">
        <v>6</v>
      </c>
      <c r="BJ16" s="94">
        <v>5063262172</v>
      </c>
      <c r="BK16" s="93"/>
      <c r="BL16" s="93"/>
      <c r="BM16" s="93"/>
      <c r="BN16" s="93"/>
      <c r="BO16" s="94">
        <v>0</v>
      </c>
      <c r="BP16" s="94">
        <v>0</v>
      </c>
      <c r="BQ16" s="93">
        <v>2207</v>
      </c>
      <c r="BR16" s="93">
        <v>408852361694511</v>
      </c>
    </row>
    <row r="17" spans="1:70" x14ac:dyDescent="0.35">
      <c r="A17" s="91" t="s">
        <v>48</v>
      </c>
      <c r="B17" s="95" t="s">
        <v>49</v>
      </c>
      <c r="C17" s="93">
        <v>5565</v>
      </c>
      <c r="D17" s="93">
        <v>2531</v>
      </c>
      <c r="E17" s="93">
        <v>844</v>
      </c>
      <c r="F17" s="93">
        <v>134</v>
      </c>
      <c r="G17" s="93">
        <v>488071760403</v>
      </c>
      <c r="H17" s="93">
        <v>6195126460525</v>
      </c>
      <c r="I17" s="93">
        <v>12843709790533</v>
      </c>
      <c r="J17" s="93">
        <v>46012062150283</v>
      </c>
      <c r="K17" s="94">
        <v>9074</v>
      </c>
      <c r="L17" s="94">
        <v>65538970161744</v>
      </c>
      <c r="M17" s="93">
        <v>67</v>
      </c>
      <c r="N17" s="93">
        <v>17</v>
      </c>
      <c r="O17" s="93">
        <v>4</v>
      </c>
      <c r="P17" s="93">
        <v>1</v>
      </c>
      <c r="Q17" s="93">
        <v>5167199242</v>
      </c>
      <c r="R17" s="93">
        <v>32855123518</v>
      </c>
      <c r="S17" s="93">
        <v>52884815659</v>
      </c>
      <c r="T17" s="93">
        <v>146038096769</v>
      </c>
      <c r="U17" s="94">
        <v>89</v>
      </c>
      <c r="V17" s="94">
        <v>236945235188</v>
      </c>
      <c r="W17" s="93">
        <v>55</v>
      </c>
      <c r="X17" s="93">
        <v>8</v>
      </c>
      <c r="Y17" s="93">
        <v>2</v>
      </c>
      <c r="Z17" s="93"/>
      <c r="AA17" s="93">
        <v>3720319209</v>
      </c>
      <c r="AB17" s="93">
        <v>18407210718</v>
      </c>
      <c r="AC17" s="93">
        <v>18778533253</v>
      </c>
      <c r="AD17" s="93"/>
      <c r="AE17" s="94">
        <v>65</v>
      </c>
      <c r="AF17" s="94">
        <v>40906063180</v>
      </c>
      <c r="AG17" s="93">
        <v>23</v>
      </c>
      <c r="AH17" s="93">
        <v>1</v>
      </c>
      <c r="AI17" s="93"/>
      <c r="AJ17" s="93"/>
      <c r="AK17" s="93">
        <v>475879938</v>
      </c>
      <c r="AL17" s="93">
        <v>835279743</v>
      </c>
      <c r="AM17" s="93"/>
      <c r="AN17" s="93"/>
      <c r="AO17" s="94">
        <v>24</v>
      </c>
      <c r="AP17" s="94">
        <v>1311159681</v>
      </c>
      <c r="AQ17" s="93">
        <v>255</v>
      </c>
      <c r="AR17" s="93">
        <v>24</v>
      </c>
      <c r="AS17" s="93">
        <v>5</v>
      </c>
      <c r="AT17" s="93">
        <v>2</v>
      </c>
      <c r="AU17" s="93">
        <v>14014464465</v>
      </c>
      <c r="AV17" s="93">
        <v>48346792379</v>
      </c>
      <c r="AW17" s="93">
        <v>97635648192</v>
      </c>
      <c r="AX17" s="93">
        <v>396105744917</v>
      </c>
      <c r="AY17" s="94">
        <v>286</v>
      </c>
      <c r="AZ17" s="94">
        <v>556102649953</v>
      </c>
      <c r="BA17" s="93">
        <v>52</v>
      </c>
      <c r="BB17" s="93">
        <v>7</v>
      </c>
      <c r="BC17" s="93">
        <v>2</v>
      </c>
      <c r="BD17" s="93"/>
      <c r="BE17" s="93">
        <v>2167863502</v>
      </c>
      <c r="BF17" s="93">
        <v>14084574479</v>
      </c>
      <c r="BG17" s="93">
        <v>46206130387</v>
      </c>
      <c r="BH17" s="93"/>
      <c r="BI17" s="94">
        <v>61</v>
      </c>
      <c r="BJ17" s="94">
        <v>62458568368</v>
      </c>
      <c r="BK17" s="93"/>
      <c r="BL17" s="93">
        <v>1</v>
      </c>
      <c r="BM17" s="93"/>
      <c r="BN17" s="93">
        <v>3720235867</v>
      </c>
      <c r="BO17" s="94">
        <v>1</v>
      </c>
      <c r="BP17" s="94">
        <v>3720235867</v>
      </c>
      <c r="BQ17" s="93">
        <v>9600</v>
      </c>
      <c r="BR17" s="93">
        <v>66440414073981</v>
      </c>
    </row>
    <row r="18" spans="1:70" x14ac:dyDescent="0.35">
      <c r="A18" s="91" t="s">
        <v>50</v>
      </c>
      <c r="B18" s="95" t="s">
        <v>51</v>
      </c>
      <c r="C18" s="93">
        <v>9770</v>
      </c>
      <c r="D18" s="93">
        <v>1810</v>
      </c>
      <c r="E18" s="93">
        <v>429</v>
      </c>
      <c r="F18" s="93">
        <v>121</v>
      </c>
      <c r="G18" s="93">
        <v>759988811483</v>
      </c>
      <c r="H18" s="93">
        <v>3969645957951</v>
      </c>
      <c r="I18" s="93">
        <v>6632840846140</v>
      </c>
      <c r="J18" s="93">
        <v>31213347260706</v>
      </c>
      <c r="K18" s="94">
        <v>12130</v>
      </c>
      <c r="L18" s="94">
        <v>42575822876280</v>
      </c>
      <c r="M18" s="93">
        <v>133</v>
      </c>
      <c r="N18" s="93">
        <v>7</v>
      </c>
      <c r="O18" s="93">
        <v>1</v>
      </c>
      <c r="P18" s="93"/>
      <c r="Q18" s="93">
        <v>2892517056</v>
      </c>
      <c r="R18" s="93">
        <v>15686140164</v>
      </c>
      <c r="S18" s="93">
        <v>22319555000</v>
      </c>
      <c r="T18" s="93"/>
      <c r="U18" s="94">
        <v>141</v>
      </c>
      <c r="V18" s="94">
        <v>40898212220</v>
      </c>
      <c r="W18" s="93">
        <v>108</v>
      </c>
      <c r="X18" s="93">
        <v>10</v>
      </c>
      <c r="Y18" s="93"/>
      <c r="Z18" s="93"/>
      <c r="AA18" s="93">
        <v>3429521686</v>
      </c>
      <c r="AB18" s="93">
        <v>15119585608</v>
      </c>
      <c r="AC18" s="93"/>
      <c r="AD18" s="93"/>
      <c r="AE18" s="94">
        <v>118</v>
      </c>
      <c r="AF18" s="94">
        <v>18549107294</v>
      </c>
      <c r="AG18" s="93">
        <v>98</v>
      </c>
      <c r="AH18" s="93">
        <v>4</v>
      </c>
      <c r="AI18" s="93"/>
      <c r="AJ18" s="93"/>
      <c r="AK18" s="93">
        <v>3712679737</v>
      </c>
      <c r="AL18" s="93">
        <v>7252768360</v>
      </c>
      <c r="AM18" s="93"/>
      <c r="AN18" s="93"/>
      <c r="AO18" s="94">
        <v>102</v>
      </c>
      <c r="AP18" s="94">
        <v>10965448097</v>
      </c>
      <c r="AQ18" s="93">
        <v>594</v>
      </c>
      <c r="AR18" s="93">
        <v>18</v>
      </c>
      <c r="AS18" s="93">
        <v>1</v>
      </c>
      <c r="AT18" s="93"/>
      <c r="AU18" s="93">
        <v>19079318394</v>
      </c>
      <c r="AV18" s="93">
        <v>30809752302</v>
      </c>
      <c r="AW18" s="93">
        <v>7191000000</v>
      </c>
      <c r="AX18" s="93"/>
      <c r="AY18" s="94">
        <v>613</v>
      </c>
      <c r="AZ18" s="94">
        <v>57080070696</v>
      </c>
      <c r="BA18" s="93">
        <v>84</v>
      </c>
      <c r="BB18" s="93">
        <v>7</v>
      </c>
      <c r="BC18" s="93">
        <v>1</v>
      </c>
      <c r="BD18" s="93"/>
      <c r="BE18" s="93">
        <v>2770177100</v>
      </c>
      <c r="BF18" s="93">
        <v>14086454053</v>
      </c>
      <c r="BG18" s="93">
        <v>6765493000</v>
      </c>
      <c r="BH18" s="93"/>
      <c r="BI18" s="94">
        <v>92</v>
      </c>
      <c r="BJ18" s="94">
        <v>23622124153</v>
      </c>
      <c r="BK18" s="93"/>
      <c r="BL18" s="93"/>
      <c r="BM18" s="93"/>
      <c r="BN18" s="93"/>
      <c r="BO18" s="94">
        <v>0</v>
      </c>
      <c r="BP18" s="94">
        <v>0</v>
      </c>
      <c r="BQ18" s="93">
        <v>13196</v>
      </c>
      <c r="BR18" s="93">
        <v>42726937838740</v>
      </c>
    </row>
    <row r="19" spans="1:70" x14ac:dyDescent="0.35">
      <c r="A19" s="91" t="s">
        <v>52</v>
      </c>
      <c r="B19" s="95" t="s">
        <v>53</v>
      </c>
      <c r="C19" s="93">
        <v>4694</v>
      </c>
      <c r="D19" s="93">
        <v>611</v>
      </c>
      <c r="E19" s="93">
        <v>158</v>
      </c>
      <c r="F19" s="93">
        <v>36</v>
      </c>
      <c r="G19" s="93">
        <v>229300814562</v>
      </c>
      <c r="H19" s="93">
        <v>1392096155599</v>
      </c>
      <c r="I19" s="93">
        <v>2357257768073</v>
      </c>
      <c r="J19" s="93">
        <v>8207602718058</v>
      </c>
      <c r="K19" s="94">
        <v>5499</v>
      </c>
      <c r="L19" s="94">
        <v>12186257456292</v>
      </c>
      <c r="M19" s="93">
        <v>239</v>
      </c>
      <c r="N19" s="93">
        <v>2</v>
      </c>
      <c r="O19" s="93">
        <v>1</v>
      </c>
      <c r="P19" s="93"/>
      <c r="Q19" s="93">
        <v>3133942343</v>
      </c>
      <c r="R19" s="93">
        <v>3909251332</v>
      </c>
      <c r="S19" s="93">
        <v>8283215000</v>
      </c>
      <c r="T19" s="93"/>
      <c r="U19" s="94">
        <v>242</v>
      </c>
      <c r="V19" s="94">
        <v>15326408675</v>
      </c>
      <c r="W19" s="93">
        <v>105</v>
      </c>
      <c r="X19" s="93">
        <v>2</v>
      </c>
      <c r="Y19" s="93"/>
      <c r="Z19" s="93"/>
      <c r="AA19" s="93">
        <v>920851296</v>
      </c>
      <c r="AB19" s="93">
        <v>2359133277</v>
      </c>
      <c r="AC19" s="93"/>
      <c r="AD19" s="93"/>
      <c r="AE19" s="94">
        <v>107</v>
      </c>
      <c r="AF19" s="94">
        <v>3279984573</v>
      </c>
      <c r="AG19" s="93">
        <v>89</v>
      </c>
      <c r="AH19" s="93">
        <v>5</v>
      </c>
      <c r="AI19" s="93"/>
      <c r="AJ19" s="93"/>
      <c r="AK19" s="93">
        <v>4277017333</v>
      </c>
      <c r="AL19" s="93">
        <v>11901086039</v>
      </c>
      <c r="AM19" s="93"/>
      <c r="AN19" s="93"/>
      <c r="AO19" s="94">
        <v>94</v>
      </c>
      <c r="AP19" s="94">
        <v>16178103372</v>
      </c>
      <c r="AQ19" s="93">
        <v>621</v>
      </c>
      <c r="AR19" s="93">
        <v>13</v>
      </c>
      <c r="AS19" s="93">
        <v>5</v>
      </c>
      <c r="AT19" s="93">
        <v>2</v>
      </c>
      <c r="AU19" s="93">
        <v>11168661234</v>
      </c>
      <c r="AV19" s="93">
        <v>25266750474</v>
      </c>
      <c r="AW19" s="93">
        <v>96901533402</v>
      </c>
      <c r="AX19" s="93">
        <v>159087644152</v>
      </c>
      <c r="AY19" s="94">
        <v>641</v>
      </c>
      <c r="AZ19" s="94">
        <v>292424589262</v>
      </c>
      <c r="BA19" s="93">
        <v>84</v>
      </c>
      <c r="BB19" s="93">
        <v>5</v>
      </c>
      <c r="BC19" s="93"/>
      <c r="BD19" s="93"/>
      <c r="BE19" s="93">
        <v>2403450543</v>
      </c>
      <c r="BF19" s="93">
        <v>8802138676</v>
      </c>
      <c r="BG19" s="93"/>
      <c r="BH19" s="93"/>
      <c r="BI19" s="94">
        <v>89</v>
      </c>
      <c r="BJ19" s="94">
        <v>11205589219</v>
      </c>
      <c r="BK19" s="93"/>
      <c r="BL19" s="93"/>
      <c r="BM19" s="93"/>
      <c r="BN19" s="93"/>
      <c r="BO19" s="94">
        <v>0</v>
      </c>
      <c r="BP19" s="94">
        <v>0</v>
      </c>
      <c r="BQ19" s="93">
        <v>6672</v>
      </c>
      <c r="BR19" s="93">
        <v>12524672131393</v>
      </c>
    </row>
    <row r="20" spans="1:70" x14ac:dyDescent="0.35">
      <c r="A20" s="91" t="s">
        <v>54</v>
      </c>
      <c r="B20" s="95" t="s">
        <v>55</v>
      </c>
      <c r="C20" s="93">
        <v>23</v>
      </c>
      <c r="D20" s="93">
        <v>3</v>
      </c>
      <c r="E20" s="93"/>
      <c r="F20" s="93">
        <v>1</v>
      </c>
      <c r="G20" s="93">
        <v>747811888</v>
      </c>
      <c r="H20" s="93">
        <v>8012411823</v>
      </c>
      <c r="I20" s="93"/>
      <c r="J20" s="93">
        <v>183028642088</v>
      </c>
      <c r="K20" s="94">
        <v>27</v>
      </c>
      <c r="L20" s="94">
        <v>191788865799</v>
      </c>
      <c r="M20" s="93"/>
      <c r="N20" s="93">
        <v>1</v>
      </c>
      <c r="O20" s="93"/>
      <c r="P20" s="93"/>
      <c r="Q20" s="93"/>
      <c r="R20" s="93">
        <v>787578034</v>
      </c>
      <c r="S20" s="93"/>
      <c r="T20" s="93"/>
      <c r="U20" s="94">
        <v>1</v>
      </c>
      <c r="V20" s="94">
        <v>787578034</v>
      </c>
      <c r="W20" s="93"/>
      <c r="X20" s="93"/>
      <c r="Y20" s="93"/>
      <c r="Z20" s="93"/>
      <c r="AA20" s="93"/>
      <c r="AB20" s="93"/>
      <c r="AC20" s="93"/>
      <c r="AD20" s="93"/>
      <c r="AE20" s="94">
        <v>0</v>
      </c>
      <c r="AF20" s="94">
        <v>0</v>
      </c>
      <c r="AG20" s="93"/>
      <c r="AH20" s="93"/>
      <c r="AI20" s="93"/>
      <c r="AJ20" s="93"/>
      <c r="AK20" s="93"/>
      <c r="AL20" s="93"/>
      <c r="AM20" s="93"/>
      <c r="AN20" s="93"/>
      <c r="AO20" s="94">
        <v>0</v>
      </c>
      <c r="AP20" s="94">
        <v>0</v>
      </c>
      <c r="AQ20" s="93">
        <v>2</v>
      </c>
      <c r="AR20" s="93"/>
      <c r="AS20" s="93"/>
      <c r="AT20" s="93"/>
      <c r="AU20" s="93">
        <v>7203444</v>
      </c>
      <c r="AV20" s="93"/>
      <c r="AW20" s="93"/>
      <c r="AX20" s="93"/>
      <c r="AY20" s="94">
        <v>2</v>
      </c>
      <c r="AZ20" s="94">
        <v>7203444</v>
      </c>
      <c r="BA20" s="93"/>
      <c r="BB20" s="93"/>
      <c r="BC20" s="93"/>
      <c r="BD20" s="93"/>
      <c r="BE20" s="93"/>
      <c r="BF20" s="93"/>
      <c r="BG20" s="93"/>
      <c r="BH20" s="93"/>
      <c r="BI20" s="94">
        <v>0</v>
      </c>
      <c r="BJ20" s="94">
        <v>0</v>
      </c>
      <c r="BK20" s="93"/>
      <c r="BL20" s="93"/>
      <c r="BM20" s="93"/>
      <c r="BN20" s="93"/>
      <c r="BO20" s="94">
        <v>0</v>
      </c>
      <c r="BP20" s="94">
        <v>0</v>
      </c>
      <c r="BQ20" s="93">
        <v>30</v>
      </c>
      <c r="BR20" s="93">
        <v>192583647277</v>
      </c>
    </row>
    <row r="21" spans="1:70" x14ac:dyDescent="0.35">
      <c r="A21" s="91" t="s">
        <v>56</v>
      </c>
      <c r="B21" s="95" t="s">
        <v>57</v>
      </c>
      <c r="C21" s="93">
        <v>991</v>
      </c>
      <c r="D21" s="93">
        <v>77</v>
      </c>
      <c r="E21" s="93">
        <v>10</v>
      </c>
      <c r="F21" s="93">
        <v>2</v>
      </c>
      <c r="G21" s="93">
        <v>55647421176</v>
      </c>
      <c r="H21" s="93">
        <v>138787707371</v>
      </c>
      <c r="I21" s="93">
        <v>162714326915</v>
      </c>
      <c r="J21" s="93">
        <v>102125555416</v>
      </c>
      <c r="K21" s="94">
        <v>1080</v>
      </c>
      <c r="L21" s="94">
        <v>459275010878</v>
      </c>
      <c r="M21" s="93">
        <v>30</v>
      </c>
      <c r="N21" s="93"/>
      <c r="O21" s="93"/>
      <c r="P21" s="93"/>
      <c r="Q21" s="93">
        <v>1194114100</v>
      </c>
      <c r="R21" s="93"/>
      <c r="S21" s="93"/>
      <c r="T21" s="93"/>
      <c r="U21" s="94">
        <v>30</v>
      </c>
      <c r="V21" s="94">
        <v>1194114100</v>
      </c>
      <c r="W21" s="93">
        <v>21</v>
      </c>
      <c r="X21" s="93"/>
      <c r="Y21" s="93"/>
      <c r="Z21" s="93"/>
      <c r="AA21" s="93">
        <v>807514858</v>
      </c>
      <c r="AB21" s="93"/>
      <c r="AC21" s="93"/>
      <c r="AD21" s="93"/>
      <c r="AE21" s="94">
        <v>21</v>
      </c>
      <c r="AF21" s="94">
        <v>807514858</v>
      </c>
      <c r="AG21" s="93">
        <v>27</v>
      </c>
      <c r="AH21" s="93"/>
      <c r="AI21" s="93"/>
      <c r="AJ21" s="93"/>
      <c r="AK21" s="93">
        <v>715315258</v>
      </c>
      <c r="AL21" s="93"/>
      <c r="AM21" s="93"/>
      <c r="AN21" s="93"/>
      <c r="AO21" s="94">
        <v>27</v>
      </c>
      <c r="AP21" s="94">
        <v>715315258</v>
      </c>
      <c r="AQ21" s="93">
        <v>153</v>
      </c>
      <c r="AR21" s="93">
        <v>6</v>
      </c>
      <c r="AS21" s="93">
        <v>1</v>
      </c>
      <c r="AT21" s="93"/>
      <c r="AU21" s="93">
        <v>4727762674</v>
      </c>
      <c r="AV21" s="93">
        <v>6187285001</v>
      </c>
      <c r="AW21" s="93">
        <v>7142978949</v>
      </c>
      <c r="AX21" s="93"/>
      <c r="AY21" s="94">
        <v>160</v>
      </c>
      <c r="AZ21" s="94">
        <v>18058026624</v>
      </c>
      <c r="BA21" s="93">
        <v>15</v>
      </c>
      <c r="BB21" s="93"/>
      <c r="BC21" s="93"/>
      <c r="BD21" s="93"/>
      <c r="BE21" s="93">
        <v>145106000</v>
      </c>
      <c r="BF21" s="93"/>
      <c r="BG21" s="93"/>
      <c r="BH21" s="93"/>
      <c r="BI21" s="94">
        <v>15</v>
      </c>
      <c r="BJ21" s="94">
        <v>145106000</v>
      </c>
      <c r="BK21" s="93"/>
      <c r="BL21" s="93"/>
      <c r="BM21" s="93"/>
      <c r="BN21" s="93"/>
      <c r="BO21" s="94">
        <v>0</v>
      </c>
      <c r="BP21" s="94">
        <v>0</v>
      </c>
      <c r="BQ21" s="93">
        <v>1333</v>
      </c>
      <c r="BR21" s="93">
        <v>480195087718</v>
      </c>
    </row>
    <row r="22" spans="1:70" x14ac:dyDescent="0.35">
      <c r="A22" s="91" t="s">
        <v>58</v>
      </c>
      <c r="B22" s="95" t="s">
        <v>59</v>
      </c>
      <c r="C22" s="93">
        <v>1980</v>
      </c>
      <c r="D22" s="93">
        <v>387</v>
      </c>
      <c r="E22" s="93">
        <v>69</v>
      </c>
      <c r="F22" s="93">
        <v>25</v>
      </c>
      <c r="G22" s="93">
        <v>171036781823</v>
      </c>
      <c r="H22" s="93">
        <v>773907321034</v>
      </c>
      <c r="I22" s="93">
        <v>1036891661155</v>
      </c>
      <c r="J22" s="93">
        <v>4602038351274</v>
      </c>
      <c r="K22" s="94">
        <v>2461</v>
      </c>
      <c r="L22" s="94">
        <v>6583874115286</v>
      </c>
      <c r="M22" s="93">
        <v>48</v>
      </c>
      <c r="N22" s="93"/>
      <c r="O22" s="93"/>
      <c r="P22" s="93"/>
      <c r="Q22" s="93">
        <v>983897143</v>
      </c>
      <c r="R22" s="93"/>
      <c r="S22" s="93"/>
      <c r="T22" s="93"/>
      <c r="U22" s="94">
        <v>48</v>
      </c>
      <c r="V22" s="94">
        <v>983897143</v>
      </c>
      <c r="W22" s="93">
        <v>34</v>
      </c>
      <c r="X22" s="93"/>
      <c r="Y22" s="93"/>
      <c r="Z22" s="93"/>
      <c r="AA22" s="93">
        <v>922065253</v>
      </c>
      <c r="AB22" s="93"/>
      <c r="AC22" s="93"/>
      <c r="AD22" s="93"/>
      <c r="AE22" s="94">
        <v>34</v>
      </c>
      <c r="AF22" s="94">
        <v>922065253</v>
      </c>
      <c r="AG22" s="93">
        <v>33</v>
      </c>
      <c r="AH22" s="93">
        <v>4</v>
      </c>
      <c r="AI22" s="93">
        <v>1</v>
      </c>
      <c r="AJ22" s="93"/>
      <c r="AK22" s="93">
        <v>2102094266</v>
      </c>
      <c r="AL22" s="93">
        <v>10173948397</v>
      </c>
      <c r="AM22" s="93">
        <v>32723054390</v>
      </c>
      <c r="AN22" s="93"/>
      <c r="AO22" s="94">
        <v>38</v>
      </c>
      <c r="AP22" s="94">
        <v>44999097053</v>
      </c>
      <c r="AQ22" s="93">
        <v>199</v>
      </c>
      <c r="AR22" s="93">
        <v>12</v>
      </c>
      <c r="AS22" s="93"/>
      <c r="AT22" s="93">
        <v>1</v>
      </c>
      <c r="AU22" s="93">
        <v>6522271358</v>
      </c>
      <c r="AV22" s="93">
        <v>18366423543</v>
      </c>
      <c r="AW22" s="93"/>
      <c r="AX22" s="93">
        <v>42494045521</v>
      </c>
      <c r="AY22" s="94">
        <v>212</v>
      </c>
      <c r="AZ22" s="94">
        <v>67382740422</v>
      </c>
      <c r="BA22" s="93">
        <v>20</v>
      </c>
      <c r="BB22" s="93"/>
      <c r="BC22" s="93"/>
      <c r="BD22" s="93"/>
      <c r="BE22" s="93">
        <v>410101563</v>
      </c>
      <c r="BF22" s="93"/>
      <c r="BG22" s="93"/>
      <c r="BH22" s="93"/>
      <c r="BI22" s="94">
        <v>20</v>
      </c>
      <c r="BJ22" s="94">
        <v>410101563</v>
      </c>
      <c r="BK22" s="93"/>
      <c r="BL22" s="93"/>
      <c r="BM22" s="93"/>
      <c r="BN22" s="93"/>
      <c r="BO22" s="94">
        <v>0</v>
      </c>
      <c r="BP22" s="94">
        <v>0</v>
      </c>
      <c r="BQ22" s="93">
        <v>2813</v>
      </c>
      <c r="BR22" s="93">
        <v>6698572016720</v>
      </c>
    </row>
    <row r="23" spans="1:70" x14ac:dyDescent="0.35">
      <c r="A23" s="91" t="s">
        <v>60</v>
      </c>
      <c r="B23" s="95" t="s">
        <v>61</v>
      </c>
      <c r="C23" s="93">
        <v>1711</v>
      </c>
      <c r="D23" s="93">
        <v>139</v>
      </c>
      <c r="E23" s="93">
        <v>27</v>
      </c>
      <c r="F23" s="93">
        <v>8</v>
      </c>
      <c r="G23" s="93">
        <v>70090156362</v>
      </c>
      <c r="H23" s="93">
        <v>302716720340</v>
      </c>
      <c r="I23" s="93">
        <v>386711190026</v>
      </c>
      <c r="J23" s="93">
        <v>1601859560923</v>
      </c>
      <c r="K23" s="94">
        <v>1885</v>
      </c>
      <c r="L23" s="94">
        <v>2361377627651</v>
      </c>
      <c r="M23" s="93">
        <v>148</v>
      </c>
      <c r="N23" s="93"/>
      <c r="O23" s="93"/>
      <c r="P23" s="93"/>
      <c r="Q23" s="93">
        <v>1512126979</v>
      </c>
      <c r="R23" s="93"/>
      <c r="S23" s="93"/>
      <c r="T23" s="93"/>
      <c r="U23" s="94">
        <v>148</v>
      </c>
      <c r="V23" s="94">
        <v>1512126979</v>
      </c>
      <c r="W23" s="93">
        <v>102</v>
      </c>
      <c r="X23" s="93"/>
      <c r="Y23" s="93"/>
      <c r="Z23" s="93"/>
      <c r="AA23" s="93">
        <v>1523047597</v>
      </c>
      <c r="AB23" s="93"/>
      <c r="AC23" s="93"/>
      <c r="AD23" s="93"/>
      <c r="AE23" s="94">
        <v>102</v>
      </c>
      <c r="AF23" s="94">
        <v>1523047597</v>
      </c>
      <c r="AG23" s="93">
        <v>49</v>
      </c>
      <c r="AH23" s="93"/>
      <c r="AI23" s="93"/>
      <c r="AJ23" s="93"/>
      <c r="AK23" s="93">
        <v>1248358867</v>
      </c>
      <c r="AL23" s="93"/>
      <c r="AM23" s="93"/>
      <c r="AN23" s="93"/>
      <c r="AO23" s="94">
        <v>49</v>
      </c>
      <c r="AP23" s="94">
        <v>1248358867</v>
      </c>
      <c r="AQ23" s="93">
        <v>308</v>
      </c>
      <c r="AR23" s="93">
        <v>12</v>
      </c>
      <c r="AS23" s="93"/>
      <c r="AT23" s="93"/>
      <c r="AU23" s="93">
        <v>5854503721</v>
      </c>
      <c r="AV23" s="93">
        <v>15539121587</v>
      </c>
      <c r="AW23" s="93"/>
      <c r="AX23" s="93"/>
      <c r="AY23" s="94">
        <v>320</v>
      </c>
      <c r="AZ23" s="94">
        <v>21393625308</v>
      </c>
      <c r="BA23" s="93">
        <v>87</v>
      </c>
      <c r="BB23" s="93"/>
      <c r="BC23" s="93">
        <v>1</v>
      </c>
      <c r="BD23" s="93"/>
      <c r="BE23" s="93">
        <v>570746524</v>
      </c>
      <c r="BF23" s="93"/>
      <c r="BG23" s="93">
        <v>17626681865</v>
      </c>
      <c r="BH23" s="93"/>
      <c r="BI23" s="94">
        <v>88</v>
      </c>
      <c r="BJ23" s="94">
        <v>18197428389</v>
      </c>
      <c r="BK23" s="93"/>
      <c r="BL23" s="93"/>
      <c r="BM23" s="93"/>
      <c r="BN23" s="93"/>
      <c r="BO23" s="94">
        <v>0</v>
      </c>
      <c r="BP23" s="94">
        <v>0</v>
      </c>
      <c r="BQ23" s="93">
        <v>2592</v>
      </c>
      <c r="BR23" s="93">
        <v>2405252214791</v>
      </c>
    </row>
    <row r="24" spans="1:70" x14ac:dyDescent="0.35">
      <c r="A24" s="91" t="s">
        <v>62</v>
      </c>
      <c r="B24" s="95" t="s">
        <v>63</v>
      </c>
      <c r="C24" s="93">
        <v>4284</v>
      </c>
      <c r="D24" s="93">
        <v>48</v>
      </c>
      <c r="E24" s="93">
        <v>10</v>
      </c>
      <c r="F24" s="93">
        <v>1</v>
      </c>
      <c r="G24" s="93">
        <v>63844488122</v>
      </c>
      <c r="H24" s="93">
        <v>100719347582</v>
      </c>
      <c r="I24" s="93">
        <v>153542274430</v>
      </c>
      <c r="J24" s="93">
        <v>82934793000</v>
      </c>
      <c r="K24" s="94">
        <v>4343</v>
      </c>
      <c r="L24" s="94">
        <v>401040903134</v>
      </c>
      <c r="M24" s="93">
        <v>402</v>
      </c>
      <c r="N24" s="93"/>
      <c r="O24" s="93"/>
      <c r="P24" s="93"/>
      <c r="Q24" s="93">
        <v>1765319186</v>
      </c>
      <c r="R24" s="93"/>
      <c r="S24" s="93"/>
      <c r="T24" s="93"/>
      <c r="U24" s="94">
        <v>402</v>
      </c>
      <c r="V24" s="94">
        <v>1765319186</v>
      </c>
      <c r="W24" s="93">
        <v>323</v>
      </c>
      <c r="X24" s="93">
        <v>2</v>
      </c>
      <c r="Y24" s="93"/>
      <c r="Z24" s="93"/>
      <c r="AA24" s="93">
        <v>1631562433</v>
      </c>
      <c r="AB24" s="93">
        <v>6244894287</v>
      </c>
      <c r="AC24" s="93"/>
      <c r="AD24" s="93"/>
      <c r="AE24" s="94">
        <v>325</v>
      </c>
      <c r="AF24" s="94">
        <v>7876456720</v>
      </c>
      <c r="AG24" s="93">
        <v>139</v>
      </c>
      <c r="AH24" s="93"/>
      <c r="AI24" s="93"/>
      <c r="AJ24" s="93"/>
      <c r="AK24" s="93">
        <v>643197000</v>
      </c>
      <c r="AL24" s="93"/>
      <c r="AM24" s="93"/>
      <c r="AN24" s="93"/>
      <c r="AO24" s="94">
        <v>139</v>
      </c>
      <c r="AP24" s="94">
        <v>643197000</v>
      </c>
      <c r="AQ24" s="93">
        <v>888</v>
      </c>
      <c r="AR24" s="93"/>
      <c r="AS24" s="93"/>
      <c r="AT24" s="93"/>
      <c r="AU24" s="93">
        <v>6347196237</v>
      </c>
      <c r="AV24" s="93"/>
      <c r="AW24" s="93"/>
      <c r="AX24" s="93"/>
      <c r="AY24" s="94">
        <v>888</v>
      </c>
      <c r="AZ24" s="94">
        <v>6347196237</v>
      </c>
      <c r="BA24" s="93">
        <v>187</v>
      </c>
      <c r="BB24" s="93"/>
      <c r="BC24" s="93"/>
      <c r="BD24" s="93"/>
      <c r="BE24" s="93">
        <v>597056001</v>
      </c>
      <c r="BF24" s="93"/>
      <c r="BG24" s="93"/>
      <c r="BH24" s="93"/>
      <c r="BI24" s="94">
        <v>187</v>
      </c>
      <c r="BJ24" s="94">
        <v>597056001</v>
      </c>
      <c r="BK24" s="93">
        <v>1</v>
      </c>
      <c r="BL24" s="93"/>
      <c r="BM24" s="93">
        <v>9000000</v>
      </c>
      <c r="BN24" s="93"/>
      <c r="BO24" s="94">
        <v>1</v>
      </c>
      <c r="BP24" s="94">
        <v>9000000</v>
      </c>
      <c r="BQ24" s="93">
        <v>6285</v>
      </c>
      <c r="BR24" s="93">
        <v>418279128278</v>
      </c>
    </row>
    <row r="25" spans="1:70" x14ac:dyDescent="0.35">
      <c r="A25" s="91" t="s">
        <v>64</v>
      </c>
      <c r="B25" s="95" t="s">
        <v>65</v>
      </c>
      <c r="C25" s="93">
        <v>19</v>
      </c>
      <c r="D25" s="93">
        <v>5</v>
      </c>
      <c r="E25" s="93"/>
      <c r="F25" s="93"/>
      <c r="G25" s="93">
        <v>1490771324</v>
      </c>
      <c r="H25" s="93">
        <v>11665265598</v>
      </c>
      <c r="I25" s="93"/>
      <c r="J25" s="93"/>
      <c r="K25" s="94">
        <v>24</v>
      </c>
      <c r="L25" s="94">
        <v>13156036922</v>
      </c>
      <c r="M25" s="93"/>
      <c r="N25" s="93"/>
      <c r="O25" s="93"/>
      <c r="P25" s="93"/>
      <c r="Q25" s="93"/>
      <c r="R25" s="93"/>
      <c r="S25" s="93"/>
      <c r="T25" s="93"/>
      <c r="U25" s="94">
        <v>0</v>
      </c>
      <c r="V25" s="94">
        <v>0</v>
      </c>
      <c r="W25" s="93">
        <v>1</v>
      </c>
      <c r="X25" s="93"/>
      <c r="Y25" s="93"/>
      <c r="Z25" s="93"/>
      <c r="AA25" s="93">
        <v>12804000</v>
      </c>
      <c r="AB25" s="93"/>
      <c r="AC25" s="93"/>
      <c r="AD25" s="93"/>
      <c r="AE25" s="94">
        <v>1</v>
      </c>
      <c r="AF25" s="94">
        <v>12804000</v>
      </c>
      <c r="AG25" s="93"/>
      <c r="AH25" s="93"/>
      <c r="AI25" s="93"/>
      <c r="AJ25" s="93"/>
      <c r="AK25" s="93"/>
      <c r="AL25" s="93"/>
      <c r="AM25" s="93"/>
      <c r="AN25" s="93"/>
      <c r="AO25" s="94">
        <v>0</v>
      </c>
      <c r="AP25" s="94">
        <v>0</v>
      </c>
      <c r="AQ25" s="93"/>
      <c r="AR25" s="93"/>
      <c r="AS25" s="93"/>
      <c r="AT25" s="93"/>
      <c r="AU25" s="93"/>
      <c r="AV25" s="93"/>
      <c r="AW25" s="93"/>
      <c r="AX25" s="93"/>
      <c r="AY25" s="94">
        <v>0</v>
      </c>
      <c r="AZ25" s="94">
        <v>0</v>
      </c>
      <c r="BA25" s="93"/>
      <c r="BB25" s="93"/>
      <c r="BC25" s="93"/>
      <c r="BD25" s="93"/>
      <c r="BE25" s="93"/>
      <c r="BF25" s="93"/>
      <c r="BG25" s="93"/>
      <c r="BH25" s="93"/>
      <c r="BI25" s="94">
        <v>0</v>
      </c>
      <c r="BJ25" s="94">
        <v>0</v>
      </c>
      <c r="BK25" s="93"/>
      <c r="BL25" s="93"/>
      <c r="BM25" s="93"/>
      <c r="BN25" s="93"/>
      <c r="BO25" s="94">
        <v>0</v>
      </c>
      <c r="BP25" s="94">
        <v>0</v>
      </c>
      <c r="BQ25" s="93">
        <v>25</v>
      </c>
      <c r="BR25" s="93">
        <v>13168840922</v>
      </c>
    </row>
    <row r="26" spans="1:70" x14ac:dyDescent="0.35">
      <c r="A26" s="91" t="s">
        <v>66</v>
      </c>
      <c r="B26" s="95" t="s">
        <v>67</v>
      </c>
      <c r="C26" s="93"/>
      <c r="D26" s="93"/>
      <c r="E26" s="93"/>
      <c r="F26" s="93"/>
      <c r="G26" s="93"/>
      <c r="H26" s="93"/>
      <c r="I26" s="93"/>
      <c r="J26" s="93"/>
      <c r="K26" s="94">
        <v>0</v>
      </c>
      <c r="L26" s="94">
        <v>0</v>
      </c>
      <c r="M26" s="93"/>
      <c r="N26" s="93"/>
      <c r="O26" s="93"/>
      <c r="P26" s="93"/>
      <c r="Q26" s="93"/>
      <c r="R26" s="93"/>
      <c r="S26" s="93"/>
      <c r="T26" s="93"/>
      <c r="U26" s="94">
        <v>0</v>
      </c>
      <c r="V26" s="94">
        <v>0</v>
      </c>
      <c r="W26" s="93">
        <v>1</v>
      </c>
      <c r="X26" s="93"/>
      <c r="Y26" s="93"/>
      <c r="Z26" s="93"/>
      <c r="AA26" s="93">
        <v>3000000</v>
      </c>
      <c r="AB26" s="93"/>
      <c r="AC26" s="93"/>
      <c r="AD26" s="93"/>
      <c r="AE26" s="94">
        <v>1</v>
      </c>
      <c r="AF26" s="94">
        <v>3000000</v>
      </c>
      <c r="AG26" s="93"/>
      <c r="AH26" s="93"/>
      <c r="AI26" s="93"/>
      <c r="AJ26" s="93"/>
      <c r="AK26" s="93"/>
      <c r="AL26" s="93"/>
      <c r="AM26" s="93"/>
      <c r="AN26" s="93"/>
      <c r="AO26" s="94">
        <v>0</v>
      </c>
      <c r="AP26" s="94">
        <v>0</v>
      </c>
      <c r="AQ26" s="93"/>
      <c r="AR26" s="93"/>
      <c r="AS26" s="93"/>
      <c r="AT26" s="93"/>
      <c r="AU26" s="93"/>
      <c r="AV26" s="93"/>
      <c r="AW26" s="93"/>
      <c r="AX26" s="93"/>
      <c r="AY26" s="94">
        <v>0</v>
      </c>
      <c r="AZ26" s="94">
        <v>0</v>
      </c>
      <c r="BA26" s="93"/>
      <c r="BB26" s="93"/>
      <c r="BC26" s="93"/>
      <c r="BD26" s="93"/>
      <c r="BE26" s="93"/>
      <c r="BF26" s="93"/>
      <c r="BG26" s="93"/>
      <c r="BH26" s="93"/>
      <c r="BI26" s="94">
        <v>0</v>
      </c>
      <c r="BJ26" s="94">
        <v>0</v>
      </c>
      <c r="BK26" s="93"/>
      <c r="BL26" s="93"/>
      <c r="BM26" s="93"/>
      <c r="BN26" s="93"/>
      <c r="BO26" s="94">
        <v>0</v>
      </c>
      <c r="BP26" s="94">
        <v>0</v>
      </c>
      <c r="BQ26" s="93">
        <v>1</v>
      </c>
      <c r="BR26" s="93">
        <v>3000000</v>
      </c>
    </row>
    <row r="27" spans="1:70" x14ac:dyDescent="0.35">
      <c r="A27" s="91" t="s">
        <v>69</v>
      </c>
      <c r="B27" s="91" t="s">
        <v>70</v>
      </c>
      <c r="C27" s="93">
        <v>136</v>
      </c>
      <c r="D27" s="93">
        <v>5</v>
      </c>
      <c r="E27" s="93">
        <v>5</v>
      </c>
      <c r="F27" s="93">
        <v>1</v>
      </c>
      <c r="G27" s="93">
        <v>4765285928</v>
      </c>
      <c r="H27" s="93">
        <v>21258601822</v>
      </c>
      <c r="I27" s="93">
        <v>106853418576</v>
      </c>
      <c r="J27" s="93">
        <v>43650085220</v>
      </c>
      <c r="K27" s="94">
        <v>147</v>
      </c>
      <c r="L27" s="94">
        <v>176527391546</v>
      </c>
      <c r="M27" s="93">
        <v>11</v>
      </c>
      <c r="N27" s="93">
        <v>1</v>
      </c>
      <c r="O27" s="93"/>
      <c r="P27" s="93"/>
      <c r="Q27" s="93">
        <v>53600000</v>
      </c>
      <c r="R27" s="93">
        <v>4845927068</v>
      </c>
      <c r="S27" s="93"/>
      <c r="T27" s="93"/>
      <c r="U27" s="94">
        <v>12</v>
      </c>
      <c r="V27" s="94">
        <v>4899527068</v>
      </c>
      <c r="W27" s="93">
        <v>4</v>
      </c>
      <c r="X27" s="93"/>
      <c r="Y27" s="93"/>
      <c r="Z27" s="93"/>
      <c r="AA27" s="93">
        <v>57620000</v>
      </c>
      <c r="AB27" s="93"/>
      <c r="AC27" s="93"/>
      <c r="AD27" s="93"/>
      <c r="AE27" s="94">
        <v>4</v>
      </c>
      <c r="AF27" s="94">
        <v>57620000</v>
      </c>
      <c r="AG27" s="93">
        <v>3</v>
      </c>
      <c r="AH27" s="93"/>
      <c r="AI27" s="93"/>
      <c r="AJ27" s="93"/>
      <c r="AK27" s="93">
        <v>31800000</v>
      </c>
      <c r="AL27" s="93"/>
      <c r="AM27" s="93"/>
      <c r="AN27" s="93"/>
      <c r="AO27" s="94">
        <v>3</v>
      </c>
      <c r="AP27" s="94">
        <v>31800000</v>
      </c>
      <c r="AQ27" s="93">
        <v>10</v>
      </c>
      <c r="AR27" s="93">
        <v>1</v>
      </c>
      <c r="AS27" s="93"/>
      <c r="AT27" s="93"/>
      <c r="AU27" s="93">
        <v>308102000</v>
      </c>
      <c r="AV27" s="93">
        <v>3523567000</v>
      </c>
      <c r="AW27" s="93"/>
      <c r="AX27" s="93"/>
      <c r="AY27" s="94">
        <v>11</v>
      </c>
      <c r="AZ27" s="94">
        <v>3831669000</v>
      </c>
      <c r="BA27" s="93">
        <v>1</v>
      </c>
      <c r="BB27" s="93"/>
      <c r="BC27" s="93"/>
      <c r="BD27" s="93"/>
      <c r="BE27" s="93">
        <v>7500000</v>
      </c>
      <c r="BF27" s="93"/>
      <c r="BG27" s="93"/>
      <c r="BH27" s="93"/>
      <c r="BI27" s="94">
        <v>1</v>
      </c>
      <c r="BJ27" s="94">
        <v>7500000</v>
      </c>
      <c r="BK27" s="93"/>
      <c r="BL27" s="93"/>
      <c r="BM27" s="93"/>
      <c r="BN27" s="93"/>
      <c r="BO27" s="94">
        <v>0</v>
      </c>
      <c r="BP27" s="94">
        <v>0</v>
      </c>
      <c r="BQ27" s="93">
        <v>178</v>
      </c>
      <c r="BR27" s="93">
        <v>185355507614</v>
      </c>
    </row>
    <row r="28" spans="1:70" x14ac:dyDescent="0.35">
      <c r="A28" s="89" t="s">
        <v>16</v>
      </c>
      <c r="B28" s="90"/>
      <c r="C28" s="92">
        <v>101110</v>
      </c>
      <c r="D28" s="92">
        <v>13080</v>
      </c>
      <c r="E28" s="92">
        <v>3353</v>
      </c>
      <c r="F28" s="92">
        <v>898</v>
      </c>
      <c r="G28" s="92">
        <v>5002641780143</v>
      </c>
      <c r="H28" s="92">
        <v>28998208896028</v>
      </c>
      <c r="I28" s="92">
        <v>51669301078033</v>
      </c>
      <c r="J28" s="92">
        <v>798152184907549</v>
      </c>
      <c r="K28" s="92">
        <v>118441</v>
      </c>
      <c r="L28" s="92">
        <v>883822336661753</v>
      </c>
      <c r="M28" s="92">
        <v>9160</v>
      </c>
      <c r="N28" s="92">
        <v>234</v>
      </c>
      <c r="O28" s="92">
        <v>54</v>
      </c>
      <c r="P28" s="92">
        <v>12</v>
      </c>
      <c r="Q28" s="92">
        <v>126562897751</v>
      </c>
      <c r="R28" s="92">
        <v>499184538164</v>
      </c>
      <c r="S28" s="92">
        <v>624970887170</v>
      </c>
      <c r="T28" s="92">
        <v>1696005160363</v>
      </c>
      <c r="U28" s="92">
        <v>9460</v>
      </c>
      <c r="V28" s="92">
        <v>2946723483448</v>
      </c>
      <c r="W28" s="92">
        <v>5992</v>
      </c>
      <c r="X28" s="92">
        <v>237</v>
      </c>
      <c r="Y28" s="92">
        <v>39</v>
      </c>
      <c r="Z28" s="92">
        <v>5</v>
      </c>
      <c r="AA28" s="92">
        <v>120819410752</v>
      </c>
      <c r="AB28" s="92">
        <v>523356718211</v>
      </c>
      <c r="AC28" s="92">
        <v>494822806867</v>
      </c>
      <c r="AD28" s="92">
        <v>2821333792247</v>
      </c>
      <c r="AE28" s="92">
        <v>6273</v>
      </c>
      <c r="AF28" s="92">
        <v>3960332728077</v>
      </c>
      <c r="AG28" s="92">
        <v>3418</v>
      </c>
      <c r="AH28" s="92">
        <v>167</v>
      </c>
      <c r="AI28" s="92">
        <v>16</v>
      </c>
      <c r="AJ28" s="92">
        <v>1</v>
      </c>
      <c r="AK28" s="92">
        <v>100021351001</v>
      </c>
      <c r="AL28" s="92">
        <v>332563626776</v>
      </c>
      <c r="AM28" s="92">
        <v>217274851875</v>
      </c>
      <c r="AN28" s="92">
        <v>66558747275</v>
      </c>
      <c r="AO28" s="92">
        <v>3602</v>
      </c>
      <c r="AP28" s="92">
        <v>716418576927</v>
      </c>
      <c r="AQ28" s="92">
        <v>15861</v>
      </c>
      <c r="AR28" s="92">
        <v>583</v>
      </c>
      <c r="AS28" s="92">
        <v>119</v>
      </c>
      <c r="AT28" s="92">
        <v>41</v>
      </c>
      <c r="AU28" s="92">
        <v>349631805423</v>
      </c>
      <c r="AV28" s="92">
        <v>1208441919178</v>
      </c>
      <c r="AW28" s="92">
        <v>1937556649902</v>
      </c>
      <c r="AX28" s="92">
        <v>16241050745942</v>
      </c>
      <c r="AY28" s="92">
        <v>16604</v>
      </c>
      <c r="AZ28" s="92">
        <v>19736681120445</v>
      </c>
      <c r="BA28" s="92">
        <v>4515</v>
      </c>
      <c r="BB28" s="92">
        <v>98</v>
      </c>
      <c r="BC28" s="92">
        <v>12</v>
      </c>
      <c r="BD28" s="92">
        <v>1</v>
      </c>
      <c r="BE28" s="92">
        <v>71476931426</v>
      </c>
      <c r="BF28" s="92">
        <v>187390227569</v>
      </c>
      <c r="BG28" s="92">
        <v>164225991652</v>
      </c>
      <c r="BH28" s="92">
        <v>74625548691</v>
      </c>
      <c r="BI28" s="92">
        <v>4626</v>
      </c>
      <c r="BJ28" s="92">
        <v>497718699338</v>
      </c>
      <c r="BK28" s="92">
        <v>2</v>
      </c>
      <c r="BL28" s="92">
        <v>1</v>
      </c>
      <c r="BM28" s="92">
        <v>10800000</v>
      </c>
      <c r="BN28" s="92">
        <v>3720235867</v>
      </c>
      <c r="BO28" s="92">
        <v>3</v>
      </c>
      <c r="BP28" s="92">
        <v>3731035867</v>
      </c>
      <c r="BQ28" s="92">
        <v>159009</v>
      </c>
      <c r="BR28" s="92">
        <v>911683942305855</v>
      </c>
    </row>
    <row r="30" spans="1:70" x14ac:dyDescent="0.35">
      <c r="A30" t="s">
        <v>1356</v>
      </c>
    </row>
    <row r="31" spans="1:70" x14ac:dyDescent="0.35">
      <c r="A31" t="s">
        <v>1318</v>
      </c>
    </row>
    <row r="32" spans="1:70" x14ac:dyDescent="0.35">
      <c r="A32" t="s">
        <v>17</v>
      </c>
    </row>
    <row r="33" spans="1:1" x14ac:dyDescent="0.35">
      <c r="A33" t="s">
        <v>1320</v>
      </c>
    </row>
  </sheetData>
  <mergeCells count="48">
    <mergeCell ref="A28:B28"/>
    <mergeCell ref="A3:A5"/>
    <mergeCell ref="B3:B5"/>
    <mergeCell ref="K4:K5"/>
    <mergeCell ref="L4:L5"/>
    <mergeCell ref="U4:U5"/>
    <mergeCell ref="C3:J3"/>
    <mergeCell ref="K3:L3"/>
    <mergeCell ref="M3:T3"/>
    <mergeCell ref="U3:V3"/>
    <mergeCell ref="V4:V5"/>
    <mergeCell ref="C4:F4"/>
    <mergeCell ref="G4:J4"/>
    <mergeCell ref="M4:P4"/>
    <mergeCell ref="Q4:T4"/>
    <mergeCell ref="BR4:BR5"/>
    <mergeCell ref="BI4:BI5"/>
    <mergeCell ref="BJ4:BJ5"/>
    <mergeCell ref="BK4:BL4"/>
    <mergeCell ref="BM4:BN4"/>
    <mergeCell ref="BO4:BO5"/>
    <mergeCell ref="AZ4:AZ5"/>
    <mergeCell ref="BP4:BP5"/>
    <mergeCell ref="BQ4:BQ5"/>
    <mergeCell ref="BA4:BD4"/>
    <mergeCell ref="BE4:BH4"/>
    <mergeCell ref="AF4:AF5"/>
    <mergeCell ref="AO4:AO5"/>
    <mergeCell ref="AP4:AP5"/>
    <mergeCell ref="AK4:AN4"/>
    <mergeCell ref="AY4:AY5"/>
    <mergeCell ref="BQ3:BR3"/>
    <mergeCell ref="AY3:AZ3"/>
    <mergeCell ref="BA3:BG3"/>
    <mergeCell ref="BI3:BJ3"/>
    <mergeCell ref="W4:Z4"/>
    <mergeCell ref="W3:AD3"/>
    <mergeCell ref="AE3:AF3"/>
    <mergeCell ref="BK3:BN3"/>
    <mergeCell ref="BO3:BP3"/>
    <mergeCell ref="AA4:AD4"/>
    <mergeCell ref="AG4:AJ4"/>
    <mergeCell ref="AG3:AN3"/>
    <mergeCell ref="AO3:AP3"/>
    <mergeCell ref="AQ3:AX3"/>
    <mergeCell ref="AQ4:AT4"/>
    <mergeCell ref="AU4:AX4"/>
    <mergeCell ref="AE4:AE5"/>
  </mergeCells>
  <hyperlinks>
    <hyperlink ref="G1" location="Índice!A1" display="Volver al índice" xr:uid="{205C25AB-BDAF-4AAC-AD8D-2E9D9712A1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8EAE-ADCC-4421-A90B-B808791D3B43}">
  <dimension ref="A1:CD33"/>
  <sheetViews>
    <sheetView zoomScaleNormal="100" workbookViewId="0">
      <pane xSplit="2" topLeftCell="C1" activePane="topRight" state="frozen"/>
      <selection pane="topRight" activeCell="G1" sqref="G1"/>
    </sheetView>
  </sheetViews>
  <sheetFormatPr baseColWidth="10" defaultColWidth="11.453125" defaultRowHeight="14.5" x14ac:dyDescent="0.35"/>
  <cols>
    <col min="2" max="2" width="85" customWidth="1"/>
    <col min="3" max="3" width="9" bestFit="1" customWidth="1"/>
    <col min="4" max="5" width="10.81640625" bestFit="1" customWidth="1"/>
    <col min="6" max="6" width="9.54296875" bestFit="1" customWidth="1"/>
    <col min="7" max="7" width="17.26953125" bestFit="1" customWidth="1"/>
    <col min="8" max="10" width="18.81640625" bestFit="1" customWidth="1"/>
    <col min="11" max="11" width="21" bestFit="1" customWidth="1"/>
    <col min="12" max="12" width="17.26953125" bestFit="1" customWidth="1"/>
    <col min="13" max="13" width="13.08984375" bestFit="1" customWidth="1"/>
    <col min="14" max="14" width="21.90625" bestFit="1" customWidth="1"/>
    <col min="15" max="15" width="8.1796875" bestFit="1" customWidth="1"/>
    <col min="16" max="17" width="10.81640625" bestFit="1" customWidth="1"/>
    <col min="18" max="18" width="9.54296875" bestFit="1" customWidth="1"/>
    <col min="19" max="19" width="17.26953125" bestFit="1" customWidth="1"/>
    <col min="20" max="22" width="16.26953125" bestFit="1" customWidth="1"/>
    <col min="23" max="23" width="17.36328125" bestFit="1" customWidth="1"/>
    <col min="24" max="24" width="17.26953125" bestFit="1" customWidth="1"/>
    <col min="25" max="25" width="13" bestFit="1" customWidth="1"/>
    <col min="26" max="26" width="17.81640625" bestFit="1" customWidth="1"/>
    <col min="27" max="27" width="8.1796875" bestFit="1" customWidth="1"/>
    <col min="28" max="29" width="10.81640625" bestFit="1" customWidth="1"/>
    <col min="30" max="30" width="9.54296875" bestFit="1" customWidth="1"/>
    <col min="31" max="31" width="17.26953125" bestFit="1" customWidth="1"/>
    <col min="32" max="34" width="16.26953125" bestFit="1" customWidth="1"/>
    <col min="35" max="35" width="17.81640625" bestFit="1" customWidth="1"/>
    <col min="36" max="36" width="17.26953125" bestFit="1" customWidth="1"/>
    <col min="37" max="37" width="13" bestFit="1" customWidth="1"/>
    <col min="38" max="38" width="17.81640625" bestFit="1" customWidth="1"/>
    <col min="39" max="39" width="8.1796875" bestFit="1" customWidth="1"/>
    <col min="40" max="41" width="10.81640625" bestFit="1" customWidth="1"/>
    <col min="42" max="42" width="9.54296875" bestFit="1" customWidth="1"/>
    <col min="43" max="43" width="17.26953125" bestFit="1" customWidth="1"/>
    <col min="44" max="45" width="16.26953125" bestFit="1" customWidth="1"/>
    <col min="46" max="46" width="17.36328125" bestFit="1" customWidth="1"/>
    <col min="47" max="47" width="15.1796875" bestFit="1" customWidth="1"/>
    <col min="48" max="48" width="17.26953125" bestFit="1" customWidth="1"/>
    <col min="49" max="49" width="13.08984375" bestFit="1" customWidth="1"/>
    <col min="50" max="50" width="19.81640625" bestFit="1" customWidth="1"/>
    <col min="51" max="51" width="8.1796875" bestFit="1" customWidth="1"/>
    <col min="52" max="53" width="10.81640625" bestFit="1" customWidth="1"/>
    <col min="54" max="54" width="9.54296875" bestFit="1" customWidth="1"/>
    <col min="55" max="55" width="17.26953125" bestFit="1" customWidth="1"/>
    <col min="56" max="56" width="16.26953125" bestFit="1" customWidth="1"/>
    <col min="57" max="59" width="17.81640625" bestFit="1" customWidth="1"/>
    <col min="60" max="60" width="17.26953125" bestFit="1" customWidth="1"/>
    <col min="61" max="61" width="13.08984375" bestFit="1" customWidth="1"/>
    <col min="62" max="62" width="20.81640625" bestFit="1" customWidth="1"/>
    <col min="63" max="63" width="8.1796875" bestFit="1" customWidth="1"/>
    <col min="64" max="65" width="10.81640625" bestFit="1" customWidth="1"/>
    <col min="66" max="66" width="9.54296875" bestFit="1" customWidth="1"/>
    <col min="67" max="67" width="17.26953125" bestFit="1" customWidth="1"/>
    <col min="68" max="69" width="16.26953125" bestFit="1" customWidth="1"/>
    <col min="70" max="70" width="15.1796875" bestFit="1" customWidth="1"/>
    <col min="71" max="71" width="17.36328125" bestFit="1" customWidth="1"/>
    <col min="72" max="72" width="17.26953125" bestFit="1" customWidth="1"/>
    <col min="73" max="73" width="13" bestFit="1" customWidth="1"/>
    <col min="74" max="74" width="17.36328125" bestFit="1" customWidth="1"/>
    <col min="75" max="75" width="20" bestFit="1" customWidth="1"/>
    <col min="76" max="76" width="14.1796875" bestFit="1" customWidth="1"/>
    <col min="77" max="77" width="13" bestFit="1" customWidth="1"/>
    <col min="78" max="78" width="14.1796875" bestFit="1" customWidth="1"/>
    <col min="79" max="79" width="14.26953125" bestFit="1" customWidth="1"/>
    <col min="80" max="80" width="19.81640625" bestFit="1" customWidth="1"/>
    <col min="81" max="81" width="11.54296875" bestFit="1" customWidth="1"/>
    <col min="82" max="82" width="21.90625" bestFit="1" customWidth="1"/>
  </cols>
  <sheetData>
    <row r="1" spans="1:82" ht="18.5" x14ac:dyDescent="0.45">
      <c r="A1" s="21" t="s">
        <v>1291</v>
      </c>
      <c r="G1" s="17" t="s">
        <v>1</v>
      </c>
    </row>
    <row r="3" spans="1:82" ht="14.5" customHeight="1" x14ac:dyDescent="0.35">
      <c r="A3" s="51" t="s">
        <v>18</v>
      </c>
      <c r="B3" s="51" t="s">
        <v>19</v>
      </c>
      <c r="C3" s="59" t="s">
        <v>71</v>
      </c>
      <c r="D3" s="59"/>
      <c r="E3" s="59"/>
      <c r="F3" s="59"/>
      <c r="G3" s="59"/>
      <c r="H3" s="59"/>
      <c r="I3" s="59"/>
      <c r="J3" s="59"/>
      <c r="K3" s="59"/>
      <c r="L3" s="59"/>
      <c r="M3" s="60" t="s">
        <v>79</v>
      </c>
      <c r="N3" s="61"/>
      <c r="O3" s="59" t="s">
        <v>72</v>
      </c>
      <c r="P3" s="59"/>
      <c r="Q3" s="59"/>
      <c r="R3" s="59"/>
      <c r="S3" s="59"/>
      <c r="T3" s="59"/>
      <c r="U3" s="59"/>
      <c r="V3" s="59"/>
      <c r="W3" s="59"/>
      <c r="X3" s="59"/>
      <c r="Y3" s="60" t="s">
        <v>80</v>
      </c>
      <c r="Z3" s="61"/>
      <c r="AA3" s="59" t="s">
        <v>73</v>
      </c>
      <c r="AB3" s="59"/>
      <c r="AC3" s="59"/>
      <c r="AD3" s="59"/>
      <c r="AE3" s="59"/>
      <c r="AF3" s="59"/>
      <c r="AG3" s="59"/>
      <c r="AH3" s="59"/>
      <c r="AI3" s="59"/>
      <c r="AJ3" s="59"/>
      <c r="AK3" s="64" t="s">
        <v>81</v>
      </c>
      <c r="AL3" s="65"/>
      <c r="AM3" s="59" t="s">
        <v>74</v>
      </c>
      <c r="AN3" s="59"/>
      <c r="AO3" s="59"/>
      <c r="AP3" s="59"/>
      <c r="AQ3" s="59"/>
      <c r="AR3" s="59"/>
      <c r="AS3" s="59"/>
      <c r="AT3" s="59"/>
      <c r="AU3" s="59"/>
      <c r="AV3" s="59"/>
      <c r="AW3" s="64" t="s">
        <v>82</v>
      </c>
      <c r="AX3" s="65"/>
      <c r="AY3" s="59" t="s">
        <v>75</v>
      </c>
      <c r="AZ3" s="59"/>
      <c r="BA3" s="59"/>
      <c r="BB3" s="59"/>
      <c r="BC3" s="59"/>
      <c r="BD3" s="59"/>
      <c r="BE3" s="59"/>
      <c r="BF3" s="59"/>
      <c r="BG3" s="59"/>
      <c r="BH3" s="59"/>
      <c r="BI3" s="64" t="s">
        <v>1194</v>
      </c>
      <c r="BJ3" s="65"/>
      <c r="BK3" s="59" t="s">
        <v>76</v>
      </c>
      <c r="BL3" s="59"/>
      <c r="BM3" s="59"/>
      <c r="BN3" s="59"/>
      <c r="BO3" s="59"/>
      <c r="BP3" s="59"/>
      <c r="BQ3" s="59"/>
      <c r="BR3" s="59"/>
      <c r="BS3" s="59"/>
      <c r="BT3" s="105"/>
      <c r="BU3" s="64" t="s">
        <v>83</v>
      </c>
      <c r="BV3" s="65"/>
      <c r="BW3" s="59" t="s">
        <v>77</v>
      </c>
      <c r="BX3" s="59"/>
      <c r="BY3" s="59"/>
      <c r="BZ3" s="105"/>
      <c r="CA3" s="64" t="s">
        <v>1158</v>
      </c>
      <c r="CB3" s="65"/>
      <c r="CC3" s="45" t="s">
        <v>20</v>
      </c>
      <c r="CD3" s="45" t="s">
        <v>1185</v>
      </c>
    </row>
    <row r="4" spans="1:82" x14ac:dyDescent="0.35">
      <c r="A4" s="51"/>
      <c r="B4" s="51"/>
      <c r="C4" s="59" t="s">
        <v>84</v>
      </c>
      <c r="D4" s="59"/>
      <c r="E4" s="59"/>
      <c r="F4" s="59"/>
      <c r="G4" s="59"/>
      <c r="H4" s="59" t="s">
        <v>1187</v>
      </c>
      <c r="I4" s="59"/>
      <c r="J4" s="59"/>
      <c r="K4" s="59"/>
      <c r="L4" s="59"/>
      <c r="M4" s="67" t="s">
        <v>86</v>
      </c>
      <c r="N4" s="67" t="s">
        <v>1184</v>
      </c>
      <c r="O4" s="59" t="s">
        <v>84</v>
      </c>
      <c r="P4" s="59"/>
      <c r="Q4" s="59"/>
      <c r="R4" s="59"/>
      <c r="S4" s="59"/>
      <c r="T4" s="59" t="s">
        <v>1187</v>
      </c>
      <c r="U4" s="59"/>
      <c r="V4" s="59"/>
      <c r="W4" s="59"/>
      <c r="X4" s="59"/>
      <c r="Y4" s="67" t="s">
        <v>86</v>
      </c>
      <c r="Z4" s="67" t="s">
        <v>1184</v>
      </c>
      <c r="AA4" s="59" t="s">
        <v>84</v>
      </c>
      <c r="AB4" s="59"/>
      <c r="AC4" s="59"/>
      <c r="AD4" s="59"/>
      <c r="AE4" s="59"/>
      <c r="AF4" s="59" t="s">
        <v>1187</v>
      </c>
      <c r="AG4" s="59"/>
      <c r="AH4" s="59"/>
      <c r="AI4" s="59"/>
      <c r="AJ4" s="59"/>
      <c r="AK4" s="55" t="s">
        <v>86</v>
      </c>
      <c r="AL4" s="55" t="s">
        <v>1187</v>
      </c>
      <c r="AM4" s="59" t="s">
        <v>84</v>
      </c>
      <c r="AN4" s="59"/>
      <c r="AO4" s="59"/>
      <c r="AP4" s="59"/>
      <c r="AQ4" s="59"/>
      <c r="AR4" s="59" t="s">
        <v>1187</v>
      </c>
      <c r="AS4" s="59"/>
      <c r="AT4" s="59"/>
      <c r="AU4" s="59"/>
      <c r="AV4" s="59"/>
      <c r="AW4" s="55" t="s">
        <v>86</v>
      </c>
      <c r="AX4" s="55" t="s">
        <v>1187</v>
      </c>
      <c r="AY4" s="59" t="s">
        <v>84</v>
      </c>
      <c r="AZ4" s="59"/>
      <c r="BA4" s="59"/>
      <c r="BB4" s="59"/>
      <c r="BC4" s="59"/>
      <c r="BD4" s="59" t="s">
        <v>1187</v>
      </c>
      <c r="BE4" s="59"/>
      <c r="BF4" s="59"/>
      <c r="BG4" s="59"/>
      <c r="BH4" s="59"/>
      <c r="BI4" s="55" t="s">
        <v>86</v>
      </c>
      <c r="BJ4" s="55" t="s">
        <v>1187</v>
      </c>
      <c r="BK4" s="53" t="s">
        <v>84</v>
      </c>
      <c r="BL4" s="62"/>
      <c r="BM4" s="62"/>
      <c r="BN4" s="62"/>
      <c r="BO4" s="54"/>
      <c r="BP4" s="57" t="s">
        <v>1187</v>
      </c>
      <c r="BQ4" s="63"/>
      <c r="BR4" s="63"/>
      <c r="BS4" s="63"/>
      <c r="BT4" s="58"/>
      <c r="BU4" s="55" t="s">
        <v>86</v>
      </c>
      <c r="BV4" s="55" t="s">
        <v>1187</v>
      </c>
      <c r="BW4" s="53" t="s">
        <v>84</v>
      </c>
      <c r="BX4" s="54"/>
      <c r="BY4" s="57" t="s">
        <v>1187</v>
      </c>
      <c r="BZ4" s="58"/>
      <c r="CA4" s="55" t="s">
        <v>86</v>
      </c>
      <c r="CB4" s="55" t="s">
        <v>1187</v>
      </c>
      <c r="CC4" s="66"/>
      <c r="CD4" s="66"/>
    </row>
    <row r="5" spans="1:82" x14ac:dyDescent="0.35">
      <c r="A5" s="51"/>
      <c r="B5" s="51"/>
      <c r="C5" s="100" t="s">
        <v>1188</v>
      </c>
      <c r="D5" s="100" t="s">
        <v>1189</v>
      </c>
      <c r="E5" s="100" t="s">
        <v>1190</v>
      </c>
      <c r="F5" s="100" t="s">
        <v>1191</v>
      </c>
      <c r="G5" s="100" t="s">
        <v>1192</v>
      </c>
      <c r="H5" s="100" t="s">
        <v>1188</v>
      </c>
      <c r="I5" s="100" t="s">
        <v>1189</v>
      </c>
      <c r="J5" s="100" t="s">
        <v>1190</v>
      </c>
      <c r="K5" s="100" t="s">
        <v>1191</v>
      </c>
      <c r="L5" s="100" t="s">
        <v>1192</v>
      </c>
      <c r="M5" s="68"/>
      <c r="N5" s="68"/>
      <c r="O5" s="100" t="s">
        <v>1188</v>
      </c>
      <c r="P5" s="100" t="s">
        <v>1189</v>
      </c>
      <c r="Q5" s="100" t="s">
        <v>1190</v>
      </c>
      <c r="R5" s="100" t="s">
        <v>1191</v>
      </c>
      <c r="S5" s="100" t="s">
        <v>1192</v>
      </c>
      <c r="T5" s="100" t="s">
        <v>1188</v>
      </c>
      <c r="U5" s="100" t="s">
        <v>1189</v>
      </c>
      <c r="V5" s="100" t="s">
        <v>1190</v>
      </c>
      <c r="W5" s="100" t="s">
        <v>1191</v>
      </c>
      <c r="X5" s="100" t="s">
        <v>1192</v>
      </c>
      <c r="Y5" s="68"/>
      <c r="Z5" s="68"/>
      <c r="AA5" s="100" t="s">
        <v>1188</v>
      </c>
      <c r="AB5" s="100" t="s">
        <v>1189</v>
      </c>
      <c r="AC5" s="100" t="s">
        <v>1190</v>
      </c>
      <c r="AD5" s="100" t="s">
        <v>1191</v>
      </c>
      <c r="AE5" s="100" t="s">
        <v>1192</v>
      </c>
      <c r="AF5" s="100" t="s">
        <v>1188</v>
      </c>
      <c r="AG5" s="100" t="s">
        <v>1189</v>
      </c>
      <c r="AH5" s="100" t="s">
        <v>1190</v>
      </c>
      <c r="AI5" s="100" t="s">
        <v>1191</v>
      </c>
      <c r="AJ5" s="100" t="s">
        <v>1192</v>
      </c>
      <c r="AK5" s="56"/>
      <c r="AL5" s="56"/>
      <c r="AM5" s="100" t="s">
        <v>1188</v>
      </c>
      <c r="AN5" s="100" t="s">
        <v>1189</v>
      </c>
      <c r="AO5" s="100" t="s">
        <v>1190</v>
      </c>
      <c r="AP5" s="100" t="s">
        <v>1191</v>
      </c>
      <c r="AQ5" s="100" t="s">
        <v>1192</v>
      </c>
      <c r="AR5" s="100" t="s">
        <v>1188</v>
      </c>
      <c r="AS5" s="100" t="s">
        <v>1189</v>
      </c>
      <c r="AT5" s="100" t="s">
        <v>1190</v>
      </c>
      <c r="AU5" s="100" t="s">
        <v>1191</v>
      </c>
      <c r="AV5" s="100" t="s">
        <v>1192</v>
      </c>
      <c r="AW5" s="56"/>
      <c r="AX5" s="56"/>
      <c r="AY5" s="100" t="s">
        <v>1188</v>
      </c>
      <c r="AZ5" s="100" t="s">
        <v>1189</v>
      </c>
      <c r="BA5" s="100" t="s">
        <v>1190</v>
      </c>
      <c r="BB5" s="100" t="s">
        <v>1191</v>
      </c>
      <c r="BC5" s="100" t="s">
        <v>1192</v>
      </c>
      <c r="BD5" s="100" t="s">
        <v>1188</v>
      </c>
      <c r="BE5" s="100" t="s">
        <v>1189</v>
      </c>
      <c r="BF5" s="100" t="s">
        <v>1190</v>
      </c>
      <c r="BG5" s="100" t="s">
        <v>1191</v>
      </c>
      <c r="BH5" s="100" t="s">
        <v>1192</v>
      </c>
      <c r="BI5" s="56"/>
      <c r="BJ5" s="56"/>
      <c r="BK5" s="100" t="s">
        <v>1188</v>
      </c>
      <c r="BL5" s="100" t="s">
        <v>1189</v>
      </c>
      <c r="BM5" s="100" t="s">
        <v>1190</v>
      </c>
      <c r="BN5" s="100" t="s">
        <v>1191</v>
      </c>
      <c r="BO5" s="100" t="s">
        <v>1192</v>
      </c>
      <c r="BP5" s="100" t="s">
        <v>1188</v>
      </c>
      <c r="BQ5" s="100" t="s">
        <v>1189</v>
      </c>
      <c r="BR5" s="100" t="s">
        <v>1190</v>
      </c>
      <c r="BS5" s="100" t="s">
        <v>1191</v>
      </c>
      <c r="BT5" s="100" t="s">
        <v>1192</v>
      </c>
      <c r="BU5" s="56"/>
      <c r="BV5" s="56"/>
      <c r="BW5" s="100" t="s">
        <v>1188</v>
      </c>
      <c r="BX5" s="100" t="s">
        <v>1189</v>
      </c>
      <c r="BY5" s="100" t="s">
        <v>1188</v>
      </c>
      <c r="BZ5" s="106" t="s">
        <v>1189</v>
      </c>
      <c r="CA5" s="56"/>
      <c r="CB5" s="56"/>
      <c r="CC5" s="46"/>
      <c r="CD5" s="46"/>
    </row>
    <row r="6" spans="1:82" x14ac:dyDescent="0.35">
      <c r="A6" s="99" t="s">
        <v>26</v>
      </c>
      <c r="B6" s="101" t="s">
        <v>27</v>
      </c>
      <c r="C6" s="102">
        <v>1776</v>
      </c>
      <c r="D6" s="102">
        <v>403</v>
      </c>
      <c r="E6" s="102">
        <v>92</v>
      </c>
      <c r="F6" s="102">
        <v>10</v>
      </c>
      <c r="G6" s="102"/>
      <c r="H6" s="102">
        <v>267056278064</v>
      </c>
      <c r="I6" s="102">
        <v>1300008491318</v>
      </c>
      <c r="J6" s="102">
        <v>2022336836943</v>
      </c>
      <c r="K6" s="102">
        <v>1387002411429</v>
      </c>
      <c r="L6" s="102"/>
      <c r="M6" s="103">
        <v>2281</v>
      </c>
      <c r="N6" s="103">
        <v>4976404017754</v>
      </c>
      <c r="O6" s="102">
        <v>354</v>
      </c>
      <c r="P6" s="102">
        <v>46</v>
      </c>
      <c r="Q6" s="102">
        <v>9</v>
      </c>
      <c r="R6" s="102">
        <v>2</v>
      </c>
      <c r="S6" s="102"/>
      <c r="T6" s="102">
        <v>46207584368</v>
      </c>
      <c r="U6" s="102">
        <v>154305398366</v>
      </c>
      <c r="V6" s="102">
        <v>135285083125</v>
      </c>
      <c r="W6" s="102">
        <v>238354892525</v>
      </c>
      <c r="X6" s="102"/>
      <c r="Y6" s="103">
        <v>411</v>
      </c>
      <c r="Z6" s="103">
        <v>574152958384</v>
      </c>
      <c r="AA6" s="102">
        <v>208</v>
      </c>
      <c r="AB6" s="102">
        <v>51</v>
      </c>
      <c r="AC6" s="102">
        <v>19</v>
      </c>
      <c r="AD6" s="102">
        <v>1</v>
      </c>
      <c r="AE6" s="102"/>
      <c r="AF6" s="102">
        <v>28245810187</v>
      </c>
      <c r="AG6" s="102">
        <v>159356090512</v>
      </c>
      <c r="AH6" s="102">
        <v>348062964252</v>
      </c>
      <c r="AI6" s="102">
        <v>94615134330</v>
      </c>
      <c r="AJ6" s="102"/>
      <c r="AK6" s="103">
        <v>279</v>
      </c>
      <c r="AL6" s="103">
        <v>630279999281</v>
      </c>
      <c r="AM6" s="102">
        <v>125</v>
      </c>
      <c r="AN6" s="102">
        <v>9</v>
      </c>
      <c r="AO6" s="102">
        <v>2</v>
      </c>
      <c r="AP6" s="102"/>
      <c r="AQ6" s="102"/>
      <c r="AR6" s="102">
        <v>13548739969</v>
      </c>
      <c r="AS6" s="102">
        <v>20005859055</v>
      </c>
      <c r="AT6" s="102">
        <v>25224523356</v>
      </c>
      <c r="AU6" s="102"/>
      <c r="AV6" s="102"/>
      <c r="AW6" s="103">
        <v>136</v>
      </c>
      <c r="AX6" s="103">
        <v>58779122380</v>
      </c>
      <c r="AY6" s="102">
        <v>157</v>
      </c>
      <c r="AZ6" s="102">
        <v>5</v>
      </c>
      <c r="BA6" s="102">
        <v>7</v>
      </c>
      <c r="BB6" s="102">
        <v>2</v>
      </c>
      <c r="BC6" s="102"/>
      <c r="BD6" s="102">
        <v>10819123660</v>
      </c>
      <c r="BE6" s="102">
        <v>20212652469</v>
      </c>
      <c r="BF6" s="102">
        <v>167213836308</v>
      </c>
      <c r="BG6" s="102">
        <v>444410690778</v>
      </c>
      <c r="BH6" s="102"/>
      <c r="BI6" s="103">
        <v>171</v>
      </c>
      <c r="BJ6" s="103">
        <v>642656303215</v>
      </c>
      <c r="BK6" s="102">
        <v>101</v>
      </c>
      <c r="BL6" s="102">
        <v>2</v>
      </c>
      <c r="BM6" s="102">
        <v>1</v>
      </c>
      <c r="BN6" s="102"/>
      <c r="BO6" s="102"/>
      <c r="BP6" s="102">
        <v>5583008769</v>
      </c>
      <c r="BQ6" s="102">
        <v>6404298000</v>
      </c>
      <c r="BR6" s="102">
        <v>12250261925</v>
      </c>
      <c r="BS6" s="102"/>
      <c r="BT6" s="102"/>
      <c r="BU6" s="103">
        <v>104</v>
      </c>
      <c r="BV6" s="103">
        <v>24237568694</v>
      </c>
      <c r="BW6" s="102"/>
      <c r="BX6" s="102"/>
      <c r="BY6" s="102"/>
      <c r="BZ6" s="102"/>
      <c r="CA6" s="103"/>
      <c r="CB6" s="103">
        <v>0</v>
      </c>
      <c r="CC6" s="102">
        <v>3382</v>
      </c>
      <c r="CD6" s="102">
        <v>6906509969708</v>
      </c>
    </row>
    <row r="7" spans="1:82" x14ac:dyDescent="0.35">
      <c r="A7" s="99" t="s">
        <v>28</v>
      </c>
      <c r="B7" s="101" t="s">
        <v>29</v>
      </c>
      <c r="C7" s="102">
        <v>289</v>
      </c>
      <c r="D7" s="102">
        <v>29</v>
      </c>
      <c r="E7" s="102">
        <v>15</v>
      </c>
      <c r="F7" s="102">
        <v>12</v>
      </c>
      <c r="G7" s="102"/>
      <c r="H7" s="102">
        <v>15295341258</v>
      </c>
      <c r="I7" s="102">
        <v>110000081995</v>
      </c>
      <c r="J7" s="102">
        <v>404397876012</v>
      </c>
      <c r="K7" s="102">
        <v>2243559382469</v>
      </c>
      <c r="L7" s="102"/>
      <c r="M7" s="103">
        <v>345</v>
      </c>
      <c r="N7" s="103">
        <v>2773252681734</v>
      </c>
      <c r="O7" s="102">
        <v>68</v>
      </c>
      <c r="P7" s="102">
        <v>8</v>
      </c>
      <c r="Q7" s="102">
        <v>4</v>
      </c>
      <c r="R7" s="102"/>
      <c r="S7" s="102"/>
      <c r="T7" s="102">
        <v>6933879421</v>
      </c>
      <c r="U7" s="102">
        <v>31085155059</v>
      </c>
      <c r="V7" s="102">
        <v>135133772524</v>
      </c>
      <c r="W7" s="102"/>
      <c r="X7" s="102"/>
      <c r="Y7" s="103">
        <v>80</v>
      </c>
      <c r="Z7" s="103">
        <v>173152807004</v>
      </c>
      <c r="AA7" s="102">
        <v>16</v>
      </c>
      <c r="AB7" s="102">
        <v>2</v>
      </c>
      <c r="AC7" s="102"/>
      <c r="AD7" s="102"/>
      <c r="AE7" s="102"/>
      <c r="AF7" s="102">
        <v>1229886069</v>
      </c>
      <c r="AG7" s="102">
        <v>5721305249</v>
      </c>
      <c r="AH7" s="102"/>
      <c r="AI7" s="102"/>
      <c r="AJ7" s="102"/>
      <c r="AK7" s="103">
        <v>18</v>
      </c>
      <c r="AL7" s="103">
        <v>6951191318</v>
      </c>
      <c r="AM7" s="102">
        <v>55</v>
      </c>
      <c r="AN7" s="102">
        <v>11</v>
      </c>
      <c r="AO7" s="102">
        <v>2</v>
      </c>
      <c r="AP7" s="102"/>
      <c r="AQ7" s="102"/>
      <c r="AR7" s="102">
        <v>4596448952</v>
      </c>
      <c r="AS7" s="102">
        <v>55931412192</v>
      </c>
      <c r="AT7" s="102">
        <v>48514549119</v>
      </c>
      <c r="AU7" s="102"/>
      <c r="AV7" s="102"/>
      <c r="AW7" s="103">
        <v>68</v>
      </c>
      <c r="AX7" s="103">
        <v>109042410263</v>
      </c>
      <c r="AY7" s="102">
        <v>41</v>
      </c>
      <c r="AZ7" s="102">
        <v>4</v>
      </c>
      <c r="BA7" s="102">
        <v>2</v>
      </c>
      <c r="BB7" s="102"/>
      <c r="BC7" s="102"/>
      <c r="BD7" s="102">
        <v>2698380606</v>
      </c>
      <c r="BE7" s="102">
        <v>12447490615</v>
      </c>
      <c r="BF7" s="102">
        <v>120347410097</v>
      </c>
      <c r="BG7" s="102"/>
      <c r="BH7" s="102"/>
      <c r="BI7" s="103">
        <v>47</v>
      </c>
      <c r="BJ7" s="103">
        <v>135493281318</v>
      </c>
      <c r="BK7" s="102">
        <v>27</v>
      </c>
      <c r="BL7" s="102">
        <v>2</v>
      </c>
      <c r="BM7" s="102">
        <v>2</v>
      </c>
      <c r="BN7" s="102"/>
      <c r="BO7" s="102"/>
      <c r="BP7" s="102">
        <v>1192002816</v>
      </c>
      <c r="BQ7" s="102">
        <v>3771469992</v>
      </c>
      <c r="BR7" s="102">
        <v>23102441000</v>
      </c>
      <c r="BS7" s="102"/>
      <c r="BT7" s="102"/>
      <c r="BU7" s="103">
        <v>31</v>
      </c>
      <c r="BV7" s="103">
        <v>28065913808</v>
      </c>
      <c r="BW7" s="102"/>
      <c r="BX7" s="102"/>
      <c r="BY7" s="102"/>
      <c r="BZ7" s="102"/>
      <c r="CA7" s="103"/>
      <c r="CB7" s="103">
        <v>0</v>
      </c>
      <c r="CC7" s="102">
        <v>589</v>
      </c>
      <c r="CD7" s="102">
        <v>3225958285445</v>
      </c>
    </row>
    <row r="8" spans="1:82" x14ac:dyDescent="0.35">
      <c r="A8" s="99" t="s">
        <v>30</v>
      </c>
      <c r="B8" s="101" t="s">
        <v>31</v>
      </c>
      <c r="C8" s="102">
        <v>12503</v>
      </c>
      <c r="D8" s="102">
        <v>1372</v>
      </c>
      <c r="E8" s="102">
        <v>268</v>
      </c>
      <c r="F8" s="102">
        <v>64</v>
      </c>
      <c r="G8" s="102"/>
      <c r="H8" s="102">
        <v>1535755304524</v>
      </c>
      <c r="I8" s="102">
        <v>4137573569907</v>
      </c>
      <c r="J8" s="102">
        <v>6920329146097</v>
      </c>
      <c r="K8" s="102">
        <v>30170475931596</v>
      </c>
      <c r="L8" s="102"/>
      <c r="M8" s="103">
        <v>14207</v>
      </c>
      <c r="N8" s="103">
        <v>42764133952124</v>
      </c>
      <c r="O8" s="102">
        <v>769</v>
      </c>
      <c r="P8" s="102">
        <v>21</v>
      </c>
      <c r="Q8" s="102">
        <v>5</v>
      </c>
      <c r="R8" s="102">
        <v>2</v>
      </c>
      <c r="S8" s="102"/>
      <c r="T8" s="102">
        <v>19082226710</v>
      </c>
      <c r="U8" s="102">
        <v>74228006751</v>
      </c>
      <c r="V8" s="102">
        <v>123758336090</v>
      </c>
      <c r="W8" s="102">
        <v>494110128000</v>
      </c>
      <c r="X8" s="102"/>
      <c r="Y8" s="103">
        <v>797</v>
      </c>
      <c r="Z8" s="103">
        <v>711178697551</v>
      </c>
      <c r="AA8" s="102">
        <v>651</v>
      </c>
      <c r="AB8" s="102">
        <v>53</v>
      </c>
      <c r="AC8" s="102">
        <v>12</v>
      </c>
      <c r="AD8" s="102">
        <v>4</v>
      </c>
      <c r="AE8" s="102"/>
      <c r="AF8" s="102">
        <v>67957969840</v>
      </c>
      <c r="AG8" s="102">
        <v>159695778266</v>
      </c>
      <c r="AH8" s="102">
        <v>350010149397</v>
      </c>
      <c r="AI8" s="102">
        <v>735093585801</v>
      </c>
      <c r="AJ8" s="102"/>
      <c r="AK8" s="103">
        <v>720</v>
      </c>
      <c r="AL8" s="103">
        <v>1312757483304</v>
      </c>
      <c r="AM8" s="102">
        <v>303</v>
      </c>
      <c r="AN8" s="102">
        <v>5</v>
      </c>
      <c r="AO8" s="102"/>
      <c r="AP8" s="102">
        <v>1</v>
      </c>
      <c r="AQ8" s="102"/>
      <c r="AR8" s="102">
        <v>20157538784</v>
      </c>
      <c r="AS8" s="102">
        <v>12134376781</v>
      </c>
      <c r="AT8" s="102"/>
      <c r="AU8" s="102">
        <v>466831000000</v>
      </c>
      <c r="AV8" s="102"/>
      <c r="AW8" s="103">
        <v>309</v>
      </c>
      <c r="AX8" s="103">
        <v>499122915565</v>
      </c>
      <c r="AY8" s="102">
        <v>2080</v>
      </c>
      <c r="AZ8" s="102">
        <v>173</v>
      </c>
      <c r="BA8" s="102">
        <v>57</v>
      </c>
      <c r="BB8" s="102">
        <v>17</v>
      </c>
      <c r="BC8" s="102"/>
      <c r="BD8" s="102">
        <v>171137892328</v>
      </c>
      <c r="BE8" s="102">
        <v>541801527935</v>
      </c>
      <c r="BF8" s="102">
        <v>1602118319513</v>
      </c>
      <c r="BG8" s="102">
        <v>8190280568894</v>
      </c>
      <c r="BH8" s="102"/>
      <c r="BI8" s="103">
        <v>2327</v>
      </c>
      <c r="BJ8" s="103">
        <v>10505338308670</v>
      </c>
      <c r="BK8" s="102">
        <v>307</v>
      </c>
      <c r="BL8" s="102">
        <v>3</v>
      </c>
      <c r="BM8" s="102"/>
      <c r="BN8" s="102"/>
      <c r="BO8" s="102"/>
      <c r="BP8" s="102">
        <v>14434446941</v>
      </c>
      <c r="BQ8" s="102">
        <v>8915570478</v>
      </c>
      <c r="BR8" s="102"/>
      <c r="BS8" s="102"/>
      <c r="BT8" s="102"/>
      <c r="BU8" s="103">
        <v>310</v>
      </c>
      <c r="BV8" s="103">
        <v>23350017419</v>
      </c>
      <c r="BW8" s="102"/>
      <c r="BX8" s="102"/>
      <c r="BY8" s="102"/>
      <c r="BZ8" s="102"/>
      <c r="CA8" s="103"/>
      <c r="CB8" s="103">
        <v>0</v>
      </c>
      <c r="CC8" s="102">
        <v>18670</v>
      </c>
      <c r="CD8" s="102">
        <v>55815881374633</v>
      </c>
    </row>
    <row r="9" spans="1:82" x14ac:dyDescent="0.35">
      <c r="A9" s="99" t="s">
        <v>32</v>
      </c>
      <c r="B9" s="101" t="s">
        <v>33</v>
      </c>
      <c r="C9" s="102">
        <v>227</v>
      </c>
      <c r="D9" s="102">
        <v>20</v>
      </c>
      <c r="E9" s="102">
        <v>9</v>
      </c>
      <c r="F9" s="102">
        <v>16</v>
      </c>
      <c r="G9" s="102"/>
      <c r="H9" s="102">
        <v>9340365550</v>
      </c>
      <c r="I9" s="102">
        <v>72037358637</v>
      </c>
      <c r="J9" s="102">
        <v>97232726685</v>
      </c>
      <c r="K9" s="102">
        <v>12206696022821</v>
      </c>
      <c r="L9" s="102"/>
      <c r="M9" s="103">
        <v>272</v>
      </c>
      <c r="N9" s="103">
        <v>12385306473693</v>
      </c>
      <c r="O9" s="102">
        <v>2</v>
      </c>
      <c r="P9" s="102">
        <v>1</v>
      </c>
      <c r="Q9" s="102"/>
      <c r="R9" s="102"/>
      <c r="S9" s="102"/>
      <c r="T9" s="102">
        <v>1173052000</v>
      </c>
      <c r="U9" s="102">
        <v>2555239428</v>
      </c>
      <c r="V9" s="102"/>
      <c r="W9" s="102"/>
      <c r="X9" s="102"/>
      <c r="Y9" s="103">
        <v>3</v>
      </c>
      <c r="Z9" s="103">
        <v>3728291428</v>
      </c>
      <c r="AA9" s="102">
        <v>4</v>
      </c>
      <c r="AB9" s="102"/>
      <c r="AC9" s="102"/>
      <c r="AD9" s="102"/>
      <c r="AE9" s="102"/>
      <c r="AF9" s="102">
        <v>1024951000</v>
      </c>
      <c r="AG9" s="102"/>
      <c r="AH9" s="102"/>
      <c r="AI9" s="102"/>
      <c r="AJ9" s="102"/>
      <c r="AK9" s="103">
        <v>4</v>
      </c>
      <c r="AL9" s="103">
        <v>1024951000</v>
      </c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3">
        <v>0</v>
      </c>
      <c r="AX9" s="103">
        <v>0</v>
      </c>
      <c r="AY9" s="102">
        <v>4</v>
      </c>
      <c r="AZ9" s="102">
        <v>2</v>
      </c>
      <c r="BA9" s="102"/>
      <c r="BB9" s="102"/>
      <c r="BC9" s="102"/>
      <c r="BD9" s="102">
        <v>960316997</v>
      </c>
      <c r="BE9" s="102">
        <v>5716187994</v>
      </c>
      <c r="BF9" s="102"/>
      <c r="BG9" s="102"/>
      <c r="BH9" s="102"/>
      <c r="BI9" s="103">
        <v>6</v>
      </c>
      <c r="BJ9" s="103">
        <v>6676504991</v>
      </c>
      <c r="BK9" s="102">
        <v>3</v>
      </c>
      <c r="BL9" s="102"/>
      <c r="BM9" s="102"/>
      <c r="BN9" s="102">
        <v>1</v>
      </c>
      <c r="BO9" s="102"/>
      <c r="BP9" s="102">
        <v>294707452</v>
      </c>
      <c r="BQ9" s="102"/>
      <c r="BR9" s="102"/>
      <c r="BS9" s="102">
        <v>31776566767</v>
      </c>
      <c r="BT9" s="102"/>
      <c r="BU9" s="103">
        <v>4</v>
      </c>
      <c r="BV9" s="103">
        <v>32071274219</v>
      </c>
      <c r="BW9" s="102"/>
      <c r="BX9" s="102"/>
      <c r="BY9" s="102"/>
      <c r="BZ9" s="102"/>
      <c r="CA9" s="103"/>
      <c r="CB9" s="103">
        <v>0</v>
      </c>
      <c r="CC9" s="102">
        <v>289</v>
      </c>
      <c r="CD9" s="102">
        <v>12428807495331</v>
      </c>
    </row>
    <row r="10" spans="1:82" x14ac:dyDescent="0.35">
      <c r="A10" s="99" t="s">
        <v>34</v>
      </c>
      <c r="B10" s="101" t="s">
        <v>35</v>
      </c>
      <c r="C10" s="102">
        <v>356</v>
      </c>
      <c r="D10" s="102">
        <v>13</v>
      </c>
      <c r="E10" s="102">
        <v>7</v>
      </c>
      <c r="F10" s="102">
        <v>2</v>
      </c>
      <c r="G10" s="102"/>
      <c r="H10" s="102">
        <v>35831381843</v>
      </c>
      <c r="I10" s="102">
        <v>34227142910</v>
      </c>
      <c r="J10" s="102">
        <v>86176141512</v>
      </c>
      <c r="K10" s="102">
        <v>811370339486</v>
      </c>
      <c r="L10" s="102"/>
      <c r="M10" s="103">
        <v>378</v>
      </c>
      <c r="N10" s="103">
        <v>967605005751</v>
      </c>
      <c r="O10" s="102">
        <v>30</v>
      </c>
      <c r="P10" s="102">
        <v>8</v>
      </c>
      <c r="Q10" s="102">
        <v>1</v>
      </c>
      <c r="R10" s="102"/>
      <c r="S10" s="102"/>
      <c r="T10" s="102">
        <v>10039527495</v>
      </c>
      <c r="U10" s="102">
        <v>19416993229</v>
      </c>
      <c r="V10" s="102">
        <v>7927535094</v>
      </c>
      <c r="W10" s="102"/>
      <c r="X10" s="102"/>
      <c r="Y10" s="103">
        <v>39</v>
      </c>
      <c r="Z10" s="103">
        <v>37384055818</v>
      </c>
      <c r="AA10" s="102">
        <v>19</v>
      </c>
      <c r="AB10" s="102">
        <v>4</v>
      </c>
      <c r="AC10" s="102">
        <v>1</v>
      </c>
      <c r="AD10" s="102"/>
      <c r="AE10" s="102"/>
      <c r="AF10" s="102">
        <v>5421822224</v>
      </c>
      <c r="AG10" s="102">
        <v>7665289855</v>
      </c>
      <c r="AH10" s="102">
        <v>6341745786</v>
      </c>
      <c r="AI10" s="102"/>
      <c r="AJ10" s="102"/>
      <c r="AK10" s="103">
        <v>24</v>
      </c>
      <c r="AL10" s="103">
        <v>19428857865</v>
      </c>
      <c r="AM10" s="102">
        <v>18</v>
      </c>
      <c r="AN10" s="102">
        <v>1</v>
      </c>
      <c r="AO10" s="102"/>
      <c r="AP10" s="102"/>
      <c r="AQ10" s="102"/>
      <c r="AR10" s="102">
        <v>1319558945</v>
      </c>
      <c r="AS10" s="102">
        <v>4728913571</v>
      </c>
      <c r="AT10" s="102"/>
      <c r="AU10" s="102"/>
      <c r="AV10" s="102"/>
      <c r="AW10" s="103">
        <v>19</v>
      </c>
      <c r="AX10" s="103">
        <v>6048472516</v>
      </c>
      <c r="AY10" s="102">
        <v>101</v>
      </c>
      <c r="AZ10" s="102">
        <v>5</v>
      </c>
      <c r="BA10" s="102">
        <v>1</v>
      </c>
      <c r="BB10" s="102"/>
      <c r="BC10" s="102"/>
      <c r="BD10" s="102">
        <v>11220990327</v>
      </c>
      <c r="BE10" s="102">
        <v>22531053671</v>
      </c>
      <c r="BF10" s="102">
        <v>7908186000</v>
      </c>
      <c r="BG10" s="102"/>
      <c r="BH10" s="102"/>
      <c r="BI10" s="103">
        <v>107</v>
      </c>
      <c r="BJ10" s="103">
        <v>41660229998</v>
      </c>
      <c r="BK10" s="102">
        <v>32</v>
      </c>
      <c r="BL10" s="102">
        <v>2</v>
      </c>
      <c r="BM10" s="102"/>
      <c r="BN10" s="102"/>
      <c r="BO10" s="102"/>
      <c r="BP10" s="102">
        <v>7579806044</v>
      </c>
      <c r="BQ10" s="102">
        <v>5591793940</v>
      </c>
      <c r="BR10" s="102"/>
      <c r="BS10" s="102"/>
      <c r="BT10" s="102"/>
      <c r="BU10" s="103">
        <v>34</v>
      </c>
      <c r="BV10" s="103">
        <v>13171599984</v>
      </c>
      <c r="BW10" s="102"/>
      <c r="BX10" s="102"/>
      <c r="BY10" s="102"/>
      <c r="BZ10" s="102"/>
      <c r="CA10" s="103"/>
      <c r="CB10" s="103">
        <v>0</v>
      </c>
      <c r="CC10" s="102">
        <v>601</v>
      </c>
      <c r="CD10" s="102">
        <v>1085298221932</v>
      </c>
    </row>
    <row r="11" spans="1:82" x14ac:dyDescent="0.35">
      <c r="A11" s="99" t="s">
        <v>36</v>
      </c>
      <c r="B11" s="101" t="s">
        <v>37</v>
      </c>
      <c r="C11" s="102">
        <v>5627</v>
      </c>
      <c r="D11" s="102">
        <v>610</v>
      </c>
      <c r="E11" s="102">
        <v>239</v>
      </c>
      <c r="F11" s="102">
        <v>88</v>
      </c>
      <c r="G11" s="102"/>
      <c r="H11" s="102">
        <v>991466210463</v>
      </c>
      <c r="I11" s="102">
        <v>1856244107666</v>
      </c>
      <c r="J11" s="102">
        <v>2672930351158</v>
      </c>
      <c r="K11" s="102">
        <v>15354864096475</v>
      </c>
      <c r="L11" s="102"/>
      <c r="M11" s="103">
        <v>6564</v>
      </c>
      <c r="N11" s="103">
        <v>20875504765762</v>
      </c>
      <c r="O11" s="102">
        <v>124</v>
      </c>
      <c r="P11" s="102">
        <v>2</v>
      </c>
      <c r="Q11" s="102">
        <v>1</v>
      </c>
      <c r="R11" s="102"/>
      <c r="S11" s="102"/>
      <c r="T11" s="102">
        <v>11312699631</v>
      </c>
      <c r="U11" s="102">
        <v>5855913581</v>
      </c>
      <c r="V11" s="102">
        <v>12136004412</v>
      </c>
      <c r="W11" s="102"/>
      <c r="X11" s="102"/>
      <c r="Y11" s="103">
        <v>127</v>
      </c>
      <c r="Z11" s="103">
        <v>29304617624</v>
      </c>
      <c r="AA11" s="102">
        <v>96</v>
      </c>
      <c r="AB11" s="102">
        <v>9</v>
      </c>
      <c r="AC11" s="102">
        <v>1</v>
      </c>
      <c r="AD11" s="102"/>
      <c r="AE11" s="102"/>
      <c r="AF11" s="102">
        <v>18115922907</v>
      </c>
      <c r="AG11" s="102">
        <v>28123415740</v>
      </c>
      <c r="AH11" s="102">
        <v>13765400026</v>
      </c>
      <c r="AI11" s="102"/>
      <c r="AJ11" s="102"/>
      <c r="AK11" s="103">
        <v>106</v>
      </c>
      <c r="AL11" s="103">
        <v>60004738673</v>
      </c>
      <c r="AM11" s="102">
        <v>102</v>
      </c>
      <c r="AN11" s="102">
        <v>9</v>
      </c>
      <c r="AO11" s="102">
        <v>6</v>
      </c>
      <c r="AP11" s="102"/>
      <c r="AQ11" s="102"/>
      <c r="AR11" s="102">
        <v>7197839628</v>
      </c>
      <c r="AS11" s="102">
        <v>28302953415</v>
      </c>
      <c r="AT11" s="102">
        <v>55883340739</v>
      </c>
      <c r="AU11" s="102"/>
      <c r="AV11" s="102"/>
      <c r="AW11" s="103">
        <v>117</v>
      </c>
      <c r="AX11" s="103">
        <v>91384133782</v>
      </c>
      <c r="AY11" s="102">
        <v>933</v>
      </c>
      <c r="AZ11" s="102">
        <v>69</v>
      </c>
      <c r="BA11" s="102">
        <v>10</v>
      </c>
      <c r="BB11" s="102">
        <v>3</v>
      </c>
      <c r="BC11" s="102"/>
      <c r="BD11" s="102">
        <v>131341747322</v>
      </c>
      <c r="BE11" s="102">
        <v>193601725943</v>
      </c>
      <c r="BF11" s="102">
        <v>83931733726</v>
      </c>
      <c r="BG11" s="102">
        <v>291083799889</v>
      </c>
      <c r="BH11" s="102"/>
      <c r="BI11" s="103">
        <v>1015</v>
      </c>
      <c r="BJ11" s="103">
        <v>699959006880</v>
      </c>
      <c r="BK11" s="102">
        <v>110</v>
      </c>
      <c r="BL11" s="102">
        <v>2</v>
      </c>
      <c r="BM11" s="102"/>
      <c r="BN11" s="102">
        <v>1</v>
      </c>
      <c r="BO11" s="102"/>
      <c r="BP11" s="102">
        <v>14066248822</v>
      </c>
      <c r="BQ11" s="102">
        <v>6307844513</v>
      </c>
      <c r="BR11" s="102"/>
      <c r="BS11" s="102">
        <v>1828840189000</v>
      </c>
      <c r="BT11" s="102"/>
      <c r="BU11" s="103">
        <v>113</v>
      </c>
      <c r="BV11" s="103">
        <v>1849214282335</v>
      </c>
      <c r="BW11" s="102"/>
      <c r="BX11" s="102"/>
      <c r="BY11" s="102"/>
      <c r="BZ11" s="102"/>
      <c r="CA11" s="103"/>
      <c r="CB11" s="103">
        <v>0</v>
      </c>
      <c r="CC11" s="102">
        <v>8042</v>
      </c>
      <c r="CD11" s="102">
        <v>23605371545056</v>
      </c>
    </row>
    <row r="12" spans="1:82" x14ac:dyDescent="0.35">
      <c r="A12" s="99" t="s">
        <v>38</v>
      </c>
      <c r="B12" s="101" t="s">
        <v>39</v>
      </c>
      <c r="C12" s="102">
        <v>35588</v>
      </c>
      <c r="D12" s="102">
        <v>2052</v>
      </c>
      <c r="E12" s="102">
        <v>318</v>
      </c>
      <c r="F12" s="102">
        <v>102</v>
      </c>
      <c r="G12" s="102"/>
      <c r="H12" s="102">
        <v>4606928948447</v>
      </c>
      <c r="I12" s="102">
        <v>12496827847201</v>
      </c>
      <c r="J12" s="102">
        <v>12954018924496</v>
      </c>
      <c r="K12" s="102">
        <v>34599076530162</v>
      </c>
      <c r="L12" s="102"/>
      <c r="M12" s="103">
        <v>38060</v>
      </c>
      <c r="N12" s="103">
        <v>64656852250306</v>
      </c>
      <c r="O12" s="102">
        <v>4163</v>
      </c>
      <c r="P12" s="102">
        <v>89</v>
      </c>
      <c r="Q12" s="102">
        <v>8</v>
      </c>
      <c r="R12" s="102">
        <v>1</v>
      </c>
      <c r="S12" s="102"/>
      <c r="T12" s="102">
        <v>174671591813</v>
      </c>
      <c r="U12" s="102">
        <v>552780694105</v>
      </c>
      <c r="V12" s="102">
        <v>202947885740</v>
      </c>
      <c r="W12" s="102">
        <v>110428411000</v>
      </c>
      <c r="X12" s="102"/>
      <c r="Y12" s="103">
        <v>4261</v>
      </c>
      <c r="Z12" s="103">
        <v>1040828582658</v>
      </c>
      <c r="AA12" s="102">
        <v>2642</v>
      </c>
      <c r="AB12" s="102">
        <v>79</v>
      </c>
      <c r="AC12" s="102">
        <v>15</v>
      </c>
      <c r="AD12" s="102"/>
      <c r="AE12" s="102"/>
      <c r="AF12" s="102">
        <v>213277101950</v>
      </c>
      <c r="AG12" s="102">
        <v>450539568222</v>
      </c>
      <c r="AH12" s="102">
        <v>729539574680</v>
      </c>
      <c r="AI12" s="102"/>
      <c r="AJ12" s="102"/>
      <c r="AK12" s="103">
        <v>2736</v>
      </c>
      <c r="AL12" s="103">
        <v>1393356244852</v>
      </c>
      <c r="AM12" s="102">
        <v>1813</v>
      </c>
      <c r="AN12" s="102">
        <v>53</v>
      </c>
      <c r="AO12" s="102">
        <v>20</v>
      </c>
      <c r="AP12" s="102">
        <v>4</v>
      </c>
      <c r="AQ12" s="102"/>
      <c r="AR12" s="102">
        <v>137389057403</v>
      </c>
      <c r="AS12" s="102">
        <v>363009039791</v>
      </c>
      <c r="AT12" s="102">
        <v>812962683923</v>
      </c>
      <c r="AU12" s="102">
        <v>508692843636</v>
      </c>
      <c r="AV12" s="102"/>
      <c r="AW12" s="103">
        <v>1890</v>
      </c>
      <c r="AX12" s="103">
        <v>1822053624753</v>
      </c>
      <c r="AY12" s="102">
        <v>6518</v>
      </c>
      <c r="AZ12" s="102">
        <v>175</v>
      </c>
      <c r="BA12" s="102">
        <v>29</v>
      </c>
      <c r="BB12" s="102">
        <v>5</v>
      </c>
      <c r="BC12" s="102"/>
      <c r="BD12" s="102">
        <v>430705692065</v>
      </c>
      <c r="BE12" s="102">
        <v>1122852442362</v>
      </c>
      <c r="BF12" s="102">
        <v>1144561008627</v>
      </c>
      <c r="BG12" s="102">
        <v>1903318866279</v>
      </c>
      <c r="BH12" s="102"/>
      <c r="BI12" s="103">
        <v>6727</v>
      </c>
      <c r="BJ12" s="103">
        <v>4601438009333</v>
      </c>
      <c r="BK12" s="102">
        <v>2092</v>
      </c>
      <c r="BL12" s="102">
        <v>32</v>
      </c>
      <c r="BM12" s="102">
        <v>2</v>
      </c>
      <c r="BN12" s="102"/>
      <c r="BO12" s="102"/>
      <c r="BP12" s="102">
        <v>147607549161</v>
      </c>
      <c r="BQ12" s="102">
        <v>171285805600</v>
      </c>
      <c r="BR12" s="102">
        <v>68066900121</v>
      </c>
      <c r="BS12" s="102"/>
      <c r="BT12" s="102"/>
      <c r="BU12" s="103">
        <v>2126</v>
      </c>
      <c r="BV12" s="103">
        <v>386960254882</v>
      </c>
      <c r="BW12" s="102">
        <v>1</v>
      </c>
      <c r="BX12" s="102"/>
      <c r="BY12" s="102">
        <v>19200000</v>
      </c>
      <c r="BZ12" s="102"/>
      <c r="CA12" s="103">
        <v>2</v>
      </c>
      <c r="CB12" s="103">
        <v>19200000</v>
      </c>
      <c r="CC12" s="102">
        <v>55802</v>
      </c>
      <c r="CD12" s="102">
        <v>73901508166784</v>
      </c>
    </row>
    <row r="13" spans="1:82" x14ac:dyDescent="0.35">
      <c r="A13" s="99" t="s">
        <v>40</v>
      </c>
      <c r="B13" s="101" t="s">
        <v>41</v>
      </c>
      <c r="C13" s="102">
        <v>2301</v>
      </c>
      <c r="D13" s="102">
        <v>239</v>
      </c>
      <c r="E13" s="102">
        <v>93</v>
      </c>
      <c r="F13" s="102">
        <v>36</v>
      </c>
      <c r="G13" s="102"/>
      <c r="H13" s="102">
        <v>355603393724</v>
      </c>
      <c r="I13" s="102">
        <v>699133798651</v>
      </c>
      <c r="J13" s="102">
        <v>1044044818081</v>
      </c>
      <c r="K13" s="102">
        <v>3534988020143</v>
      </c>
      <c r="L13" s="102"/>
      <c r="M13" s="103">
        <v>2669</v>
      </c>
      <c r="N13" s="103">
        <v>5633770030599</v>
      </c>
      <c r="O13" s="102">
        <v>193</v>
      </c>
      <c r="P13" s="102">
        <v>9</v>
      </c>
      <c r="Q13" s="102">
        <v>1</v>
      </c>
      <c r="R13" s="102"/>
      <c r="S13" s="102"/>
      <c r="T13" s="102">
        <v>14354625515</v>
      </c>
      <c r="U13" s="102">
        <v>31395739311</v>
      </c>
      <c r="V13" s="102">
        <v>8880605487</v>
      </c>
      <c r="W13" s="102"/>
      <c r="X13" s="102"/>
      <c r="Y13" s="103">
        <v>203</v>
      </c>
      <c r="Z13" s="103">
        <v>54630970313</v>
      </c>
      <c r="AA13" s="102">
        <v>164</v>
      </c>
      <c r="AB13" s="102">
        <v>11</v>
      </c>
      <c r="AC13" s="102">
        <v>2</v>
      </c>
      <c r="AD13" s="102"/>
      <c r="AE13" s="102"/>
      <c r="AF13" s="102">
        <v>22268650298</v>
      </c>
      <c r="AG13" s="102">
        <v>35212193111</v>
      </c>
      <c r="AH13" s="102">
        <v>19716320487</v>
      </c>
      <c r="AI13" s="102"/>
      <c r="AJ13" s="102"/>
      <c r="AK13" s="103">
        <v>177</v>
      </c>
      <c r="AL13" s="103">
        <v>77197163896</v>
      </c>
      <c r="AM13" s="102">
        <v>68</v>
      </c>
      <c r="AN13" s="102">
        <v>1</v>
      </c>
      <c r="AO13" s="102"/>
      <c r="AP13" s="102"/>
      <c r="AQ13" s="102"/>
      <c r="AR13" s="102">
        <v>7791602084</v>
      </c>
      <c r="AS13" s="102">
        <v>1591517004</v>
      </c>
      <c r="AT13" s="102"/>
      <c r="AU13" s="102"/>
      <c r="AV13" s="102"/>
      <c r="AW13" s="103">
        <v>69</v>
      </c>
      <c r="AX13" s="103">
        <v>9383119088</v>
      </c>
      <c r="AY13" s="102">
        <v>427</v>
      </c>
      <c r="AZ13" s="102">
        <v>27</v>
      </c>
      <c r="BA13" s="102">
        <v>14</v>
      </c>
      <c r="BB13" s="102">
        <v>3</v>
      </c>
      <c r="BC13" s="102"/>
      <c r="BD13" s="102">
        <v>45729211078</v>
      </c>
      <c r="BE13" s="102">
        <v>85213044949</v>
      </c>
      <c r="BF13" s="102">
        <v>137783977982</v>
      </c>
      <c r="BG13" s="102">
        <v>941795058724</v>
      </c>
      <c r="BH13" s="102"/>
      <c r="BI13" s="103">
        <v>471</v>
      </c>
      <c r="BJ13" s="103">
        <v>1210521292733</v>
      </c>
      <c r="BK13" s="102">
        <v>86</v>
      </c>
      <c r="BL13" s="102">
        <v>5</v>
      </c>
      <c r="BM13" s="102"/>
      <c r="BN13" s="102"/>
      <c r="BO13" s="102"/>
      <c r="BP13" s="102">
        <v>4417646878</v>
      </c>
      <c r="BQ13" s="102">
        <v>17087710110</v>
      </c>
      <c r="BR13" s="102"/>
      <c r="BS13" s="102"/>
      <c r="BT13" s="102"/>
      <c r="BU13" s="103">
        <v>91</v>
      </c>
      <c r="BV13" s="103">
        <v>21505356988</v>
      </c>
      <c r="BW13" s="102"/>
      <c r="BX13" s="102"/>
      <c r="BY13" s="102"/>
      <c r="BZ13" s="102"/>
      <c r="CA13" s="103"/>
      <c r="CB13" s="103">
        <v>0</v>
      </c>
      <c r="CC13" s="102">
        <v>3680</v>
      </c>
      <c r="CD13" s="102">
        <v>7007007933617</v>
      </c>
    </row>
    <row r="14" spans="1:82" x14ac:dyDescent="0.35">
      <c r="A14" s="99" t="s">
        <v>42</v>
      </c>
      <c r="B14" s="101" t="s">
        <v>43</v>
      </c>
      <c r="C14" s="102">
        <v>10500</v>
      </c>
      <c r="D14" s="102">
        <v>279</v>
      </c>
      <c r="E14" s="102">
        <v>89</v>
      </c>
      <c r="F14" s="102">
        <v>16</v>
      </c>
      <c r="G14" s="102"/>
      <c r="H14" s="102">
        <v>633726107844</v>
      </c>
      <c r="I14" s="102">
        <v>832927223075</v>
      </c>
      <c r="J14" s="102">
        <v>953257846029</v>
      </c>
      <c r="K14" s="102">
        <v>948519842237</v>
      </c>
      <c r="L14" s="102"/>
      <c r="M14" s="103">
        <v>10884</v>
      </c>
      <c r="N14" s="103">
        <v>3368431019185</v>
      </c>
      <c r="O14" s="102">
        <v>2310</v>
      </c>
      <c r="P14" s="102">
        <v>3</v>
      </c>
      <c r="Q14" s="102"/>
      <c r="R14" s="102"/>
      <c r="S14" s="102"/>
      <c r="T14" s="102">
        <v>38108372013</v>
      </c>
      <c r="U14" s="102">
        <v>6569224515</v>
      </c>
      <c r="V14" s="102"/>
      <c r="W14" s="102"/>
      <c r="X14" s="102"/>
      <c r="Y14" s="103">
        <v>2313</v>
      </c>
      <c r="Z14" s="103">
        <v>44677596528</v>
      </c>
      <c r="AA14" s="102">
        <v>1347</v>
      </c>
      <c r="AB14" s="102">
        <v>2</v>
      </c>
      <c r="AC14" s="102">
        <v>1</v>
      </c>
      <c r="AD14" s="102"/>
      <c r="AE14" s="102"/>
      <c r="AF14" s="102">
        <v>41348624694</v>
      </c>
      <c r="AG14" s="102">
        <v>5631722000</v>
      </c>
      <c r="AH14" s="102">
        <v>10191493000</v>
      </c>
      <c r="AI14" s="102"/>
      <c r="AJ14" s="102"/>
      <c r="AK14" s="103">
        <v>1350</v>
      </c>
      <c r="AL14" s="103">
        <v>57171839694</v>
      </c>
      <c r="AM14" s="102">
        <v>464</v>
      </c>
      <c r="AN14" s="102">
        <v>1</v>
      </c>
      <c r="AO14" s="102"/>
      <c r="AP14" s="102"/>
      <c r="AQ14" s="102"/>
      <c r="AR14" s="102">
        <v>14117921049</v>
      </c>
      <c r="AS14" s="102">
        <v>3274502358</v>
      </c>
      <c r="AT14" s="102"/>
      <c r="AU14" s="102"/>
      <c r="AV14" s="102"/>
      <c r="AW14" s="103">
        <v>465</v>
      </c>
      <c r="AX14" s="103">
        <v>17392423407</v>
      </c>
      <c r="AY14" s="102">
        <v>2253</v>
      </c>
      <c r="AZ14" s="102">
        <v>10</v>
      </c>
      <c r="BA14" s="102"/>
      <c r="BB14" s="102"/>
      <c r="BC14" s="102"/>
      <c r="BD14" s="102">
        <v>73273266058</v>
      </c>
      <c r="BE14" s="102">
        <v>23967811803</v>
      </c>
      <c r="BF14" s="102"/>
      <c r="BG14" s="102"/>
      <c r="BH14" s="102"/>
      <c r="BI14" s="103">
        <v>2263</v>
      </c>
      <c r="BJ14" s="103">
        <v>97241077861</v>
      </c>
      <c r="BK14" s="102">
        <v>1201</v>
      </c>
      <c r="BL14" s="102">
        <v>8</v>
      </c>
      <c r="BM14" s="102">
        <v>2</v>
      </c>
      <c r="BN14" s="102"/>
      <c r="BO14" s="102"/>
      <c r="BP14" s="102">
        <v>45991432467</v>
      </c>
      <c r="BQ14" s="102">
        <v>20196340555</v>
      </c>
      <c r="BR14" s="102">
        <v>20969864634</v>
      </c>
      <c r="BS14" s="102"/>
      <c r="BT14" s="102"/>
      <c r="BU14" s="103">
        <v>1211</v>
      </c>
      <c r="BV14" s="103">
        <v>87157637656</v>
      </c>
      <c r="BW14" s="102"/>
      <c r="BX14" s="102"/>
      <c r="BY14" s="102"/>
      <c r="BZ14" s="102"/>
      <c r="CA14" s="103"/>
      <c r="CB14" s="103">
        <v>0</v>
      </c>
      <c r="CC14" s="102">
        <v>18486</v>
      </c>
      <c r="CD14" s="102">
        <v>3672071594331</v>
      </c>
    </row>
    <row r="15" spans="1:82" x14ac:dyDescent="0.35">
      <c r="A15" s="99" t="s">
        <v>44</v>
      </c>
      <c r="B15" s="101" t="s">
        <v>45</v>
      </c>
      <c r="C15" s="102">
        <v>3542</v>
      </c>
      <c r="D15" s="102">
        <v>311</v>
      </c>
      <c r="E15" s="102">
        <v>108</v>
      </c>
      <c r="F15" s="102">
        <v>54</v>
      </c>
      <c r="G15" s="102"/>
      <c r="H15" s="102">
        <v>555870932425</v>
      </c>
      <c r="I15" s="102">
        <v>948758189937</v>
      </c>
      <c r="J15" s="102">
        <v>1197720784334</v>
      </c>
      <c r="K15" s="102">
        <v>8023410909286</v>
      </c>
      <c r="L15" s="102"/>
      <c r="M15" s="103">
        <v>4015</v>
      </c>
      <c r="N15" s="103">
        <v>10725760815982</v>
      </c>
      <c r="O15" s="102">
        <v>90</v>
      </c>
      <c r="P15" s="102">
        <v>1</v>
      </c>
      <c r="Q15" s="102"/>
      <c r="R15" s="102"/>
      <c r="S15" s="102"/>
      <c r="T15" s="102">
        <v>9237764196</v>
      </c>
      <c r="U15" s="102">
        <v>4800245000</v>
      </c>
      <c r="V15" s="102"/>
      <c r="W15" s="102"/>
      <c r="X15" s="102"/>
      <c r="Y15" s="103">
        <v>91</v>
      </c>
      <c r="Z15" s="103">
        <v>14038009196</v>
      </c>
      <c r="AA15" s="102">
        <v>68</v>
      </c>
      <c r="AB15" s="102">
        <v>4</v>
      </c>
      <c r="AC15" s="102"/>
      <c r="AD15" s="102"/>
      <c r="AE15" s="102"/>
      <c r="AF15" s="102">
        <v>7156475753</v>
      </c>
      <c r="AG15" s="102">
        <v>11563208183</v>
      </c>
      <c r="AH15" s="102"/>
      <c r="AI15" s="102"/>
      <c r="AJ15" s="102"/>
      <c r="AK15" s="103">
        <v>72</v>
      </c>
      <c r="AL15" s="103">
        <v>18719683936</v>
      </c>
      <c r="AM15" s="102">
        <v>44</v>
      </c>
      <c r="AN15" s="102"/>
      <c r="AO15" s="102"/>
      <c r="AP15" s="102"/>
      <c r="AQ15" s="102"/>
      <c r="AR15" s="102">
        <v>4533104746</v>
      </c>
      <c r="AS15" s="102"/>
      <c r="AT15" s="102"/>
      <c r="AU15" s="102"/>
      <c r="AV15" s="102"/>
      <c r="AW15" s="103">
        <v>44</v>
      </c>
      <c r="AX15" s="103">
        <v>4533104746</v>
      </c>
      <c r="AY15" s="102">
        <v>266</v>
      </c>
      <c r="AZ15" s="102">
        <v>6</v>
      </c>
      <c r="BA15" s="102"/>
      <c r="BB15" s="102"/>
      <c r="BC15" s="102"/>
      <c r="BD15" s="102">
        <v>21874051367</v>
      </c>
      <c r="BE15" s="102">
        <v>19106901721</v>
      </c>
      <c r="BF15" s="102"/>
      <c r="BG15" s="102"/>
      <c r="BH15" s="102"/>
      <c r="BI15" s="103">
        <v>272</v>
      </c>
      <c r="BJ15" s="103">
        <v>40980953088</v>
      </c>
      <c r="BK15" s="102">
        <v>42</v>
      </c>
      <c r="BL15" s="102">
        <v>1</v>
      </c>
      <c r="BM15" s="102"/>
      <c r="BN15" s="102"/>
      <c r="BO15" s="102"/>
      <c r="BP15" s="102">
        <v>5145103570</v>
      </c>
      <c r="BQ15" s="102">
        <v>3146652000</v>
      </c>
      <c r="BR15" s="102"/>
      <c r="BS15" s="102"/>
      <c r="BT15" s="102"/>
      <c r="BU15" s="103">
        <v>43</v>
      </c>
      <c r="BV15" s="103">
        <v>8291755570</v>
      </c>
      <c r="BW15" s="102"/>
      <c r="BX15" s="102"/>
      <c r="BY15" s="102"/>
      <c r="BZ15" s="102"/>
      <c r="CA15" s="103"/>
      <c r="CB15" s="103">
        <v>0</v>
      </c>
      <c r="CC15" s="102">
        <v>4537</v>
      </c>
      <c r="CD15" s="102">
        <v>10812324322518</v>
      </c>
    </row>
    <row r="16" spans="1:82" x14ac:dyDescent="0.35">
      <c r="A16" s="99" t="s">
        <v>46</v>
      </c>
      <c r="B16" s="101" t="s">
        <v>47</v>
      </c>
      <c r="C16" s="102">
        <v>1871</v>
      </c>
      <c r="D16" s="102">
        <v>140</v>
      </c>
      <c r="E16" s="102">
        <v>43</v>
      </c>
      <c r="F16" s="102">
        <v>42</v>
      </c>
      <c r="G16" s="102"/>
      <c r="H16" s="102">
        <v>344244516414</v>
      </c>
      <c r="I16" s="102">
        <v>447160842579</v>
      </c>
      <c r="J16" s="102">
        <v>501756682841</v>
      </c>
      <c r="K16" s="102">
        <v>83822420278347</v>
      </c>
      <c r="L16" s="102"/>
      <c r="M16" s="103">
        <v>2096</v>
      </c>
      <c r="N16" s="103">
        <v>85115582320181</v>
      </c>
      <c r="O16" s="102">
        <v>21</v>
      </c>
      <c r="P16" s="102">
        <v>1</v>
      </c>
      <c r="Q16" s="102"/>
      <c r="R16" s="102"/>
      <c r="S16" s="102"/>
      <c r="T16" s="102">
        <v>3653077969</v>
      </c>
      <c r="U16" s="102">
        <v>2902205559</v>
      </c>
      <c r="V16" s="102"/>
      <c r="W16" s="102"/>
      <c r="X16" s="102"/>
      <c r="Y16" s="103">
        <v>22</v>
      </c>
      <c r="Z16" s="103">
        <v>6555283528</v>
      </c>
      <c r="AA16" s="102">
        <v>9</v>
      </c>
      <c r="AB16" s="102"/>
      <c r="AC16" s="102"/>
      <c r="AD16" s="102"/>
      <c r="AE16" s="102"/>
      <c r="AF16" s="102">
        <v>464123036</v>
      </c>
      <c r="AG16" s="102"/>
      <c r="AH16" s="102"/>
      <c r="AI16" s="102"/>
      <c r="AJ16" s="102"/>
      <c r="AK16" s="103">
        <v>9</v>
      </c>
      <c r="AL16" s="103">
        <v>464123036</v>
      </c>
      <c r="AM16" s="102">
        <v>9</v>
      </c>
      <c r="AN16" s="102"/>
      <c r="AO16" s="102"/>
      <c r="AP16" s="102"/>
      <c r="AQ16" s="102"/>
      <c r="AR16" s="102">
        <v>151200000</v>
      </c>
      <c r="AS16" s="102"/>
      <c r="AT16" s="102"/>
      <c r="AU16" s="102"/>
      <c r="AV16" s="102"/>
      <c r="AW16" s="103">
        <v>9</v>
      </c>
      <c r="AX16" s="103">
        <v>151200000</v>
      </c>
      <c r="AY16" s="102">
        <v>64</v>
      </c>
      <c r="AZ16" s="102">
        <v>1</v>
      </c>
      <c r="BA16" s="102"/>
      <c r="BB16" s="102"/>
      <c r="BC16" s="102"/>
      <c r="BD16" s="102">
        <v>3183587066</v>
      </c>
      <c r="BE16" s="102">
        <v>1547945000</v>
      </c>
      <c r="BF16" s="102"/>
      <c r="BG16" s="102"/>
      <c r="BH16" s="102"/>
      <c r="BI16" s="103">
        <v>65</v>
      </c>
      <c r="BJ16" s="103">
        <v>4731532066</v>
      </c>
      <c r="BK16" s="102">
        <v>6</v>
      </c>
      <c r="BL16" s="102"/>
      <c r="BM16" s="102"/>
      <c r="BN16" s="102"/>
      <c r="BO16" s="102"/>
      <c r="BP16" s="102">
        <v>1157486028</v>
      </c>
      <c r="BQ16" s="102"/>
      <c r="BR16" s="102"/>
      <c r="BS16" s="102"/>
      <c r="BT16" s="102"/>
      <c r="BU16" s="103">
        <v>6</v>
      </c>
      <c r="BV16" s="103">
        <v>1157486028</v>
      </c>
      <c r="BW16" s="102"/>
      <c r="BX16" s="102"/>
      <c r="BY16" s="102"/>
      <c r="BZ16" s="102"/>
      <c r="CA16" s="103"/>
      <c r="CB16" s="103">
        <v>0</v>
      </c>
      <c r="CC16" s="102">
        <v>2207</v>
      </c>
      <c r="CD16" s="102">
        <v>85128641944839</v>
      </c>
    </row>
    <row r="17" spans="1:82" x14ac:dyDescent="0.35">
      <c r="A17" s="99" t="s">
        <v>48</v>
      </c>
      <c r="B17" s="101" t="s">
        <v>49</v>
      </c>
      <c r="C17" s="102">
        <v>8669</v>
      </c>
      <c r="D17" s="102">
        <v>315</v>
      </c>
      <c r="E17" s="102">
        <v>69</v>
      </c>
      <c r="F17" s="102">
        <v>21</v>
      </c>
      <c r="G17" s="102"/>
      <c r="H17" s="102">
        <v>1071406268736</v>
      </c>
      <c r="I17" s="102">
        <v>873767105229</v>
      </c>
      <c r="J17" s="102">
        <v>689306361545</v>
      </c>
      <c r="K17" s="102">
        <v>1312718177647</v>
      </c>
      <c r="L17" s="102"/>
      <c r="M17" s="103">
        <v>9074</v>
      </c>
      <c r="N17" s="103">
        <v>3947197913157</v>
      </c>
      <c r="O17" s="102">
        <v>87</v>
      </c>
      <c r="P17" s="102">
        <v>2</v>
      </c>
      <c r="Q17" s="102"/>
      <c r="R17" s="102"/>
      <c r="S17" s="102"/>
      <c r="T17" s="102">
        <v>6206763802</v>
      </c>
      <c r="U17" s="102">
        <v>4511714691</v>
      </c>
      <c r="V17" s="102"/>
      <c r="W17" s="102"/>
      <c r="X17" s="102"/>
      <c r="Y17" s="103">
        <v>89</v>
      </c>
      <c r="Z17" s="103">
        <v>10718478493</v>
      </c>
      <c r="AA17" s="102">
        <v>64</v>
      </c>
      <c r="AB17" s="102">
        <v>1</v>
      </c>
      <c r="AC17" s="102"/>
      <c r="AD17" s="102"/>
      <c r="AE17" s="102"/>
      <c r="AF17" s="102">
        <v>5244420088</v>
      </c>
      <c r="AG17" s="102">
        <v>1602252289</v>
      </c>
      <c r="AH17" s="102"/>
      <c r="AI17" s="102"/>
      <c r="AJ17" s="102"/>
      <c r="AK17" s="103">
        <v>65</v>
      </c>
      <c r="AL17" s="103">
        <v>6846672377</v>
      </c>
      <c r="AM17" s="102">
        <v>24</v>
      </c>
      <c r="AN17" s="102"/>
      <c r="AO17" s="102"/>
      <c r="AP17" s="102"/>
      <c r="AQ17" s="102"/>
      <c r="AR17" s="102">
        <v>1514902699</v>
      </c>
      <c r="AS17" s="102"/>
      <c r="AT17" s="102"/>
      <c r="AU17" s="102"/>
      <c r="AV17" s="102"/>
      <c r="AW17" s="103">
        <v>24</v>
      </c>
      <c r="AX17" s="103">
        <v>1514902699</v>
      </c>
      <c r="AY17" s="102">
        <v>279</v>
      </c>
      <c r="AZ17" s="102">
        <v>7</v>
      </c>
      <c r="BA17" s="102"/>
      <c r="BB17" s="102"/>
      <c r="BC17" s="102"/>
      <c r="BD17" s="102">
        <v>20864470578</v>
      </c>
      <c r="BE17" s="102">
        <v>17625474732</v>
      </c>
      <c r="BF17" s="102"/>
      <c r="BG17" s="102"/>
      <c r="BH17" s="102"/>
      <c r="BI17" s="103">
        <v>286</v>
      </c>
      <c r="BJ17" s="103">
        <v>38489945310</v>
      </c>
      <c r="BK17" s="102">
        <v>60</v>
      </c>
      <c r="BL17" s="102">
        <v>1</v>
      </c>
      <c r="BM17" s="102"/>
      <c r="BN17" s="102"/>
      <c r="BO17" s="102"/>
      <c r="BP17" s="102">
        <v>7533265824</v>
      </c>
      <c r="BQ17" s="102">
        <v>1547890865</v>
      </c>
      <c r="BR17" s="102"/>
      <c r="BS17" s="102"/>
      <c r="BT17" s="102"/>
      <c r="BU17" s="103">
        <v>61</v>
      </c>
      <c r="BV17" s="103">
        <v>9081156689</v>
      </c>
      <c r="BW17" s="102"/>
      <c r="BX17" s="102">
        <v>1</v>
      </c>
      <c r="BY17" s="102"/>
      <c r="BZ17" s="102">
        <v>1632657036</v>
      </c>
      <c r="CA17" s="103">
        <v>1</v>
      </c>
      <c r="CB17" s="103">
        <v>1632657036</v>
      </c>
      <c r="CC17" s="102">
        <v>9600</v>
      </c>
      <c r="CD17" s="102">
        <v>4015481725761</v>
      </c>
    </row>
    <row r="18" spans="1:82" x14ac:dyDescent="0.35">
      <c r="A18" s="99" t="s">
        <v>50</v>
      </c>
      <c r="B18" s="101" t="s">
        <v>51</v>
      </c>
      <c r="C18" s="102">
        <v>11314</v>
      </c>
      <c r="D18" s="102">
        <v>632</v>
      </c>
      <c r="E18" s="102">
        <v>143</v>
      </c>
      <c r="F18" s="102">
        <v>41</v>
      </c>
      <c r="G18" s="102"/>
      <c r="H18" s="102">
        <v>1658186909185</v>
      </c>
      <c r="I18" s="102">
        <v>1818079190757</v>
      </c>
      <c r="J18" s="102">
        <v>1611784286166</v>
      </c>
      <c r="K18" s="102">
        <v>3592051354271</v>
      </c>
      <c r="L18" s="102"/>
      <c r="M18" s="103">
        <v>12130</v>
      </c>
      <c r="N18" s="103">
        <v>8680101740379</v>
      </c>
      <c r="O18" s="102">
        <v>139</v>
      </c>
      <c r="P18" s="102">
        <v>1</v>
      </c>
      <c r="Q18" s="102"/>
      <c r="R18" s="102">
        <v>1</v>
      </c>
      <c r="S18" s="102"/>
      <c r="T18" s="102">
        <v>10599331328</v>
      </c>
      <c r="U18" s="102">
        <v>2430098199</v>
      </c>
      <c r="V18" s="102"/>
      <c r="W18" s="102">
        <v>568000000000</v>
      </c>
      <c r="X18" s="102"/>
      <c r="Y18" s="103">
        <v>141</v>
      </c>
      <c r="Z18" s="103">
        <v>581029429527</v>
      </c>
      <c r="AA18" s="102">
        <v>116</v>
      </c>
      <c r="AB18" s="102">
        <v>1</v>
      </c>
      <c r="AC18" s="102">
        <v>1</v>
      </c>
      <c r="AD18" s="102"/>
      <c r="AE18" s="102"/>
      <c r="AF18" s="102">
        <v>10330581736</v>
      </c>
      <c r="AG18" s="102">
        <v>2639160895</v>
      </c>
      <c r="AH18" s="102">
        <v>12946875200</v>
      </c>
      <c r="AI18" s="102"/>
      <c r="AJ18" s="102"/>
      <c r="AK18" s="103">
        <v>118</v>
      </c>
      <c r="AL18" s="103">
        <v>25916617831</v>
      </c>
      <c r="AM18" s="102">
        <v>100</v>
      </c>
      <c r="AN18" s="102">
        <v>1</v>
      </c>
      <c r="AO18" s="102">
        <v>1</v>
      </c>
      <c r="AP18" s="102"/>
      <c r="AQ18" s="102"/>
      <c r="AR18" s="102">
        <v>6393319570</v>
      </c>
      <c r="AS18" s="102">
        <v>1784812000</v>
      </c>
      <c r="AT18" s="102">
        <v>13643281688</v>
      </c>
      <c r="AU18" s="102"/>
      <c r="AV18" s="102"/>
      <c r="AW18" s="103">
        <v>102</v>
      </c>
      <c r="AX18" s="103">
        <v>21821413258</v>
      </c>
      <c r="AY18" s="102">
        <v>599</v>
      </c>
      <c r="AZ18" s="102">
        <v>11</v>
      </c>
      <c r="BA18" s="102">
        <v>3</v>
      </c>
      <c r="BB18" s="102"/>
      <c r="BC18" s="102"/>
      <c r="BD18" s="102">
        <v>44588416238</v>
      </c>
      <c r="BE18" s="102">
        <v>28845698466</v>
      </c>
      <c r="BF18" s="102">
        <v>23376959859</v>
      </c>
      <c r="BG18" s="102"/>
      <c r="BH18" s="102"/>
      <c r="BI18" s="103">
        <v>613</v>
      </c>
      <c r="BJ18" s="103">
        <v>96811074563</v>
      </c>
      <c r="BK18" s="102">
        <v>87</v>
      </c>
      <c r="BL18" s="102">
        <v>5</v>
      </c>
      <c r="BM18" s="102"/>
      <c r="BN18" s="102"/>
      <c r="BO18" s="102"/>
      <c r="BP18" s="102">
        <v>5844996380</v>
      </c>
      <c r="BQ18" s="102">
        <v>19382425374</v>
      </c>
      <c r="BR18" s="102"/>
      <c r="BS18" s="102"/>
      <c r="BT18" s="102"/>
      <c r="BU18" s="103">
        <v>92</v>
      </c>
      <c r="BV18" s="103">
        <v>25227421754</v>
      </c>
      <c r="BW18" s="102"/>
      <c r="BX18" s="102"/>
      <c r="BY18" s="102"/>
      <c r="BZ18" s="102"/>
      <c r="CA18" s="103"/>
      <c r="CB18" s="103">
        <v>0</v>
      </c>
      <c r="CC18" s="102">
        <v>13196</v>
      </c>
      <c r="CD18" s="102">
        <v>9430907697312</v>
      </c>
    </row>
    <row r="19" spans="1:82" x14ac:dyDescent="0.35">
      <c r="A19" s="99" t="s">
        <v>52</v>
      </c>
      <c r="B19" s="101" t="s">
        <v>53</v>
      </c>
      <c r="C19" s="102">
        <v>5074</v>
      </c>
      <c r="D19" s="102">
        <v>275</v>
      </c>
      <c r="E19" s="102">
        <v>86</v>
      </c>
      <c r="F19" s="102">
        <v>64</v>
      </c>
      <c r="G19" s="102"/>
      <c r="H19" s="102">
        <v>571270814294</v>
      </c>
      <c r="I19" s="102">
        <v>815326061688</v>
      </c>
      <c r="J19" s="102">
        <v>1005494591242</v>
      </c>
      <c r="K19" s="102">
        <v>7887490449213</v>
      </c>
      <c r="L19" s="102"/>
      <c r="M19" s="103">
        <v>5499</v>
      </c>
      <c r="N19" s="103">
        <v>10279581916437</v>
      </c>
      <c r="O19" s="102">
        <v>240</v>
      </c>
      <c r="P19" s="102">
        <v>1</v>
      </c>
      <c r="Q19" s="102">
        <v>1</v>
      </c>
      <c r="R19" s="102"/>
      <c r="S19" s="102"/>
      <c r="T19" s="102">
        <v>6811095370</v>
      </c>
      <c r="U19" s="102">
        <v>1735041000</v>
      </c>
      <c r="V19" s="102">
        <v>18147440627</v>
      </c>
      <c r="W19" s="102"/>
      <c r="X19" s="102"/>
      <c r="Y19" s="103">
        <v>242</v>
      </c>
      <c r="Z19" s="103">
        <v>26693576997</v>
      </c>
      <c r="AA19" s="102">
        <v>106</v>
      </c>
      <c r="AB19" s="102">
        <v>1</v>
      </c>
      <c r="AC19" s="102"/>
      <c r="AD19" s="102"/>
      <c r="AE19" s="102"/>
      <c r="AF19" s="102">
        <v>3344204916</v>
      </c>
      <c r="AG19" s="102">
        <v>4255607000</v>
      </c>
      <c r="AH19" s="102"/>
      <c r="AI19" s="102"/>
      <c r="AJ19" s="102"/>
      <c r="AK19" s="103">
        <v>107</v>
      </c>
      <c r="AL19" s="103">
        <v>7599811916</v>
      </c>
      <c r="AM19" s="102">
        <v>91</v>
      </c>
      <c r="AN19" s="102">
        <v>3</v>
      </c>
      <c r="AO19" s="102"/>
      <c r="AP19" s="102"/>
      <c r="AQ19" s="102"/>
      <c r="AR19" s="102">
        <v>6809226697</v>
      </c>
      <c r="AS19" s="102">
        <v>8582827791</v>
      </c>
      <c r="AT19" s="102"/>
      <c r="AU19" s="102"/>
      <c r="AV19" s="102"/>
      <c r="AW19" s="103">
        <v>94</v>
      </c>
      <c r="AX19" s="103">
        <v>15392054488</v>
      </c>
      <c r="AY19" s="102">
        <v>631</v>
      </c>
      <c r="AZ19" s="102">
        <v>3</v>
      </c>
      <c r="BA19" s="102">
        <v>4</v>
      </c>
      <c r="BB19" s="102">
        <v>3</v>
      </c>
      <c r="BC19" s="102"/>
      <c r="BD19" s="102">
        <v>32730036238</v>
      </c>
      <c r="BE19" s="102">
        <v>10680985682</v>
      </c>
      <c r="BF19" s="102">
        <v>31856152360</v>
      </c>
      <c r="BG19" s="102">
        <v>193084254023</v>
      </c>
      <c r="BH19" s="102"/>
      <c r="BI19" s="103">
        <v>641</v>
      </c>
      <c r="BJ19" s="103">
        <v>268351428303</v>
      </c>
      <c r="BK19" s="102">
        <v>85</v>
      </c>
      <c r="BL19" s="102">
        <v>4</v>
      </c>
      <c r="BM19" s="102"/>
      <c r="BN19" s="102"/>
      <c r="BO19" s="102"/>
      <c r="BP19" s="102">
        <v>7824785623</v>
      </c>
      <c r="BQ19" s="102">
        <v>10688925850</v>
      </c>
      <c r="BR19" s="102"/>
      <c r="BS19" s="102"/>
      <c r="BT19" s="102"/>
      <c r="BU19" s="103">
        <v>89</v>
      </c>
      <c r="BV19" s="103">
        <v>18513711473</v>
      </c>
      <c r="BW19" s="102"/>
      <c r="BX19" s="102"/>
      <c r="BY19" s="102"/>
      <c r="BZ19" s="102"/>
      <c r="CA19" s="103"/>
      <c r="CB19" s="103">
        <v>0</v>
      </c>
      <c r="CC19" s="102">
        <v>6672</v>
      </c>
      <c r="CD19" s="102">
        <v>10616132499614</v>
      </c>
    </row>
    <row r="20" spans="1:82" x14ac:dyDescent="0.35">
      <c r="A20" s="99" t="s">
        <v>54</v>
      </c>
      <c r="B20" s="101" t="s">
        <v>55</v>
      </c>
      <c r="C20" s="102">
        <v>23</v>
      </c>
      <c r="D20" s="102">
        <v>3</v>
      </c>
      <c r="E20" s="102"/>
      <c r="F20" s="102">
        <v>1</v>
      </c>
      <c r="G20" s="102"/>
      <c r="H20" s="102">
        <v>2251208988</v>
      </c>
      <c r="I20" s="102">
        <v>8400480591</v>
      </c>
      <c r="J20" s="102"/>
      <c r="K20" s="102">
        <v>2521842497857</v>
      </c>
      <c r="L20" s="102"/>
      <c r="M20" s="103">
        <v>27</v>
      </c>
      <c r="N20" s="103">
        <v>2532494187436</v>
      </c>
      <c r="O20" s="102">
        <v>1</v>
      </c>
      <c r="P20" s="102"/>
      <c r="Q20" s="102"/>
      <c r="R20" s="102"/>
      <c r="S20" s="102"/>
      <c r="T20" s="102">
        <v>1181331567</v>
      </c>
      <c r="U20" s="102"/>
      <c r="V20" s="102"/>
      <c r="W20" s="102"/>
      <c r="X20" s="102"/>
      <c r="Y20" s="103">
        <v>1</v>
      </c>
      <c r="Z20" s="103">
        <v>1181331567</v>
      </c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3">
        <v>0</v>
      </c>
      <c r="AL20" s="103">
        <v>0</v>
      </c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3">
        <v>0</v>
      </c>
      <c r="AX20" s="103">
        <v>0</v>
      </c>
      <c r="AY20" s="102">
        <v>2</v>
      </c>
      <c r="AZ20" s="102"/>
      <c r="BA20" s="102"/>
      <c r="BB20" s="102"/>
      <c r="BC20" s="102"/>
      <c r="BD20" s="102">
        <v>107729691</v>
      </c>
      <c r="BE20" s="102"/>
      <c r="BF20" s="102"/>
      <c r="BG20" s="102"/>
      <c r="BH20" s="102"/>
      <c r="BI20" s="103">
        <v>2</v>
      </c>
      <c r="BJ20" s="103">
        <v>107729691</v>
      </c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3">
        <v>0</v>
      </c>
      <c r="BV20" s="103">
        <v>0</v>
      </c>
      <c r="BW20" s="102"/>
      <c r="BX20" s="102"/>
      <c r="BY20" s="102"/>
      <c r="BZ20" s="102"/>
      <c r="CA20" s="103"/>
      <c r="CB20" s="103">
        <v>0</v>
      </c>
      <c r="CC20" s="102">
        <v>30</v>
      </c>
      <c r="CD20" s="102">
        <v>2533783248694</v>
      </c>
    </row>
    <row r="21" spans="1:82" x14ac:dyDescent="0.35">
      <c r="A21" s="99" t="s">
        <v>56</v>
      </c>
      <c r="B21" s="101" t="s">
        <v>57</v>
      </c>
      <c r="C21" s="102">
        <v>1013</v>
      </c>
      <c r="D21" s="102">
        <v>52</v>
      </c>
      <c r="E21" s="102">
        <v>11</v>
      </c>
      <c r="F21" s="102">
        <v>4</v>
      </c>
      <c r="G21" s="102"/>
      <c r="H21" s="102">
        <v>138828523051</v>
      </c>
      <c r="I21" s="102">
        <v>152135080076</v>
      </c>
      <c r="J21" s="102">
        <v>118966069964</v>
      </c>
      <c r="K21" s="102">
        <v>142578808294</v>
      </c>
      <c r="L21" s="102"/>
      <c r="M21" s="103">
        <v>1080</v>
      </c>
      <c r="N21" s="103">
        <v>552508481385</v>
      </c>
      <c r="O21" s="102">
        <v>29</v>
      </c>
      <c r="P21" s="102">
        <v>1</v>
      </c>
      <c r="Q21" s="102"/>
      <c r="R21" s="102"/>
      <c r="S21" s="102"/>
      <c r="T21" s="102">
        <v>1880169001</v>
      </c>
      <c r="U21" s="102">
        <v>1546521000</v>
      </c>
      <c r="V21" s="102"/>
      <c r="W21" s="102"/>
      <c r="X21" s="102"/>
      <c r="Y21" s="103">
        <v>30</v>
      </c>
      <c r="Z21" s="103">
        <v>3426690001</v>
      </c>
      <c r="AA21" s="102">
        <v>21</v>
      </c>
      <c r="AB21" s="102"/>
      <c r="AC21" s="102"/>
      <c r="AD21" s="102"/>
      <c r="AE21" s="102"/>
      <c r="AF21" s="102">
        <v>2838538400</v>
      </c>
      <c r="AG21" s="102"/>
      <c r="AH21" s="102"/>
      <c r="AI21" s="102"/>
      <c r="AJ21" s="102"/>
      <c r="AK21" s="103">
        <v>21</v>
      </c>
      <c r="AL21" s="103">
        <v>2838538400</v>
      </c>
      <c r="AM21" s="102">
        <v>27</v>
      </c>
      <c r="AN21" s="102"/>
      <c r="AO21" s="102"/>
      <c r="AP21" s="102"/>
      <c r="AQ21" s="102"/>
      <c r="AR21" s="102">
        <v>1902742000</v>
      </c>
      <c r="AS21" s="102"/>
      <c r="AT21" s="102"/>
      <c r="AU21" s="102"/>
      <c r="AV21" s="102"/>
      <c r="AW21" s="103">
        <v>27</v>
      </c>
      <c r="AX21" s="103">
        <v>1902742000</v>
      </c>
      <c r="AY21" s="102">
        <v>154</v>
      </c>
      <c r="AZ21" s="102">
        <v>5</v>
      </c>
      <c r="BA21" s="102">
        <v>1</v>
      </c>
      <c r="BB21" s="102"/>
      <c r="BC21" s="102"/>
      <c r="BD21" s="102">
        <v>14463008356</v>
      </c>
      <c r="BE21" s="102">
        <v>15529479886</v>
      </c>
      <c r="BF21" s="102">
        <v>8249453000</v>
      </c>
      <c r="BG21" s="102"/>
      <c r="BH21" s="102"/>
      <c r="BI21" s="103">
        <v>160</v>
      </c>
      <c r="BJ21" s="103">
        <v>38241941242</v>
      </c>
      <c r="BK21" s="102">
        <v>15</v>
      </c>
      <c r="BL21" s="102"/>
      <c r="BM21" s="102"/>
      <c r="BN21" s="102"/>
      <c r="BO21" s="102"/>
      <c r="BP21" s="102">
        <v>511378000</v>
      </c>
      <c r="BQ21" s="102"/>
      <c r="BR21" s="102"/>
      <c r="BS21" s="102"/>
      <c r="BT21" s="102"/>
      <c r="BU21" s="103">
        <v>15</v>
      </c>
      <c r="BV21" s="103">
        <v>511378000</v>
      </c>
      <c r="BW21" s="102"/>
      <c r="BX21" s="102"/>
      <c r="BY21" s="102"/>
      <c r="BZ21" s="102"/>
      <c r="CA21" s="103"/>
      <c r="CB21" s="103">
        <v>0</v>
      </c>
      <c r="CC21" s="102">
        <v>1333</v>
      </c>
      <c r="CD21" s="102">
        <v>599429771028</v>
      </c>
    </row>
    <row r="22" spans="1:82" x14ac:dyDescent="0.35">
      <c r="A22" s="99" t="s">
        <v>58</v>
      </c>
      <c r="B22" s="101" t="s">
        <v>59</v>
      </c>
      <c r="C22" s="102">
        <v>2106</v>
      </c>
      <c r="D22" s="102">
        <v>228</v>
      </c>
      <c r="E22" s="102">
        <v>81</v>
      </c>
      <c r="F22" s="102">
        <v>46</v>
      </c>
      <c r="G22" s="102"/>
      <c r="H22" s="102">
        <v>437989108678</v>
      </c>
      <c r="I22" s="102">
        <v>644410689195</v>
      </c>
      <c r="J22" s="102">
        <v>917194585641</v>
      </c>
      <c r="K22" s="102">
        <v>6945111379832</v>
      </c>
      <c r="L22" s="102"/>
      <c r="M22" s="103">
        <v>2461</v>
      </c>
      <c r="N22" s="103">
        <v>8944705763346</v>
      </c>
      <c r="O22" s="102">
        <v>48</v>
      </c>
      <c r="P22" s="102"/>
      <c r="Q22" s="102"/>
      <c r="R22" s="102"/>
      <c r="S22" s="102"/>
      <c r="T22" s="102">
        <v>1444875372</v>
      </c>
      <c r="U22" s="102"/>
      <c r="V22" s="102"/>
      <c r="W22" s="102"/>
      <c r="X22" s="102"/>
      <c r="Y22" s="103">
        <v>48</v>
      </c>
      <c r="Z22" s="103">
        <v>1444875372</v>
      </c>
      <c r="AA22" s="102">
        <v>33</v>
      </c>
      <c r="AB22" s="102"/>
      <c r="AC22" s="102">
        <v>1</v>
      </c>
      <c r="AD22" s="102"/>
      <c r="AE22" s="102"/>
      <c r="AF22" s="102">
        <v>1863618591</v>
      </c>
      <c r="AG22" s="102"/>
      <c r="AH22" s="102">
        <v>6463430614</v>
      </c>
      <c r="AI22" s="102"/>
      <c r="AJ22" s="102"/>
      <c r="AK22" s="103">
        <v>34</v>
      </c>
      <c r="AL22" s="103">
        <v>8327049205</v>
      </c>
      <c r="AM22" s="102">
        <v>34</v>
      </c>
      <c r="AN22" s="102">
        <v>2</v>
      </c>
      <c r="AO22" s="102">
        <v>1</v>
      </c>
      <c r="AP22" s="102">
        <v>1</v>
      </c>
      <c r="AQ22" s="102"/>
      <c r="AR22" s="102">
        <v>5385840931</v>
      </c>
      <c r="AS22" s="102">
        <v>4866960450</v>
      </c>
      <c r="AT22" s="102">
        <v>7830187000</v>
      </c>
      <c r="AU22" s="102">
        <v>26987718580</v>
      </c>
      <c r="AV22" s="102"/>
      <c r="AW22" s="103">
        <v>38</v>
      </c>
      <c r="AX22" s="103">
        <v>45070706961</v>
      </c>
      <c r="AY22" s="102">
        <v>203</v>
      </c>
      <c r="AZ22" s="102">
        <v>6</v>
      </c>
      <c r="BA22" s="102">
        <v>2</v>
      </c>
      <c r="BB22" s="102">
        <v>1</v>
      </c>
      <c r="BC22" s="102"/>
      <c r="BD22" s="102">
        <v>18665622265</v>
      </c>
      <c r="BE22" s="102">
        <v>16170777624</v>
      </c>
      <c r="BF22" s="102">
        <v>23722009288</v>
      </c>
      <c r="BG22" s="102">
        <v>58541206311</v>
      </c>
      <c r="BH22" s="102"/>
      <c r="BI22" s="103">
        <v>212</v>
      </c>
      <c r="BJ22" s="103">
        <v>117099615488</v>
      </c>
      <c r="BK22" s="102">
        <v>20</v>
      </c>
      <c r="BL22" s="102"/>
      <c r="BM22" s="102"/>
      <c r="BN22" s="102"/>
      <c r="BO22" s="102"/>
      <c r="BP22" s="102">
        <v>957373050</v>
      </c>
      <c r="BQ22" s="102"/>
      <c r="BR22" s="102"/>
      <c r="BS22" s="102"/>
      <c r="BT22" s="102"/>
      <c r="BU22" s="103">
        <v>20</v>
      </c>
      <c r="BV22" s="103">
        <v>957373050</v>
      </c>
      <c r="BW22" s="102"/>
      <c r="BX22" s="102"/>
      <c r="BY22" s="102"/>
      <c r="BZ22" s="102"/>
      <c r="CA22" s="103"/>
      <c r="CB22" s="103">
        <v>0</v>
      </c>
      <c r="CC22" s="102">
        <v>2813</v>
      </c>
      <c r="CD22" s="102">
        <v>9117605383422</v>
      </c>
    </row>
    <row r="23" spans="1:82" x14ac:dyDescent="0.35">
      <c r="A23" s="99" t="s">
        <v>60</v>
      </c>
      <c r="B23" s="101" t="s">
        <v>61</v>
      </c>
      <c r="C23" s="102">
        <v>1769</v>
      </c>
      <c r="D23" s="102">
        <v>82</v>
      </c>
      <c r="E23" s="102">
        <v>21</v>
      </c>
      <c r="F23" s="102">
        <v>13</v>
      </c>
      <c r="G23" s="102"/>
      <c r="H23" s="102">
        <v>163649307813</v>
      </c>
      <c r="I23" s="102">
        <v>257931235366</v>
      </c>
      <c r="J23" s="102">
        <v>247488575681</v>
      </c>
      <c r="K23" s="102">
        <v>1385713667582</v>
      </c>
      <c r="L23" s="102"/>
      <c r="M23" s="103">
        <v>1885</v>
      </c>
      <c r="N23" s="103">
        <v>2054782786442</v>
      </c>
      <c r="O23" s="102">
        <v>148</v>
      </c>
      <c r="P23" s="102"/>
      <c r="Q23" s="102"/>
      <c r="R23" s="102"/>
      <c r="S23" s="102"/>
      <c r="T23" s="102">
        <v>2174422743</v>
      </c>
      <c r="U23" s="102"/>
      <c r="V23" s="102"/>
      <c r="W23" s="102"/>
      <c r="X23" s="102"/>
      <c r="Y23" s="103">
        <v>148</v>
      </c>
      <c r="Z23" s="103">
        <v>2174422743</v>
      </c>
      <c r="AA23" s="102">
        <v>101</v>
      </c>
      <c r="AB23" s="102">
        <v>1</v>
      </c>
      <c r="AC23" s="102"/>
      <c r="AD23" s="102"/>
      <c r="AE23" s="102"/>
      <c r="AF23" s="102">
        <v>3030377232</v>
      </c>
      <c r="AG23" s="102">
        <v>4805823139</v>
      </c>
      <c r="AH23" s="102"/>
      <c r="AI23" s="102"/>
      <c r="AJ23" s="102"/>
      <c r="AK23" s="103">
        <v>102</v>
      </c>
      <c r="AL23" s="103">
        <v>7836200371</v>
      </c>
      <c r="AM23" s="102">
        <v>48</v>
      </c>
      <c r="AN23" s="102">
        <v>1</v>
      </c>
      <c r="AO23" s="102"/>
      <c r="AP23" s="102"/>
      <c r="AQ23" s="102"/>
      <c r="AR23" s="102">
        <v>612454000</v>
      </c>
      <c r="AS23" s="102">
        <v>4989155120</v>
      </c>
      <c r="AT23" s="102"/>
      <c r="AU23" s="102"/>
      <c r="AV23" s="102"/>
      <c r="AW23" s="103">
        <v>49</v>
      </c>
      <c r="AX23" s="103">
        <v>5601609120</v>
      </c>
      <c r="AY23" s="102">
        <v>317</v>
      </c>
      <c r="AZ23" s="102">
        <v>2</v>
      </c>
      <c r="BA23" s="102">
        <v>1</v>
      </c>
      <c r="BB23" s="102"/>
      <c r="BC23" s="102"/>
      <c r="BD23" s="102">
        <v>14074265876</v>
      </c>
      <c r="BE23" s="102">
        <v>7026349000</v>
      </c>
      <c r="BF23" s="102">
        <v>7115870000</v>
      </c>
      <c r="BG23" s="102"/>
      <c r="BH23" s="102"/>
      <c r="BI23" s="103">
        <v>320</v>
      </c>
      <c r="BJ23" s="103">
        <v>28216484876</v>
      </c>
      <c r="BK23" s="102">
        <v>87</v>
      </c>
      <c r="BL23" s="102">
        <v>1</v>
      </c>
      <c r="BM23" s="102"/>
      <c r="BN23" s="102"/>
      <c r="BO23" s="102"/>
      <c r="BP23" s="102">
        <v>1598023736</v>
      </c>
      <c r="BQ23" s="102">
        <v>1544192400</v>
      </c>
      <c r="BR23" s="102"/>
      <c r="BS23" s="102"/>
      <c r="BT23" s="102"/>
      <c r="BU23" s="103">
        <v>88</v>
      </c>
      <c r="BV23" s="103">
        <v>3142216136</v>
      </c>
      <c r="BW23" s="102"/>
      <c r="BX23" s="102"/>
      <c r="BY23" s="102"/>
      <c r="BZ23" s="102"/>
      <c r="CA23" s="103"/>
      <c r="CB23" s="103">
        <v>0</v>
      </c>
      <c r="CC23" s="102">
        <v>2592</v>
      </c>
      <c r="CD23" s="102">
        <v>2101753719688</v>
      </c>
    </row>
    <row r="24" spans="1:82" x14ac:dyDescent="0.35">
      <c r="A24" s="99" t="s">
        <v>62</v>
      </c>
      <c r="B24" s="101" t="s">
        <v>63</v>
      </c>
      <c r="C24" s="102">
        <v>4304</v>
      </c>
      <c r="D24" s="102">
        <v>28</v>
      </c>
      <c r="E24" s="102">
        <v>8</v>
      </c>
      <c r="F24" s="102">
        <v>3</v>
      </c>
      <c r="G24" s="102"/>
      <c r="H24" s="102">
        <v>173946375488</v>
      </c>
      <c r="I24" s="102">
        <v>79866170529</v>
      </c>
      <c r="J24" s="102">
        <v>105657508336</v>
      </c>
      <c r="K24" s="102">
        <v>94559657728</v>
      </c>
      <c r="L24" s="102"/>
      <c r="M24" s="103">
        <v>4343</v>
      </c>
      <c r="N24" s="103">
        <v>454029712081</v>
      </c>
      <c r="O24" s="102">
        <v>402</v>
      </c>
      <c r="P24" s="102"/>
      <c r="Q24" s="102"/>
      <c r="R24" s="102"/>
      <c r="S24" s="102"/>
      <c r="T24" s="102">
        <v>2857164665</v>
      </c>
      <c r="U24" s="102"/>
      <c r="V24" s="102"/>
      <c r="W24" s="102"/>
      <c r="X24" s="102"/>
      <c r="Y24" s="103">
        <v>402</v>
      </c>
      <c r="Z24" s="103">
        <v>2857164665</v>
      </c>
      <c r="AA24" s="102">
        <v>323</v>
      </c>
      <c r="AB24" s="102">
        <v>2</v>
      </c>
      <c r="AC24" s="102"/>
      <c r="AD24" s="102"/>
      <c r="AE24" s="102"/>
      <c r="AF24" s="102">
        <v>6924102719</v>
      </c>
      <c r="AG24" s="102">
        <v>3409575580</v>
      </c>
      <c r="AH24" s="102"/>
      <c r="AI24" s="102"/>
      <c r="AJ24" s="102"/>
      <c r="AK24" s="103">
        <v>325</v>
      </c>
      <c r="AL24" s="103">
        <v>10333678299</v>
      </c>
      <c r="AM24" s="102">
        <v>139</v>
      </c>
      <c r="AN24" s="102"/>
      <c r="AO24" s="102"/>
      <c r="AP24" s="102"/>
      <c r="AQ24" s="102"/>
      <c r="AR24" s="102">
        <v>3257774578</v>
      </c>
      <c r="AS24" s="102"/>
      <c r="AT24" s="102"/>
      <c r="AU24" s="102"/>
      <c r="AV24" s="102"/>
      <c r="AW24" s="103">
        <v>139</v>
      </c>
      <c r="AX24" s="103">
        <v>3257774578</v>
      </c>
      <c r="AY24" s="102">
        <v>888</v>
      </c>
      <c r="AZ24" s="102"/>
      <c r="BA24" s="102"/>
      <c r="BB24" s="102"/>
      <c r="BC24" s="102"/>
      <c r="BD24" s="102">
        <v>18019671142</v>
      </c>
      <c r="BE24" s="102"/>
      <c r="BF24" s="102"/>
      <c r="BG24" s="102"/>
      <c r="BH24" s="102"/>
      <c r="BI24" s="103">
        <v>888</v>
      </c>
      <c r="BJ24" s="103">
        <v>18019671142</v>
      </c>
      <c r="BK24" s="102">
        <v>187</v>
      </c>
      <c r="BL24" s="102"/>
      <c r="BM24" s="102"/>
      <c r="BN24" s="102"/>
      <c r="BO24" s="102"/>
      <c r="BP24" s="102">
        <v>3244056667</v>
      </c>
      <c r="BQ24" s="102"/>
      <c r="BR24" s="102"/>
      <c r="BS24" s="102"/>
      <c r="BT24" s="102"/>
      <c r="BU24" s="103">
        <v>187</v>
      </c>
      <c r="BV24" s="103">
        <v>3244056667</v>
      </c>
      <c r="BW24" s="102">
        <v>1</v>
      </c>
      <c r="BX24" s="102"/>
      <c r="BY24" s="102">
        <v>15000000</v>
      </c>
      <c r="BZ24" s="102"/>
      <c r="CA24" s="103"/>
      <c r="CB24" s="103">
        <v>15000000</v>
      </c>
      <c r="CC24" s="102">
        <v>6284</v>
      </c>
      <c r="CD24" s="102">
        <v>491757057432</v>
      </c>
    </row>
    <row r="25" spans="1:82" x14ac:dyDescent="0.35">
      <c r="A25" s="99" t="s">
        <v>64</v>
      </c>
      <c r="B25" s="101" t="s">
        <v>65</v>
      </c>
      <c r="C25" s="102">
        <v>24</v>
      </c>
      <c r="D25" s="102"/>
      <c r="E25" s="102"/>
      <c r="F25" s="102"/>
      <c r="G25" s="102"/>
      <c r="H25" s="102">
        <v>2652066308</v>
      </c>
      <c r="I25" s="102"/>
      <c r="J25" s="102"/>
      <c r="K25" s="102"/>
      <c r="L25" s="102"/>
      <c r="M25" s="103">
        <v>24</v>
      </c>
      <c r="N25" s="103">
        <v>2652066308</v>
      </c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3">
        <v>0</v>
      </c>
      <c r="Z25" s="103">
        <v>0</v>
      </c>
      <c r="AA25" s="102">
        <v>1</v>
      </c>
      <c r="AB25" s="102"/>
      <c r="AC25" s="102"/>
      <c r="AD25" s="102"/>
      <c r="AE25" s="102"/>
      <c r="AF25" s="102">
        <v>12495000</v>
      </c>
      <c r="AG25" s="102"/>
      <c r="AH25" s="102"/>
      <c r="AI25" s="102"/>
      <c r="AJ25" s="102"/>
      <c r="AK25" s="103">
        <v>1</v>
      </c>
      <c r="AL25" s="103">
        <v>12495000</v>
      </c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3">
        <v>0</v>
      </c>
      <c r="AX25" s="103">
        <v>0</v>
      </c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3">
        <v>0</v>
      </c>
      <c r="BJ25" s="103">
        <v>0</v>
      </c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3">
        <v>0</v>
      </c>
      <c r="BV25" s="103">
        <v>0</v>
      </c>
      <c r="BW25" s="102"/>
      <c r="BX25" s="102"/>
      <c r="BY25" s="102"/>
      <c r="BZ25" s="102"/>
      <c r="CA25" s="103"/>
      <c r="CB25" s="103">
        <v>0</v>
      </c>
      <c r="CC25" s="102">
        <v>25</v>
      </c>
      <c r="CD25" s="102">
        <v>2664561308</v>
      </c>
    </row>
    <row r="26" spans="1:82" x14ac:dyDescent="0.35">
      <c r="A26" s="99" t="s">
        <v>66</v>
      </c>
      <c r="B26" s="101" t="s">
        <v>67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3">
        <v>0</v>
      </c>
      <c r="N26" s="103">
        <v>0</v>
      </c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3">
        <v>0</v>
      </c>
      <c r="Z26" s="103">
        <v>0</v>
      </c>
      <c r="AA26" s="102">
        <v>1</v>
      </c>
      <c r="AB26" s="102"/>
      <c r="AC26" s="102"/>
      <c r="AD26" s="102"/>
      <c r="AE26" s="102"/>
      <c r="AF26" s="102">
        <v>0</v>
      </c>
      <c r="AG26" s="102"/>
      <c r="AH26" s="102"/>
      <c r="AI26" s="102"/>
      <c r="AJ26" s="102"/>
      <c r="AK26" s="103">
        <v>1</v>
      </c>
      <c r="AL26" s="103">
        <v>0</v>
      </c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3">
        <v>0</v>
      </c>
      <c r="AX26" s="103">
        <v>0</v>
      </c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3">
        <v>0</v>
      </c>
      <c r="BJ26" s="103">
        <v>0</v>
      </c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3">
        <v>0</v>
      </c>
      <c r="BV26" s="103">
        <v>0</v>
      </c>
      <c r="BW26" s="102"/>
      <c r="BX26" s="102"/>
      <c r="BY26" s="102"/>
      <c r="BZ26" s="102"/>
      <c r="CA26" s="103"/>
      <c r="CB26" s="103">
        <v>0</v>
      </c>
      <c r="CC26" s="102">
        <v>1</v>
      </c>
      <c r="CD26" s="102">
        <v>0</v>
      </c>
    </row>
    <row r="27" spans="1:82" x14ac:dyDescent="0.35">
      <c r="A27" s="99" t="s">
        <v>1193</v>
      </c>
      <c r="B27" s="99" t="s">
        <v>70</v>
      </c>
      <c r="C27" s="102"/>
      <c r="D27" s="102"/>
      <c r="E27" s="102"/>
      <c r="F27" s="102"/>
      <c r="G27" s="102">
        <v>147</v>
      </c>
      <c r="H27" s="102"/>
      <c r="I27" s="102"/>
      <c r="J27" s="102"/>
      <c r="K27" s="102"/>
      <c r="L27" s="102">
        <v>49889685158</v>
      </c>
      <c r="M27" s="103">
        <v>147</v>
      </c>
      <c r="N27" s="103">
        <v>49889685158</v>
      </c>
      <c r="O27" s="102"/>
      <c r="P27" s="102"/>
      <c r="Q27" s="102"/>
      <c r="R27" s="102"/>
      <c r="S27" s="102">
        <v>12</v>
      </c>
      <c r="T27" s="102"/>
      <c r="U27" s="102"/>
      <c r="V27" s="102"/>
      <c r="W27" s="102"/>
      <c r="X27" s="102">
        <v>196800000</v>
      </c>
      <c r="Y27" s="103">
        <v>12</v>
      </c>
      <c r="Z27" s="103">
        <v>196800000</v>
      </c>
      <c r="AA27" s="102"/>
      <c r="AB27" s="102"/>
      <c r="AC27" s="102"/>
      <c r="AD27" s="102"/>
      <c r="AE27" s="102">
        <v>4</v>
      </c>
      <c r="AF27" s="102"/>
      <c r="AG27" s="102"/>
      <c r="AH27" s="102"/>
      <c r="AI27" s="102"/>
      <c r="AJ27" s="102">
        <v>88451000</v>
      </c>
      <c r="AK27" s="103">
        <v>4</v>
      </c>
      <c r="AL27" s="103">
        <v>88451000</v>
      </c>
      <c r="AM27" s="102"/>
      <c r="AN27" s="102"/>
      <c r="AO27" s="102"/>
      <c r="AP27" s="102"/>
      <c r="AQ27" s="102">
        <v>3</v>
      </c>
      <c r="AR27" s="102"/>
      <c r="AS27" s="102"/>
      <c r="AT27" s="102"/>
      <c r="AU27" s="102"/>
      <c r="AV27" s="102">
        <v>190000000</v>
      </c>
      <c r="AW27" s="103">
        <v>3</v>
      </c>
      <c r="AX27" s="103">
        <v>190000000</v>
      </c>
      <c r="AY27" s="102"/>
      <c r="AZ27" s="102"/>
      <c r="BA27" s="102"/>
      <c r="BB27" s="102"/>
      <c r="BC27" s="102">
        <v>11</v>
      </c>
      <c r="BD27" s="102"/>
      <c r="BE27" s="102"/>
      <c r="BF27" s="102"/>
      <c r="BG27" s="102"/>
      <c r="BH27" s="102">
        <v>569795888</v>
      </c>
      <c r="BI27" s="103">
        <v>11</v>
      </c>
      <c r="BJ27" s="103">
        <v>569795888</v>
      </c>
      <c r="BK27" s="102"/>
      <c r="BL27" s="102"/>
      <c r="BM27" s="102"/>
      <c r="BN27" s="102"/>
      <c r="BO27" s="102">
        <v>1</v>
      </c>
      <c r="BP27" s="102"/>
      <c r="BQ27" s="102"/>
      <c r="BR27" s="102"/>
      <c r="BS27" s="102"/>
      <c r="BT27" s="102">
        <v>20500000</v>
      </c>
      <c r="BU27" s="103">
        <v>1</v>
      </c>
      <c r="BV27" s="103">
        <v>20500000</v>
      </c>
      <c r="BW27" s="102"/>
      <c r="BX27" s="102"/>
      <c r="BY27" s="102"/>
      <c r="BZ27" s="102"/>
      <c r="CA27" s="103"/>
      <c r="CB27" s="103">
        <v>0</v>
      </c>
      <c r="CC27" s="102">
        <v>178</v>
      </c>
      <c r="CD27" s="102">
        <v>50955232046</v>
      </c>
    </row>
    <row r="28" spans="1:82" x14ac:dyDescent="0.35">
      <c r="A28" s="53" t="s">
        <v>16</v>
      </c>
      <c r="B28" s="54"/>
      <c r="C28" s="104">
        <v>108876</v>
      </c>
      <c r="D28" s="104">
        <v>7083</v>
      </c>
      <c r="E28" s="104">
        <v>1700</v>
      </c>
      <c r="F28" s="104">
        <v>635</v>
      </c>
      <c r="G28" s="104">
        <v>147</v>
      </c>
      <c r="H28" s="104">
        <v>13571299363097</v>
      </c>
      <c r="I28" s="104">
        <v>27584814667307</v>
      </c>
      <c r="J28" s="104">
        <v>33550094112763</v>
      </c>
      <c r="K28" s="104">
        <v>216984449756875</v>
      </c>
      <c r="L28" s="104">
        <v>49889685158</v>
      </c>
      <c r="M28" s="104">
        <v>118441</v>
      </c>
      <c r="N28" s="104">
        <v>291740547585200</v>
      </c>
      <c r="O28" s="104">
        <v>9218</v>
      </c>
      <c r="P28" s="104">
        <v>194</v>
      </c>
      <c r="Q28" s="104">
        <v>30</v>
      </c>
      <c r="R28" s="104">
        <v>6</v>
      </c>
      <c r="S28" s="104">
        <v>12</v>
      </c>
      <c r="T28" s="104">
        <v>367929554979</v>
      </c>
      <c r="U28" s="104">
        <v>896118189794</v>
      </c>
      <c r="V28" s="104">
        <v>644216663099</v>
      </c>
      <c r="W28" s="104">
        <v>1410893431525</v>
      </c>
      <c r="X28" s="104">
        <v>196800000</v>
      </c>
      <c r="Y28" s="104">
        <v>9460</v>
      </c>
      <c r="Z28" s="104">
        <v>3319354639397</v>
      </c>
      <c r="AA28" s="104">
        <v>5990</v>
      </c>
      <c r="AB28" s="104">
        <v>221</v>
      </c>
      <c r="AC28" s="104">
        <v>53</v>
      </c>
      <c r="AD28" s="104">
        <v>5</v>
      </c>
      <c r="AE28" s="104">
        <v>4</v>
      </c>
      <c r="AF28" s="104">
        <v>440099676640</v>
      </c>
      <c r="AG28" s="104">
        <v>880220990041</v>
      </c>
      <c r="AH28" s="104">
        <v>1497037953442</v>
      </c>
      <c r="AI28" s="104">
        <v>829708720131</v>
      </c>
      <c r="AJ28" s="104">
        <v>88451000</v>
      </c>
      <c r="AK28" s="104">
        <v>6273</v>
      </c>
      <c r="AL28" s="104">
        <v>3647155791254</v>
      </c>
      <c r="AM28" s="104">
        <v>3464</v>
      </c>
      <c r="AN28" s="104">
        <v>97</v>
      </c>
      <c r="AO28" s="104">
        <v>32</v>
      </c>
      <c r="AP28" s="104">
        <v>6</v>
      </c>
      <c r="AQ28" s="104">
        <v>3</v>
      </c>
      <c r="AR28" s="104">
        <v>236679272035</v>
      </c>
      <c r="AS28" s="104">
        <v>509202329528</v>
      </c>
      <c r="AT28" s="104">
        <v>964058565825</v>
      </c>
      <c r="AU28" s="104">
        <v>1002511562216</v>
      </c>
      <c r="AV28" s="104">
        <v>190000000</v>
      </c>
      <c r="AW28" s="104">
        <v>3602</v>
      </c>
      <c r="AX28" s="104">
        <v>2712641729604</v>
      </c>
      <c r="AY28" s="104">
        <v>15917</v>
      </c>
      <c r="AZ28" s="104">
        <v>511</v>
      </c>
      <c r="BA28" s="104">
        <v>131</v>
      </c>
      <c r="BB28" s="104">
        <v>34</v>
      </c>
      <c r="BC28" s="104">
        <v>11</v>
      </c>
      <c r="BD28" s="104">
        <v>1066457479258</v>
      </c>
      <c r="BE28" s="104">
        <v>2144877549852</v>
      </c>
      <c r="BF28" s="104">
        <v>3358184916760</v>
      </c>
      <c r="BG28" s="104">
        <v>12022514444898</v>
      </c>
      <c r="BH28" s="104">
        <v>569795888</v>
      </c>
      <c r="BI28" s="104">
        <v>16604</v>
      </c>
      <c r="BJ28" s="104">
        <v>18592604186656</v>
      </c>
      <c r="BK28" s="104">
        <v>4548</v>
      </c>
      <c r="BL28" s="104">
        <v>68</v>
      </c>
      <c r="BM28" s="104">
        <v>7</v>
      </c>
      <c r="BN28" s="104">
        <v>2</v>
      </c>
      <c r="BO28" s="104">
        <v>1</v>
      </c>
      <c r="BP28" s="104">
        <v>274983318228</v>
      </c>
      <c r="BQ28" s="104">
        <v>275870919677</v>
      </c>
      <c r="BR28" s="104">
        <v>124389467680</v>
      </c>
      <c r="BS28" s="104">
        <v>1860616755767</v>
      </c>
      <c r="BT28" s="104">
        <v>20500000</v>
      </c>
      <c r="BU28" s="104">
        <v>4626</v>
      </c>
      <c r="BV28" s="104">
        <v>2535880961352</v>
      </c>
      <c r="BW28" s="104">
        <v>2</v>
      </c>
      <c r="BX28" s="104">
        <v>1</v>
      </c>
      <c r="BY28" s="104">
        <v>34200000</v>
      </c>
      <c r="BZ28" s="104">
        <v>1632657036</v>
      </c>
      <c r="CA28" s="104">
        <v>3</v>
      </c>
      <c r="CB28" s="104">
        <v>1666857036</v>
      </c>
      <c r="CC28" s="104">
        <v>159009</v>
      </c>
      <c r="CD28" s="104">
        <v>322549851750499</v>
      </c>
    </row>
    <row r="29" spans="1:82" x14ac:dyDescent="0.35">
      <c r="M29" s="42"/>
      <c r="N29" s="42"/>
      <c r="AW29" s="42"/>
      <c r="AX29" s="42"/>
      <c r="BI29" s="42"/>
      <c r="BJ29" s="42"/>
      <c r="CC29" s="42"/>
      <c r="CD29" s="42"/>
    </row>
    <row r="30" spans="1:82" x14ac:dyDescent="0.35">
      <c r="A30" t="s">
        <v>1356</v>
      </c>
    </row>
    <row r="31" spans="1:82" x14ac:dyDescent="0.35">
      <c r="A31" t="s">
        <v>1288</v>
      </c>
    </row>
    <row r="32" spans="1:82" x14ac:dyDescent="0.35">
      <c r="A32" t="s">
        <v>17</v>
      </c>
    </row>
    <row r="33" spans="1:1" x14ac:dyDescent="0.35">
      <c r="A33" t="s">
        <v>1320</v>
      </c>
    </row>
  </sheetData>
  <mergeCells count="47">
    <mergeCell ref="M4:M5"/>
    <mergeCell ref="N4:N5"/>
    <mergeCell ref="C3:L3"/>
    <mergeCell ref="O4:S4"/>
    <mergeCell ref="T4:X4"/>
    <mergeCell ref="O3:X3"/>
    <mergeCell ref="BU3:BV3"/>
    <mergeCell ref="BW3:BY3"/>
    <mergeCell ref="BI3:BJ3"/>
    <mergeCell ref="AY3:BH3"/>
    <mergeCell ref="BK3:BS3"/>
    <mergeCell ref="Y3:Z3"/>
    <mergeCell ref="AA3:AJ3"/>
    <mergeCell ref="AM3:AV3"/>
    <mergeCell ref="AW3:AX3"/>
    <mergeCell ref="AK3:AL3"/>
    <mergeCell ref="CC3:CC5"/>
    <mergeCell ref="CD3:CD5"/>
    <mergeCell ref="CA3:CB3"/>
    <mergeCell ref="CA4:CA5"/>
    <mergeCell ref="CB4:CB5"/>
    <mergeCell ref="BU4:BU5"/>
    <mergeCell ref="BV4:BV5"/>
    <mergeCell ref="BW4:BX4"/>
    <mergeCell ref="BY4:BZ4"/>
    <mergeCell ref="AA4:AE4"/>
    <mergeCell ref="AF4:AJ4"/>
    <mergeCell ref="AM4:AQ4"/>
    <mergeCell ref="AR4:AV4"/>
    <mergeCell ref="AY4:BC4"/>
    <mergeCell ref="BD4:BH4"/>
    <mergeCell ref="BI4:BI5"/>
    <mergeCell ref="BJ4:BJ5"/>
    <mergeCell ref="BK4:BO4"/>
    <mergeCell ref="BP4:BT4"/>
    <mergeCell ref="AW4:AW5"/>
    <mergeCell ref="AX4:AX5"/>
    <mergeCell ref="AK4:AK5"/>
    <mergeCell ref="AL4:AL5"/>
    <mergeCell ref="Y4:Y5"/>
    <mergeCell ref="Z4:Z5"/>
    <mergeCell ref="B3:B5"/>
    <mergeCell ref="A3:A5"/>
    <mergeCell ref="A28:B28"/>
    <mergeCell ref="C4:G4"/>
    <mergeCell ref="H4:L4"/>
    <mergeCell ref="M3:N3"/>
  </mergeCells>
  <hyperlinks>
    <hyperlink ref="G1" location="Índice!A1" display="Volver al índice" xr:uid="{0B6B725C-3DA8-4E35-9684-6835650E3AB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0C26-B31D-4732-B652-11956484CE55}">
  <dimension ref="A1:L98"/>
  <sheetViews>
    <sheetView workbookViewId="0">
      <selection activeCell="C1" sqref="C1"/>
    </sheetView>
  </sheetViews>
  <sheetFormatPr baseColWidth="10" defaultColWidth="11.453125" defaultRowHeight="14.5" x14ac:dyDescent="0.35"/>
  <cols>
    <col min="2" max="2" width="100.1796875" customWidth="1"/>
    <col min="3" max="3" width="11.54296875" style="12" bestFit="1" customWidth="1"/>
    <col min="4" max="4" width="18.453125" style="12" bestFit="1" customWidth="1"/>
    <col min="6" max="6" width="14.7265625" bestFit="1" customWidth="1"/>
    <col min="7" max="7" width="16.453125" bestFit="1" customWidth="1"/>
    <col min="8" max="9" width="17.453125" bestFit="1" customWidth="1"/>
    <col min="10" max="10" width="18.453125" bestFit="1" customWidth="1"/>
    <col min="12" max="12" width="18.453125" bestFit="1" customWidth="1"/>
  </cols>
  <sheetData>
    <row r="1" spans="1:12" ht="18.5" x14ac:dyDescent="0.45">
      <c r="A1" s="21" t="s">
        <v>1439</v>
      </c>
      <c r="C1" s="17" t="s">
        <v>1</v>
      </c>
    </row>
    <row r="3" spans="1:12" x14ac:dyDescent="0.35">
      <c r="A3" s="50" t="s">
        <v>89</v>
      </c>
      <c r="B3" s="50" t="s">
        <v>19</v>
      </c>
      <c r="C3" s="69" t="s">
        <v>259</v>
      </c>
      <c r="D3" s="70"/>
      <c r="E3" s="70"/>
      <c r="F3" s="71"/>
      <c r="G3" s="69" t="s">
        <v>4</v>
      </c>
      <c r="H3" s="70"/>
      <c r="I3" s="70"/>
      <c r="J3" s="71"/>
      <c r="K3" s="72" t="s">
        <v>259</v>
      </c>
      <c r="L3" s="72" t="s">
        <v>260</v>
      </c>
    </row>
    <row r="4" spans="1:12" x14ac:dyDescent="0.35">
      <c r="A4" s="50"/>
      <c r="B4" s="50"/>
      <c r="C4" s="23" t="s">
        <v>22</v>
      </c>
      <c r="D4" s="23" t="s">
        <v>23</v>
      </c>
      <c r="E4" s="23" t="s">
        <v>24</v>
      </c>
      <c r="F4" s="23" t="s">
        <v>25</v>
      </c>
      <c r="G4" s="23" t="s">
        <v>22</v>
      </c>
      <c r="H4" s="23" t="s">
        <v>23</v>
      </c>
      <c r="I4" s="23" t="s">
        <v>24</v>
      </c>
      <c r="J4" s="23" t="s">
        <v>25</v>
      </c>
      <c r="K4" s="73"/>
      <c r="L4" s="73"/>
    </row>
    <row r="5" spans="1:12" x14ac:dyDescent="0.35">
      <c r="A5" s="107" t="s">
        <v>90</v>
      </c>
      <c r="B5" s="107" t="s">
        <v>91</v>
      </c>
      <c r="C5" s="108">
        <v>2036</v>
      </c>
      <c r="D5" s="108">
        <v>789</v>
      </c>
      <c r="E5" s="108">
        <v>279</v>
      </c>
      <c r="F5" s="108">
        <v>61</v>
      </c>
      <c r="G5" s="108">
        <v>176569596539</v>
      </c>
      <c r="H5" s="108">
        <v>1937987255347</v>
      </c>
      <c r="I5" s="108">
        <v>4129120606038</v>
      </c>
      <c r="J5" s="108">
        <v>5593608922825</v>
      </c>
      <c r="K5" s="10">
        <f>SUM(C5:F5)</f>
        <v>3165</v>
      </c>
      <c r="L5" s="10">
        <f>SUM(G5:J5)</f>
        <v>11837286380749</v>
      </c>
    </row>
    <row r="6" spans="1:12" x14ac:dyDescent="0.35">
      <c r="A6" s="107" t="s">
        <v>92</v>
      </c>
      <c r="B6" s="107" t="s">
        <v>93</v>
      </c>
      <c r="C6" s="108">
        <v>95</v>
      </c>
      <c r="D6" s="108">
        <v>49</v>
      </c>
      <c r="E6" s="108">
        <v>12</v>
      </c>
      <c r="F6" s="108">
        <v>8</v>
      </c>
      <c r="G6" s="108">
        <v>6230704863</v>
      </c>
      <c r="H6" s="108">
        <v>125995387154</v>
      </c>
      <c r="I6" s="108">
        <v>227327851568</v>
      </c>
      <c r="J6" s="108">
        <v>743057919776</v>
      </c>
      <c r="K6" s="10">
        <f t="shared" ref="K6:K69" si="0">SUM(C6:F6)</f>
        <v>164</v>
      </c>
      <c r="L6" s="10">
        <f t="shared" ref="L6:L69" si="1">SUM(G6:J6)</f>
        <v>1102611863361</v>
      </c>
    </row>
    <row r="7" spans="1:12" x14ac:dyDescent="0.35">
      <c r="A7" s="107" t="s">
        <v>94</v>
      </c>
      <c r="B7" s="107" t="s">
        <v>95</v>
      </c>
      <c r="C7" s="108">
        <v>48</v>
      </c>
      <c r="D7" s="108">
        <v>4</v>
      </c>
      <c r="E7" s="108">
        <v>1</v>
      </c>
      <c r="F7" s="108">
        <v>0</v>
      </c>
      <c r="G7" s="108">
        <v>2558120229</v>
      </c>
      <c r="H7" s="108">
        <v>10152936383</v>
      </c>
      <c r="I7" s="108">
        <v>7967441978</v>
      </c>
      <c r="J7" s="108">
        <v>0</v>
      </c>
      <c r="K7" s="10">
        <f t="shared" si="0"/>
        <v>53</v>
      </c>
      <c r="L7" s="10">
        <f t="shared" si="1"/>
        <v>20678498590</v>
      </c>
    </row>
    <row r="8" spans="1:12" x14ac:dyDescent="0.35">
      <c r="A8" s="107" t="s">
        <v>96</v>
      </c>
      <c r="B8" s="107" t="s">
        <v>97</v>
      </c>
      <c r="C8" s="108">
        <v>56</v>
      </c>
      <c r="D8" s="108">
        <v>5</v>
      </c>
      <c r="E8" s="108">
        <v>3</v>
      </c>
      <c r="F8" s="108">
        <v>3</v>
      </c>
      <c r="G8" s="108">
        <v>2047350779</v>
      </c>
      <c r="H8" s="108">
        <v>14339468727</v>
      </c>
      <c r="I8" s="108">
        <v>41808423015</v>
      </c>
      <c r="J8" s="108">
        <v>139792091151346</v>
      </c>
      <c r="K8" s="10">
        <f t="shared" si="0"/>
        <v>67</v>
      </c>
      <c r="L8" s="10">
        <f t="shared" si="1"/>
        <v>139850286393867</v>
      </c>
    </row>
    <row r="9" spans="1:12" x14ac:dyDescent="0.35">
      <c r="A9" s="107" t="s">
        <v>98</v>
      </c>
      <c r="B9" s="107" t="s">
        <v>99</v>
      </c>
      <c r="C9" s="108">
        <v>201</v>
      </c>
      <c r="D9" s="108">
        <v>67</v>
      </c>
      <c r="E9" s="108">
        <v>14</v>
      </c>
      <c r="F9" s="108">
        <v>13</v>
      </c>
      <c r="G9" s="108">
        <v>18045865378</v>
      </c>
      <c r="H9" s="108">
        <v>154034759740</v>
      </c>
      <c r="I9" s="108">
        <v>200462229896</v>
      </c>
      <c r="J9" s="108">
        <v>2926816664161</v>
      </c>
      <c r="K9" s="10">
        <f t="shared" si="0"/>
        <v>295</v>
      </c>
      <c r="L9" s="10">
        <f t="shared" si="1"/>
        <v>3299359519175</v>
      </c>
    </row>
    <row r="10" spans="1:12" x14ac:dyDescent="0.35">
      <c r="A10" s="107" t="s">
        <v>100</v>
      </c>
      <c r="B10" s="107" t="s">
        <v>101</v>
      </c>
      <c r="C10" s="108">
        <v>92</v>
      </c>
      <c r="D10" s="108">
        <v>34</v>
      </c>
      <c r="E10" s="108">
        <v>6</v>
      </c>
      <c r="F10" s="108">
        <v>4</v>
      </c>
      <c r="G10" s="108">
        <v>10005284880</v>
      </c>
      <c r="H10" s="108">
        <v>89582503945</v>
      </c>
      <c r="I10" s="108">
        <v>104828264232</v>
      </c>
      <c r="J10" s="108">
        <v>529446369007</v>
      </c>
      <c r="K10" s="10">
        <f t="shared" si="0"/>
        <v>136</v>
      </c>
      <c r="L10" s="10">
        <f t="shared" si="1"/>
        <v>733862422064</v>
      </c>
    </row>
    <row r="11" spans="1:12" x14ac:dyDescent="0.35">
      <c r="A11" s="107" t="s">
        <v>102</v>
      </c>
      <c r="B11" s="107" t="s">
        <v>103</v>
      </c>
      <c r="C11" s="108">
        <v>63</v>
      </c>
      <c r="D11" s="108">
        <v>13</v>
      </c>
      <c r="E11" s="108">
        <v>10</v>
      </c>
      <c r="F11" s="108">
        <v>5</v>
      </c>
      <c r="G11" s="108">
        <v>6985056065</v>
      </c>
      <c r="H11" s="108">
        <v>27341686590</v>
      </c>
      <c r="I11" s="108">
        <v>119389540687</v>
      </c>
      <c r="J11" s="108">
        <v>505367473980</v>
      </c>
      <c r="K11" s="10">
        <f t="shared" si="0"/>
        <v>91</v>
      </c>
      <c r="L11" s="10">
        <f t="shared" si="1"/>
        <v>659083757322</v>
      </c>
    </row>
    <row r="12" spans="1:12" x14ac:dyDescent="0.35">
      <c r="A12" s="107" t="s">
        <v>104</v>
      </c>
      <c r="B12" s="107" t="s">
        <v>105</v>
      </c>
      <c r="C12" s="108">
        <v>4536</v>
      </c>
      <c r="D12" s="108">
        <v>214</v>
      </c>
      <c r="E12" s="108">
        <v>65</v>
      </c>
      <c r="F12" s="108">
        <v>22</v>
      </c>
      <c r="G12" s="108">
        <v>110542314536</v>
      </c>
      <c r="H12" s="108">
        <v>485187442472</v>
      </c>
      <c r="I12" s="108">
        <v>1013950921895</v>
      </c>
      <c r="J12" s="108">
        <v>11059107704873</v>
      </c>
      <c r="K12" s="10">
        <f t="shared" si="0"/>
        <v>4837</v>
      </c>
      <c r="L12" s="10">
        <f t="shared" si="1"/>
        <v>12668788383776</v>
      </c>
    </row>
    <row r="13" spans="1:12" x14ac:dyDescent="0.35">
      <c r="A13" s="107" t="s">
        <v>106</v>
      </c>
      <c r="B13" s="107" t="s">
        <v>107</v>
      </c>
      <c r="C13" s="108">
        <v>168</v>
      </c>
      <c r="D13" s="108">
        <v>15</v>
      </c>
      <c r="E13" s="108">
        <v>2</v>
      </c>
      <c r="F13" s="108">
        <v>5</v>
      </c>
      <c r="G13" s="108">
        <v>5699211030</v>
      </c>
      <c r="H13" s="108">
        <v>22648424114</v>
      </c>
      <c r="I13" s="108">
        <v>39977463000</v>
      </c>
      <c r="J13" s="108">
        <v>6279161886161</v>
      </c>
      <c r="K13" s="10">
        <f t="shared" si="0"/>
        <v>190</v>
      </c>
      <c r="L13" s="10">
        <f t="shared" si="1"/>
        <v>6347486984305</v>
      </c>
    </row>
    <row r="14" spans="1:12" x14ac:dyDescent="0.35">
      <c r="A14" s="107" t="s">
        <v>108</v>
      </c>
      <c r="B14" s="107" t="s">
        <v>109</v>
      </c>
      <c r="C14" s="108">
        <v>0</v>
      </c>
      <c r="D14" s="108">
        <v>0</v>
      </c>
      <c r="E14" s="108">
        <v>0</v>
      </c>
      <c r="F14" s="108">
        <v>0</v>
      </c>
      <c r="G14" s="108">
        <v>0</v>
      </c>
      <c r="H14" s="108">
        <v>0</v>
      </c>
      <c r="I14" s="108">
        <v>0</v>
      </c>
      <c r="J14" s="108">
        <v>0</v>
      </c>
      <c r="K14" s="10">
        <f t="shared" si="0"/>
        <v>0</v>
      </c>
      <c r="L14" s="10">
        <f t="shared" si="1"/>
        <v>0</v>
      </c>
    </row>
    <row r="15" spans="1:12" x14ac:dyDescent="0.35">
      <c r="A15" s="107" t="s">
        <v>110</v>
      </c>
      <c r="B15" s="107" t="s">
        <v>111</v>
      </c>
      <c r="C15" s="108">
        <v>874</v>
      </c>
      <c r="D15" s="108">
        <v>86</v>
      </c>
      <c r="E15" s="108">
        <v>18</v>
      </c>
      <c r="F15" s="108">
        <v>3</v>
      </c>
      <c r="G15" s="108">
        <v>46519243907</v>
      </c>
      <c r="H15" s="108">
        <v>164550478115</v>
      </c>
      <c r="I15" s="108">
        <v>269630207386</v>
      </c>
      <c r="J15" s="108">
        <v>897660411424</v>
      </c>
      <c r="K15" s="10">
        <f t="shared" si="0"/>
        <v>981</v>
      </c>
      <c r="L15" s="10">
        <f t="shared" si="1"/>
        <v>1378360340832</v>
      </c>
    </row>
    <row r="16" spans="1:12" x14ac:dyDescent="0.35">
      <c r="A16" s="107" t="s">
        <v>112</v>
      </c>
      <c r="B16" s="107" t="s">
        <v>113</v>
      </c>
      <c r="C16" s="108">
        <v>3442</v>
      </c>
      <c r="D16" s="108">
        <v>372</v>
      </c>
      <c r="E16" s="108">
        <v>61</v>
      </c>
      <c r="F16" s="108">
        <v>12</v>
      </c>
      <c r="G16" s="108">
        <v>165714198527</v>
      </c>
      <c r="H16" s="108">
        <v>799436216645</v>
      </c>
      <c r="I16" s="108">
        <v>947089675370</v>
      </c>
      <c r="J16" s="108">
        <v>2480775119516</v>
      </c>
      <c r="K16" s="10">
        <f t="shared" si="0"/>
        <v>3887</v>
      </c>
      <c r="L16" s="10">
        <f t="shared" si="1"/>
        <v>4393015210058</v>
      </c>
    </row>
    <row r="17" spans="1:12" x14ac:dyDescent="0.35">
      <c r="A17" s="107" t="s">
        <v>114</v>
      </c>
      <c r="B17" s="107" t="s">
        <v>115</v>
      </c>
      <c r="C17" s="108">
        <v>472</v>
      </c>
      <c r="D17" s="108">
        <v>26</v>
      </c>
      <c r="E17" s="108">
        <v>6</v>
      </c>
      <c r="F17" s="108">
        <v>3</v>
      </c>
      <c r="G17" s="108">
        <v>18850587838</v>
      </c>
      <c r="H17" s="108">
        <v>62813239524</v>
      </c>
      <c r="I17" s="108">
        <v>54431470888</v>
      </c>
      <c r="J17" s="108">
        <v>682176798577</v>
      </c>
      <c r="K17" s="10">
        <f t="shared" si="0"/>
        <v>507</v>
      </c>
      <c r="L17" s="10">
        <f t="shared" si="1"/>
        <v>818272096827</v>
      </c>
    </row>
    <row r="18" spans="1:12" x14ac:dyDescent="0.35">
      <c r="A18" s="107" t="s">
        <v>116</v>
      </c>
      <c r="B18" s="107" t="s">
        <v>117</v>
      </c>
      <c r="C18" s="108">
        <v>625</v>
      </c>
      <c r="D18" s="108">
        <v>46</v>
      </c>
      <c r="E18" s="108">
        <v>7</v>
      </c>
      <c r="F18" s="108">
        <v>2</v>
      </c>
      <c r="G18" s="108">
        <v>22478315303</v>
      </c>
      <c r="H18" s="108">
        <v>90479004710</v>
      </c>
      <c r="I18" s="108">
        <v>137756825555</v>
      </c>
      <c r="J18" s="108">
        <v>983187892000</v>
      </c>
      <c r="K18" s="10">
        <f t="shared" si="0"/>
        <v>680</v>
      </c>
      <c r="L18" s="10">
        <f t="shared" si="1"/>
        <v>1233902037568</v>
      </c>
    </row>
    <row r="19" spans="1:12" x14ac:dyDescent="0.35">
      <c r="A19" s="107" t="s">
        <v>118</v>
      </c>
      <c r="B19" s="107" t="s">
        <v>119</v>
      </c>
      <c r="C19" s="108">
        <v>84</v>
      </c>
      <c r="D19" s="108">
        <v>14</v>
      </c>
      <c r="E19" s="108">
        <v>0</v>
      </c>
      <c r="F19" s="108">
        <v>5</v>
      </c>
      <c r="G19" s="108">
        <v>5132465252</v>
      </c>
      <c r="H19" s="108">
        <v>37031686145</v>
      </c>
      <c r="I19" s="108">
        <v>0</v>
      </c>
      <c r="J19" s="108">
        <v>6540862373232</v>
      </c>
      <c r="K19" s="10">
        <f t="shared" si="0"/>
        <v>103</v>
      </c>
      <c r="L19" s="10">
        <f t="shared" si="1"/>
        <v>6583026524629</v>
      </c>
    </row>
    <row r="20" spans="1:12" x14ac:dyDescent="0.35">
      <c r="A20" s="107" t="s">
        <v>120</v>
      </c>
      <c r="B20" s="107" t="s">
        <v>121</v>
      </c>
      <c r="C20" s="108">
        <v>747</v>
      </c>
      <c r="D20" s="108">
        <v>89</v>
      </c>
      <c r="E20" s="108">
        <v>14</v>
      </c>
      <c r="F20" s="108">
        <v>0</v>
      </c>
      <c r="G20" s="108">
        <v>43539751905</v>
      </c>
      <c r="H20" s="108">
        <v>170405268288</v>
      </c>
      <c r="I20" s="108">
        <v>223384477521</v>
      </c>
      <c r="J20" s="108">
        <v>0</v>
      </c>
      <c r="K20" s="10">
        <f t="shared" si="0"/>
        <v>850</v>
      </c>
      <c r="L20" s="10">
        <f t="shared" si="1"/>
        <v>437329497714</v>
      </c>
    </row>
    <row r="21" spans="1:12" x14ac:dyDescent="0.35">
      <c r="A21" s="107" t="s">
        <v>122</v>
      </c>
      <c r="B21" s="107" t="s">
        <v>123</v>
      </c>
      <c r="C21" s="108">
        <v>18</v>
      </c>
      <c r="D21" s="108">
        <v>2</v>
      </c>
      <c r="E21" s="108">
        <v>2</v>
      </c>
      <c r="F21" s="108">
        <v>0</v>
      </c>
      <c r="G21" s="108">
        <v>1244523374</v>
      </c>
      <c r="H21" s="108">
        <v>7391063817</v>
      </c>
      <c r="I21" s="108">
        <v>32030750324</v>
      </c>
      <c r="J21" s="108">
        <v>0</v>
      </c>
      <c r="K21" s="10">
        <f t="shared" si="0"/>
        <v>22</v>
      </c>
      <c r="L21" s="10">
        <f t="shared" si="1"/>
        <v>40666337515</v>
      </c>
    </row>
    <row r="22" spans="1:12" x14ac:dyDescent="0.35">
      <c r="A22" s="107" t="s">
        <v>124</v>
      </c>
      <c r="B22" s="107" t="s">
        <v>125</v>
      </c>
      <c r="C22" s="108">
        <v>475</v>
      </c>
      <c r="D22" s="108">
        <v>77</v>
      </c>
      <c r="E22" s="108">
        <v>22</v>
      </c>
      <c r="F22" s="108">
        <v>12</v>
      </c>
      <c r="G22" s="108">
        <v>27545348996</v>
      </c>
      <c r="H22" s="108">
        <v>173609575311</v>
      </c>
      <c r="I22" s="108">
        <v>368347018542</v>
      </c>
      <c r="J22" s="108">
        <v>4061384721532</v>
      </c>
      <c r="K22" s="10">
        <f t="shared" si="0"/>
        <v>586</v>
      </c>
      <c r="L22" s="10">
        <f t="shared" si="1"/>
        <v>4630886664381</v>
      </c>
    </row>
    <row r="23" spans="1:12" x14ac:dyDescent="0.35">
      <c r="A23" s="107" t="s">
        <v>126</v>
      </c>
      <c r="B23" s="107" t="s">
        <v>127</v>
      </c>
      <c r="C23" s="108">
        <v>84</v>
      </c>
      <c r="D23" s="108">
        <v>11</v>
      </c>
      <c r="E23" s="108">
        <v>9</v>
      </c>
      <c r="F23" s="108">
        <v>4</v>
      </c>
      <c r="G23" s="108">
        <v>8209439924</v>
      </c>
      <c r="H23" s="108">
        <v>20629164350</v>
      </c>
      <c r="I23" s="108">
        <v>136656855126</v>
      </c>
      <c r="J23" s="108">
        <v>469009186039</v>
      </c>
      <c r="K23" s="10">
        <f t="shared" si="0"/>
        <v>108</v>
      </c>
      <c r="L23" s="10">
        <f t="shared" si="1"/>
        <v>634504645439</v>
      </c>
    </row>
    <row r="24" spans="1:12" x14ac:dyDescent="0.35">
      <c r="A24" s="107" t="s">
        <v>128</v>
      </c>
      <c r="B24" s="107" t="s">
        <v>129</v>
      </c>
      <c r="C24" s="108">
        <v>352</v>
      </c>
      <c r="D24" s="108">
        <v>99</v>
      </c>
      <c r="E24" s="108">
        <v>18</v>
      </c>
      <c r="F24" s="108">
        <v>9</v>
      </c>
      <c r="G24" s="108">
        <v>21859424163</v>
      </c>
      <c r="H24" s="108">
        <v>219595736360</v>
      </c>
      <c r="I24" s="108">
        <v>301241836603</v>
      </c>
      <c r="J24" s="108">
        <v>1237550510676</v>
      </c>
      <c r="K24" s="10">
        <f t="shared" si="0"/>
        <v>478</v>
      </c>
      <c r="L24" s="10">
        <f t="shared" si="1"/>
        <v>1780247507802</v>
      </c>
    </row>
    <row r="25" spans="1:12" x14ac:dyDescent="0.35">
      <c r="A25" s="107" t="s">
        <v>130</v>
      </c>
      <c r="B25" s="107" t="s">
        <v>131</v>
      </c>
      <c r="C25" s="108">
        <v>235</v>
      </c>
      <c r="D25" s="108">
        <v>37</v>
      </c>
      <c r="E25" s="108">
        <v>19</v>
      </c>
      <c r="F25" s="108">
        <v>10</v>
      </c>
      <c r="G25" s="108">
        <v>14389052024</v>
      </c>
      <c r="H25" s="108">
        <v>93273771044</v>
      </c>
      <c r="I25" s="108">
        <v>344121496268</v>
      </c>
      <c r="J25" s="108">
        <v>4446653038384</v>
      </c>
      <c r="K25" s="10">
        <f t="shared" si="0"/>
        <v>301</v>
      </c>
      <c r="L25" s="10">
        <f t="shared" si="1"/>
        <v>4898437357720</v>
      </c>
    </row>
    <row r="26" spans="1:12" x14ac:dyDescent="0.35">
      <c r="A26" s="107" t="s">
        <v>132</v>
      </c>
      <c r="B26" s="107" t="s">
        <v>133</v>
      </c>
      <c r="C26" s="108">
        <v>110</v>
      </c>
      <c r="D26" s="108">
        <v>14</v>
      </c>
      <c r="E26" s="108">
        <v>7</v>
      </c>
      <c r="F26" s="108">
        <v>3</v>
      </c>
      <c r="G26" s="108">
        <v>3482930896</v>
      </c>
      <c r="H26" s="108">
        <v>31709866324</v>
      </c>
      <c r="I26" s="108">
        <v>93831750957</v>
      </c>
      <c r="J26" s="108">
        <v>320135767691</v>
      </c>
      <c r="K26" s="10">
        <f t="shared" si="0"/>
        <v>134</v>
      </c>
      <c r="L26" s="10">
        <f t="shared" si="1"/>
        <v>449160315868</v>
      </c>
    </row>
    <row r="27" spans="1:12" x14ac:dyDescent="0.35">
      <c r="A27" s="107" t="s">
        <v>134</v>
      </c>
      <c r="B27" s="107" t="s">
        <v>135</v>
      </c>
      <c r="C27" s="108">
        <v>996</v>
      </c>
      <c r="D27" s="108">
        <v>133</v>
      </c>
      <c r="E27" s="108">
        <v>16</v>
      </c>
      <c r="F27" s="108">
        <v>4</v>
      </c>
      <c r="G27" s="108">
        <v>62328884095</v>
      </c>
      <c r="H27" s="108">
        <v>248426171309</v>
      </c>
      <c r="I27" s="108">
        <v>184313588345</v>
      </c>
      <c r="J27" s="108">
        <v>231412974118</v>
      </c>
      <c r="K27" s="10">
        <f t="shared" si="0"/>
        <v>1149</v>
      </c>
      <c r="L27" s="10">
        <f t="shared" si="1"/>
        <v>726481617867</v>
      </c>
    </row>
    <row r="28" spans="1:12" x14ac:dyDescent="0.35">
      <c r="A28" s="107" t="s">
        <v>136</v>
      </c>
      <c r="B28" s="107" t="s">
        <v>137</v>
      </c>
      <c r="C28" s="108">
        <v>70</v>
      </c>
      <c r="D28" s="108">
        <v>9</v>
      </c>
      <c r="E28" s="108">
        <v>1</v>
      </c>
      <c r="F28" s="108">
        <v>0</v>
      </c>
      <c r="G28" s="108">
        <v>4539455950</v>
      </c>
      <c r="H28" s="108">
        <v>26182545140</v>
      </c>
      <c r="I28" s="108">
        <v>13285676294</v>
      </c>
      <c r="J28" s="108">
        <v>0</v>
      </c>
      <c r="K28" s="10">
        <f t="shared" si="0"/>
        <v>80</v>
      </c>
      <c r="L28" s="10">
        <f t="shared" si="1"/>
        <v>44007677384</v>
      </c>
    </row>
    <row r="29" spans="1:12" x14ac:dyDescent="0.35">
      <c r="A29" s="107" t="s">
        <v>138</v>
      </c>
      <c r="B29" s="107" t="s">
        <v>139</v>
      </c>
      <c r="C29" s="108">
        <v>92</v>
      </c>
      <c r="D29" s="108">
        <v>23</v>
      </c>
      <c r="E29" s="108">
        <v>7</v>
      </c>
      <c r="F29" s="108">
        <v>5</v>
      </c>
      <c r="G29" s="108">
        <v>10538457656</v>
      </c>
      <c r="H29" s="108">
        <v>54828514839</v>
      </c>
      <c r="I29" s="108">
        <v>143837899851</v>
      </c>
      <c r="J29" s="108">
        <v>1680741236448</v>
      </c>
      <c r="K29" s="10">
        <f t="shared" si="0"/>
        <v>127</v>
      </c>
      <c r="L29" s="10">
        <f t="shared" si="1"/>
        <v>1889946108794</v>
      </c>
    </row>
    <row r="30" spans="1:12" x14ac:dyDescent="0.35">
      <c r="A30" s="107" t="s">
        <v>140</v>
      </c>
      <c r="B30" s="107" t="s">
        <v>141</v>
      </c>
      <c r="C30" s="108">
        <v>213</v>
      </c>
      <c r="D30" s="108">
        <v>39</v>
      </c>
      <c r="E30" s="108">
        <v>2</v>
      </c>
      <c r="F30" s="108">
        <v>0</v>
      </c>
      <c r="G30" s="108">
        <v>17912108848</v>
      </c>
      <c r="H30" s="108">
        <v>86540388793</v>
      </c>
      <c r="I30" s="108">
        <v>35758997139</v>
      </c>
      <c r="J30" s="108">
        <v>0</v>
      </c>
      <c r="K30" s="10">
        <f t="shared" si="0"/>
        <v>254</v>
      </c>
      <c r="L30" s="10">
        <f t="shared" si="1"/>
        <v>140211494780</v>
      </c>
    </row>
    <row r="31" spans="1:12" x14ac:dyDescent="0.35">
      <c r="A31" s="107" t="s">
        <v>142</v>
      </c>
      <c r="B31" s="107" t="s">
        <v>143</v>
      </c>
      <c r="C31" s="108">
        <v>82</v>
      </c>
      <c r="D31" s="108">
        <v>29</v>
      </c>
      <c r="E31" s="108">
        <v>2</v>
      </c>
      <c r="F31" s="108">
        <v>1</v>
      </c>
      <c r="G31" s="108">
        <v>5166019476</v>
      </c>
      <c r="H31" s="108">
        <v>68427577648</v>
      </c>
      <c r="I31" s="108">
        <v>54174965708</v>
      </c>
      <c r="J31" s="108">
        <v>80657191000</v>
      </c>
      <c r="K31" s="10">
        <f t="shared" si="0"/>
        <v>114</v>
      </c>
      <c r="L31" s="10">
        <f t="shared" si="1"/>
        <v>208425753832</v>
      </c>
    </row>
    <row r="32" spans="1:12" x14ac:dyDescent="0.35">
      <c r="A32" s="107" t="s">
        <v>144</v>
      </c>
      <c r="B32" s="107" t="s">
        <v>145</v>
      </c>
      <c r="C32" s="108">
        <v>28</v>
      </c>
      <c r="D32" s="108">
        <v>4</v>
      </c>
      <c r="E32" s="108">
        <v>0</v>
      </c>
      <c r="F32" s="108">
        <v>1</v>
      </c>
      <c r="G32" s="108">
        <v>1759854919</v>
      </c>
      <c r="H32" s="108">
        <v>10888563958</v>
      </c>
      <c r="I32" s="108">
        <v>0</v>
      </c>
      <c r="J32" s="108">
        <v>1015250682000</v>
      </c>
      <c r="K32" s="10">
        <f t="shared" si="0"/>
        <v>33</v>
      </c>
      <c r="L32" s="10">
        <f t="shared" si="1"/>
        <v>1027899100877</v>
      </c>
    </row>
    <row r="33" spans="1:12" x14ac:dyDescent="0.35">
      <c r="A33" s="107" t="s">
        <v>146</v>
      </c>
      <c r="B33" s="107" t="s">
        <v>147</v>
      </c>
      <c r="C33" s="108">
        <v>751</v>
      </c>
      <c r="D33" s="108">
        <v>60</v>
      </c>
      <c r="E33" s="108">
        <v>3</v>
      </c>
      <c r="F33" s="108">
        <v>0</v>
      </c>
      <c r="G33" s="108">
        <v>31591955084</v>
      </c>
      <c r="H33" s="108">
        <v>102175930023</v>
      </c>
      <c r="I33" s="108">
        <v>68468615549</v>
      </c>
      <c r="J33" s="108">
        <v>0</v>
      </c>
      <c r="K33" s="10">
        <f t="shared" si="0"/>
        <v>814</v>
      </c>
      <c r="L33" s="10">
        <f t="shared" si="1"/>
        <v>202236500656</v>
      </c>
    </row>
    <row r="34" spans="1:12" x14ac:dyDescent="0.35">
      <c r="A34" s="107" t="s">
        <v>148</v>
      </c>
      <c r="B34" s="107" t="s">
        <v>149</v>
      </c>
      <c r="C34" s="108">
        <v>931</v>
      </c>
      <c r="D34" s="108">
        <v>77</v>
      </c>
      <c r="E34" s="108">
        <v>16</v>
      </c>
      <c r="F34" s="108">
        <v>2</v>
      </c>
      <c r="G34" s="108">
        <v>40237286727</v>
      </c>
      <c r="H34" s="108">
        <v>149724870212</v>
      </c>
      <c r="I34" s="108">
        <v>312129927425</v>
      </c>
      <c r="J34" s="108">
        <v>461389925000</v>
      </c>
      <c r="K34" s="10">
        <f t="shared" si="0"/>
        <v>1026</v>
      </c>
      <c r="L34" s="10">
        <f t="shared" si="1"/>
        <v>963482009364</v>
      </c>
    </row>
    <row r="35" spans="1:12" x14ac:dyDescent="0.35">
      <c r="A35" s="107" t="s">
        <v>150</v>
      </c>
      <c r="B35" s="107" t="s">
        <v>151</v>
      </c>
      <c r="C35" s="108">
        <v>1300</v>
      </c>
      <c r="D35" s="108">
        <v>101</v>
      </c>
      <c r="E35" s="108">
        <v>8</v>
      </c>
      <c r="F35" s="108">
        <v>0</v>
      </c>
      <c r="G35" s="108">
        <v>65228927280</v>
      </c>
      <c r="H35" s="108">
        <v>178932545717</v>
      </c>
      <c r="I35" s="108">
        <v>99713402300</v>
      </c>
      <c r="J35" s="108">
        <v>0</v>
      </c>
      <c r="K35" s="10">
        <f t="shared" si="0"/>
        <v>1409</v>
      </c>
      <c r="L35" s="10">
        <f t="shared" si="1"/>
        <v>343874875297</v>
      </c>
    </row>
    <row r="36" spans="1:12" x14ac:dyDescent="0.35">
      <c r="A36" s="107" t="s">
        <v>152</v>
      </c>
      <c r="B36" s="107" t="s">
        <v>33</v>
      </c>
      <c r="C36" s="108">
        <v>195</v>
      </c>
      <c r="D36" s="108">
        <v>36</v>
      </c>
      <c r="E36" s="108">
        <v>29</v>
      </c>
      <c r="F36" s="108">
        <v>29</v>
      </c>
      <c r="G36" s="108">
        <v>10405706320</v>
      </c>
      <c r="H36" s="108">
        <v>86466103692</v>
      </c>
      <c r="I36" s="108">
        <v>564362918157</v>
      </c>
      <c r="J36" s="108">
        <v>56791578292759</v>
      </c>
      <c r="K36" s="10">
        <f t="shared" si="0"/>
        <v>289</v>
      </c>
      <c r="L36" s="10">
        <f t="shared" si="1"/>
        <v>57452813020928</v>
      </c>
    </row>
    <row r="37" spans="1:12" x14ac:dyDescent="0.35">
      <c r="A37" s="107" t="s">
        <v>153</v>
      </c>
      <c r="B37" s="107" t="s">
        <v>154</v>
      </c>
      <c r="C37" s="108">
        <v>43</v>
      </c>
      <c r="D37" s="108">
        <v>26</v>
      </c>
      <c r="E37" s="108">
        <v>2</v>
      </c>
      <c r="F37" s="108">
        <v>0</v>
      </c>
      <c r="G37" s="108">
        <v>5349221887</v>
      </c>
      <c r="H37" s="108">
        <v>44252286319</v>
      </c>
      <c r="I37" s="108">
        <v>38601893290</v>
      </c>
      <c r="J37" s="108">
        <v>0</v>
      </c>
      <c r="K37" s="10">
        <f t="shared" si="0"/>
        <v>71</v>
      </c>
      <c r="L37" s="10">
        <f t="shared" si="1"/>
        <v>88203401496</v>
      </c>
    </row>
    <row r="38" spans="1:12" x14ac:dyDescent="0.35">
      <c r="A38" s="107" t="s">
        <v>155</v>
      </c>
      <c r="B38" s="107" t="s">
        <v>156</v>
      </c>
      <c r="C38" s="108">
        <v>27</v>
      </c>
      <c r="D38" s="108">
        <v>6</v>
      </c>
      <c r="E38" s="108">
        <v>0</v>
      </c>
      <c r="F38" s="108">
        <v>1</v>
      </c>
      <c r="G38" s="108">
        <v>3131549191</v>
      </c>
      <c r="H38" s="108">
        <v>14190581753</v>
      </c>
      <c r="I38" s="108">
        <v>0</v>
      </c>
      <c r="J38" s="108">
        <v>2935076655299</v>
      </c>
      <c r="K38" s="10">
        <f t="shared" si="0"/>
        <v>34</v>
      </c>
      <c r="L38" s="10">
        <f t="shared" si="1"/>
        <v>2952398786243</v>
      </c>
    </row>
    <row r="39" spans="1:12" x14ac:dyDescent="0.35">
      <c r="A39" s="107" t="s">
        <v>157</v>
      </c>
      <c r="B39" s="107" t="s">
        <v>158</v>
      </c>
      <c r="C39" s="108">
        <v>424</v>
      </c>
      <c r="D39" s="108">
        <v>22</v>
      </c>
      <c r="E39" s="108">
        <v>8</v>
      </c>
      <c r="F39" s="108">
        <v>1</v>
      </c>
      <c r="G39" s="108">
        <v>10351842094</v>
      </c>
      <c r="H39" s="108">
        <v>41170711449</v>
      </c>
      <c r="I39" s="108">
        <v>129023750010</v>
      </c>
      <c r="J39" s="108">
        <v>453416242345</v>
      </c>
      <c r="K39" s="10">
        <f t="shared" si="0"/>
        <v>455</v>
      </c>
      <c r="L39" s="10">
        <f t="shared" si="1"/>
        <v>633962545898</v>
      </c>
    </row>
    <row r="40" spans="1:12" x14ac:dyDescent="0.35">
      <c r="A40" s="107" t="s">
        <v>159</v>
      </c>
      <c r="B40" s="107" t="s">
        <v>160</v>
      </c>
      <c r="C40" s="108">
        <v>36</v>
      </c>
      <c r="D40" s="108">
        <v>5</v>
      </c>
      <c r="E40" s="108">
        <v>0</v>
      </c>
      <c r="F40" s="108">
        <v>0</v>
      </c>
      <c r="G40" s="108">
        <v>4814420175</v>
      </c>
      <c r="H40" s="108">
        <v>7713181765</v>
      </c>
      <c r="I40" s="108">
        <v>0</v>
      </c>
      <c r="J40" s="108">
        <v>0</v>
      </c>
      <c r="K40" s="10">
        <f t="shared" si="0"/>
        <v>41</v>
      </c>
      <c r="L40" s="10">
        <f t="shared" si="1"/>
        <v>12527601940</v>
      </c>
    </row>
    <row r="41" spans="1:12" x14ac:dyDescent="0.35">
      <c r="A41" s="107" t="s">
        <v>161</v>
      </c>
      <c r="B41" s="107" t="s">
        <v>162</v>
      </c>
      <c r="C41" s="108">
        <v>1851</v>
      </c>
      <c r="D41" s="108">
        <v>347</v>
      </c>
      <c r="E41" s="108">
        <v>173</v>
      </c>
      <c r="F41" s="108">
        <v>67</v>
      </c>
      <c r="G41" s="108">
        <v>108416715196</v>
      </c>
      <c r="H41" s="108">
        <v>837582832539</v>
      </c>
      <c r="I41" s="108">
        <v>2923019524118</v>
      </c>
      <c r="J41" s="108">
        <v>11118629140094</v>
      </c>
      <c r="K41" s="10">
        <f t="shared" si="0"/>
        <v>2438</v>
      </c>
      <c r="L41" s="10">
        <f t="shared" si="1"/>
        <v>14987648211947</v>
      </c>
    </row>
    <row r="42" spans="1:12" x14ac:dyDescent="0.35">
      <c r="A42" s="107" t="s">
        <v>163</v>
      </c>
      <c r="B42" s="107" t="s">
        <v>164</v>
      </c>
      <c r="C42" s="108">
        <v>1336</v>
      </c>
      <c r="D42" s="108">
        <v>442</v>
      </c>
      <c r="E42" s="108">
        <v>97</v>
      </c>
      <c r="F42" s="108">
        <v>38</v>
      </c>
      <c r="G42" s="108">
        <v>129377749595</v>
      </c>
      <c r="H42" s="108">
        <v>977443774619</v>
      </c>
      <c r="I42" s="108">
        <v>1419481587483</v>
      </c>
      <c r="J42" s="108">
        <v>19063043426259</v>
      </c>
      <c r="K42" s="10">
        <f t="shared" si="0"/>
        <v>1913</v>
      </c>
      <c r="L42" s="10">
        <f t="shared" si="1"/>
        <v>21589346537956</v>
      </c>
    </row>
    <row r="43" spans="1:12" x14ac:dyDescent="0.35">
      <c r="A43" s="107" t="s">
        <v>165</v>
      </c>
      <c r="B43" s="107" t="s">
        <v>166</v>
      </c>
      <c r="C43" s="108">
        <v>3299</v>
      </c>
      <c r="D43" s="108">
        <v>338</v>
      </c>
      <c r="E43" s="108">
        <v>44</v>
      </c>
      <c r="F43" s="108">
        <v>10</v>
      </c>
      <c r="G43" s="108">
        <v>185677628025</v>
      </c>
      <c r="H43" s="108">
        <v>700217148308</v>
      </c>
      <c r="I43" s="108">
        <v>581020698460</v>
      </c>
      <c r="J43" s="108">
        <v>766598743409</v>
      </c>
      <c r="K43" s="10">
        <f t="shared" si="0"/>
        <v>3691</v>
      </c>
      <c r="L43" s="10">
        <f t="shared" si="1"/>
        <v>2233514218202</v>
      </c>
    </row>
    <row r="44" spans="1:12" x14ac:dyDescent="0.35">
      <c r="A44" s="107" t="s">
        <v>167</v>
      </c>
      <c r="B44" s="107" t="s">
        <v>168</v>
      </c>
      <c r="C44" s="108">
        <v>5393</v>
      </c>
      <c r="D44" s="108">
        <v>392</v>
      </c>
      <c r="E44" s="108">
        <v>66</v>
      </c>
      <c r="F44" s="108">
        <v>26</v>
      </c>
      <c r="G44" s="108">
        <v>204630047987</v>
      </c>
      <c r="H44" s="108">
        <v>810321196738</v>
      </c>
      <c r="I44" s="108">
        <v>934258669327</v>
      </c>
      <c r="J44" s="108">
        <v>3456576443264</v>
      </c>
      <c r="K44" s="10">
        <f t="shared" si="0"/>
        <v>5877</v>
      </c>
      <c r="L44" s="10">
        <f t="shared" si="1"/>
        <v>5405786357316</v>
      </c>
    </row>
    <row r="45" spans="1:12" x14ac:dyDescent="0.35">
      <c r="A45" s="107" t="s">
        <v>169</v>
      </c>
      <c r="B45" s="107" t="s">
        <v>170</v>
      </c>
      <c r="C45" s="108">
        <v>6164</v>
      </c>
      <c r="D45" s="108">
        <v>1308</v>
      </c>
      <c r="E45" s="108">
        <v>299</v>
      </c>
      <c r="F45" s="108">
        <v>69</v>
      </c>
      <c r="G45" s="108">
        <v>493316134148</v>
      </c>
      <c r="H45" s="108">
        <v>2828727347330</v>
      </c>
      <c r="I45" s="108">
        <v>4640061022914</v>
      </c>
      <c r="J45" s="108">
        <v>9593977245690</v>
      </c>
      <c r="K45" s="10">
        <f t="shared" si="0"/>
        <v>7840</v>
      </c>
      <c r="L45" s="10">
        <f t="shared" si="1"/>
        <v>17556081750082</v>
      </c>
    </row>
    <row r="46" spans="1:12" x14ac:dyDescent="0.35">
      <c r="A46" s="107" t="s">
        <v>171</v>
      </c>
      <c r="B46" s="107" t="s">
        <v>172</v>
      </c>
      <c r="C46" s="108">
        <v>40580</v>
      </c>
      <c r="D46" s="108">
        <v>1283</v>
      </c>
      <c r="E46" s="108">
        <v>190</v>
      </c>
      <c r="F46" s="108">
        <v>31</v>
      </c>
      <c r="G46" s="108">
        <v>851546174227</v>
      </c>
      <c r="H46" s="108">
        <v>2538442018701</v>
      </c>
      <c r="I46" s="108">
        <v>2461562320185</v>
      </c>
      <c r="J46" s="108">
        <v>5572251628569</v>
      </c>
      <c r="K46" s="10">
        <f t="shared" si="0"/>
        <v>42084</v>
      </c>
      <c r="L46" s="10">
        <f t="shared" si="1"/>
        <v>11423802141682</v>
      </c>
    </row>
    <row r="47" spans="1:12" x14ac:dyDescent="0.35">
      <c r="A47" s="107" t="s">
        <v>173</v>
      </c>
      <c r="B47" s="107" t="s">
        <v>174</v>
      </c>
      <c r="C47" s="108">
        <v>1509</v>
      </c>
      <c r="D47" s="108">
        <v>375</v>
      </c>
      <c r="E47" s="108">
        <v>73</v>
      </c>
      <c r="F47" s="108">
        <v>12</v>
      </c>
      <c r="G47" s="108">
        <v>110931290442</v>
      </c>
      <c r="H47" s="108">
        <v>836482094677</v>
      </c>
      <c r="I47" s="108">
        <v>1031521886204</v>
      </c>
      <c r="J47" s="108">
        <v>8194421640410</v>
      </c>
      <c r="K47" s="10">
        <f t="shared" si="0"/>
        <v>1969</v>
      </c>
      <c r="L47" s="10">
        <f t="shared" si="1"/>
        <v>10173356911733</v>
      </c>
    </row>
    <row r="48" spans="1:12" x14ac:dyDescent="0.35">
      <c r="A48" s="107" t="s">
        <v>175</v>
      </c>
      <c r="B48" s="107" t="s">
        <v>176</v>
      </c>
      <c r="C48" s="108">
        <v>22</v>
      </c>
      <c r="D48" s="108">
        <v>4</v>
      </c>
      <c r="E48" s="108">
        <v>0</v>
      </c>
      <c r="F48" s="108">
        <v>0</v>
      </c>
      <c r="G48" s="108">
        <v>1585940176</v>
      </c>
      <c r="H48" s="108">
        <v>6315292279</v>
      </c>
      <c r="I48" s="108">
        <v>0</v>
      </c>
      <c r="J48" s="108">
        <v>0</v>
      </c>
      <c r="K48" s="10">
        <f t="shared" si="0"/>
        <v>26</v>
      </c>
      <c r="L48" s="10">
        <f t="shared" si="1"/>
        <v>7901232455</v>
      </c>
    </row>
    <row r="49" spans="1:12" x14ac:dyDescent="0.35">
      <c r="A49" s="107" t="s">
        <v>177</v>
      </c>
      <c r="B49" s="107" t="s">
        <v>178</v>
      </c>
      <c r="C49" s="108">
        <v>18</v>
      </c>
      <c r="D49" s="108">
        <v>14</v>
      </c>
      <c r="E49" s="108">
        <v>5</v>
      </c>
      <c r="F49" s="108">
        <v>0</v>
      </c>
      <c r="G49" s="108">
        <v>2556094913</v>
      </c>
      <c r="H49" s="108">
        <v>41729187092</v>
      </c>
      <c r="I49" s="108">
        <v>106477884716</v>
      </c>
      <c r="J49" s="108">
        <v>0</v>
      </c>
      <c r="K49" s="10">
        <f t="shared" si="0"/>
        <v>37</v>
      </c>
      <c r="L49" s="10">
        <f t="shared" si="1"/>
        <v>150763166721</v>
      </c>
    </row>
    <row r="50" spans="1:12" x14ac:dyDescent="0.35">
      <c r="A50" s="107" t="s">
        <v>179</v>
      </c>
      <c r="B50" s="107" t="s">
        <v>180</v>
      </c>
      <c r="C50" s="108">
        <v>1023</v>
      </c>
      <c r="D50" s="108">
        <v>122</v>
      </c>
      <c r="E50" s="108">
        <v>26</v>
      </c>
      <c r="F50" s="108">
        <v>7</v>
      </c>
      <c r="G50" s="108">
        <v>34405633429</v>
      </c>
      <c r="H50" s="108">
        <v>241188569103</v>
      </c>
      <c r="I50" s="108">
        <v>441329990898</v>
      </c>
      <c r="J50" s="108">
        <v>1947892108355</v>
      </c>
      <c r="K50" s="10">
        <f t="shared" si="0"/>
        <v>1178</v>
      </c>
      <c r="L50" s="10">
        <f t="shared" si="1"/>
        <v>2664816301785</v>
      </c>
    </row>
    <row r="51" spans="1:12" x14ac:dyDescent="0.35">
      <c r="A51" s="107" t="s">
        <v>181</v>
      </c>
      <c r="B51" s="107" t="s">
        <v>182</v>
      </c>
      <c r="C51" s="108">
        <v>461</v>
      </c>
      <c r="D51" s="108">
        <v>7</v>
      </c>
      <c r="E51" s="108">
        <v>2</v>
      </c>
      <c r="F51" s="108">
        <v>0</v>
      </c>
      <c r="G51" s="108">
        <v>8055499551</v>
      </c>
      <c r="H51" s="108">
        <v>8646541990</v>
      </c>
      <c r="I51" s="108">
        <v>45178483385</v>
      </c>
      <c r="J51" s="108">
        <v>0</v>
      </c>
      <c r="K51" s="10">
        <f t="shared" si="0"/>
        <v>470</v>
      </c>
      <c r="L51" s="10">
        <f t="shared" si="1"/>
        <v>61880524926</v>
      </c>
    </row>
    <row r="52" spans="1:12" x14ac:dyDescent="0.35">
      <c r="A52" s="107" t="s">
        <v>183</v>
      </c>
      <c r="B52" s="107" t="s">
        <v>184</v>
      </c>
      <c r="C52" s="108">
        <v>2656</v>
      </c>
      <c r="D52" s="108">
        <v>215</v>
      </c>
      <c r="E52" s="108">
        <v>63</v>
      </c>
      <c r="F52" s="108">
        <v>7</v>
      </c>
      <c r="G52" s="108">
        <v>100370202058</v>
      </c>
      <c r="H52" s="108">
        <v>467334539610</v>
      </c>
      <c r="I52" s="108">
        <v>937704774665</v>
      </c>
      <c r="J52" s="108">
        <v>845339656113</v>
      </c>
      <c r="K52" s="10">
        <f t="shared" si="0"/>
        <v>2941</v>
      </c>
      <c r="L52" s="10">
        <f t="shared" si="1"/>
        <v>2350749172446</v>
      </c>
    </row>
    <row r="53" spans="1:12" x14ac:dyDescent="0.35">
      <c r="A53" s="107" t="s">
        <v>185</v>
      </c>
      <c r="B53" s="107" t="s">
        <v>186</v>
      </c>
      <c r="C53" s="108">
        <v>15327</v>
      </c>
      <c r="D53" s="108">
        <v>195</v>
      </c>
      <c r="E53" s="108">
        <v>20</v>
      </c>
      <c r="F53" s="108">
        <v>3</v>
      </c>
      <c r="G53" s="108">
        <v>206149582230</v>
      </c>
      <c r="H53" s="108">
        <v>356700211993</v>
      </c>
      <c r="I53" s="108">
        <v>293151626300</v>
      </c>
      <c r="J53" s="108">
        <v>163594709332</v>
      </c>
      <c r="K53" s="10">
        <f t="shared" si="0"/>
        <v>15545</v>
      </c>
      <c r="L53" s="10">
        <f t="shared" si="1"/>
        <v>1019596129855</v>
      </c>
    </row>
    <row r="54" spans="1:12" x14ac:dyDescent="0.35">
      <c r="A54" s="107" t="s">
        <v>187</v>
      </c>
      <c r="B54" s="107" t="s">
        <v>188</v>
      </c>
      <c r="C54" s="108">
        <v>205</v>
      </c>
      <c r="D54" s="108">
        <v>42</v>
      </c>
      <c r="E54" s="108">
        <v>1</v>
      </c>
      <c r="F54" s="108">
        <v>1</v>
      </c>
      <c r="G54" s="108">
        <v>11710769146</v>
      </c>
      <c r="H54" s="108">
        <v>78965713534</v>
      </c>
      <c r="I54" s="108">
        <v>14122534149</v>
      </c>
      <c r="J54" s="108">
        <v>51330481126</v>
      </c>
      <c r="K54" s="10">
        <f t="shared" si="0"/>
        <v>249</v>
      </c>
      <c r="L54" s="10">
        <f t="shared" si="1"/>
        <v>156129497955</v>
      </c>
    </row>
    <row r="55" spans="1:12" x14ac:dyDescent="0.35">
      <c r="A55" s="107" t="s">
        <v>189</v>
      </c>
      <c r="B55" s="107" t="s">
        <v>190</v>
      </c>
      <c r="C55" s="108">
        <v>372</v>
      </c>
      <c r="D55" s="108">
        <v>33</v>
      </c>
      <c r="E55" s="108">
        <v>5</v>
      </c>
      <c r="F55" s="108">
        <v>1</v>
      </c>
      <c r="G55" s="108">
        <v>21993950705</v>
      </c>
      <c r="H55" s="108">
        <v>55548439703</v>
      </c>
      <c r="I55" s="108">
        <v>63053543628</v>
      </c>
      <c r="J55" s="108">
        <v>48700853000</v>
      </c>
      <c r="K55" s="10">
        <f t="shared" si="0"/>
        <v>411</v>
      </c>
      <c r="L55" s="10">
        <f t="shared" si="1"/>
        <v>189296787036</v>
      </c>
    </row>
    <row r="56" spans="1:12" x14ac:dyDescent="0.35">
      <c r="A56" s="107" t="s">
        <v>191</v>
      </c>
      <c r="B56" s="107" t="s">
        <v>192</v>
      </c>
      <c r="C56" s="108">
        <v>44</v>
      </c>
      <c r="D56" s="108">
        <v>15</v>
      </c>
      <c r="E56" s="108">
        <v>1</v>
      </c>
      <c r="F56" s="108">
        <v>2</v>
      </c>
      <c r="G56" s="108">
        <v>4062532265</v>
      </c>
      <c r="H56" s="108">
        <v>39347061998</v>
      </c>
      <c r="I56" s="108">
        <v>15415004000</v>
      </c>
      <c r="J56" s="108">
        <v>149256979616</v>
      </c>
      <c r="K56" s="10">
        <f t="shared" si="0"/>
        <v>62</v>
      </c>
      <c r="L56" s="10">
        <f t="shared" si="1"/>
        <v>208081577879</v>
      </c>
    </row>
    <row r="57" spans="1:12" x14ac:dyDescent="0.35">
      <c r="A57" s="107" t="s">
        <v>193</v>
      </c>
      <c r="B57" s="107" t="s">
        <v>194</v>
      </c>
      <c r="C57" s="108">
        <v>589</v>
      </c>
      <c r="D57" s="108">
        <v>39</v>
      </c>
      <c r="E57" s="108">
        <v>3</v>
      </c>
      <c r="F57" s="108">
        <v>7</v>
      </c>
      <c r="G57" s="108">
        <v>24239115486</v>
      </c>
      <c r="H57" s="108">
        <v>64618278674</v>
      </c>
      <c r="I57" s="108">
        <v>45327665795</v>
      </c>
      <c r="J57" s="108">
        <v>6324464406110</v>
      </c>
      <c r="K57" s="10">
        <f t="shared" si="0"/>
        <v>638</v>
      </c>
      <c r="L57" s="10">
        <f t="shared" si="1"/>
        <v>6458649466065</v>
      </c>
    </row>
    <row r="58" spans="1:12" x14ac:dyDescent="0.35">
      <c r="A58" s="107" t="s">
        <v>195</v>
      </c>
      <c r="B58" s="107" t="s">
        <v>196</v>
      </c>
      <c r="C58" s="108">
        <v>2220</v>
      </c>
      <c r="D58" s="108">
        <v>380</v>
      </c>
      <c r="E58" s="108">
        <v>66</v>
      </c>
      <c r="F58" s="108">
        <v>13</v>
      </c>
      <c r="G58" s="108">
        <v>177887502393</v>
      </c>
      <c r="H58" s="108">
        <v>781482876418</v>
      </c>
      <c r="I58" s="108">
        <v>886202076904</v>
      </c>
      <c r="J58" s="108">
        <v>1250220411664</v>
      </c>
      <c r="K58" s="10">
        <f t="shared" si="0"/>
        <v>2679</v>
      </c>
      <c r="L58" s="10">
        <f t="shared" si="1"/>
        <v>3095792867379</v>
      </c>
    </row>
    <row r="59" spans="1:12" x14ac:dyDescent="0.35">
      <c r="A59" s="107" t="s">
        <v>197</v>
      </c>
      <c r="B59" s="107" t="s">
        <v>198</v>
      </c>
      <c r="C59" s="108">
        <v>432</v>
      </c>
      <c r="D59" s="108">
        <v>53</v>
      </c>
      <c r="E59" s="108">
        <v>10</v>
      </c>
      <c r="F59" s="108">
        <v>3</v>
      </c>
      <c r="G59" s="108">
        <v>25522516098</v>
      </c>
      <c r="H59" s="108">
        <v>125910432752</v>
      </c>
      <c r="I59" s="108">
        <v>166745324908</v>
      </c>
      <c r="J59" s="108">
        <v>211052761814</v>
      </c>
      <c r="K59" s="10">
        <f t="shared" si="0"/>
        <v>498</v>
      </c>
      <c r="L59" s="10">
        <f t="shared" si="1"/>
        <v>529231035572</v>
      </c>
    </row>
    <row r="60" spans="1:12" x14ac:dyDescent="0.35">
      <c r="A60" s="107" t="s">
        <v>199</v>
      </c>
      <c r="B60" s="107" t="s">
        <v>200</v>
      </c>
      <c r="C60" s="108">
        <v>240</v>
      </c>
      <c r="D60" s="108">
        <v>153</v>
      </c>
      <c r="E60" s="108">
        <v>132</v>
      </c>
      <c r="F60" s="108">
        <v>48</v>
      </c>
      <c r="G60" s="108">
        <v>23843688797</v>
      </c>
      <c r="H60" s="108">
        <v>380580018281</v>
      </c>
      <c r="I60" s="108">
        <v>2369648624709</v>
      </c>
      <c r="J60" s="108">
        <v>279047267918261</v>
      </c>
      <c r="K60" s="10">
        <f t="shared" si="0"/>
        <v>573</v>
      </c>
      <c r="L60" s="10">
        <f t="shared" si="1"/>
        <v>281821340250048</v>
      </c>
    </row>
    <row r="61" spans="1:12" x14ac:dyDescent="0.35">
      <c r="A61" s="107" t="s">
        <v>201</v>
      </c>
      <c r="B61" s="107" t="s">
        <v>202</v>
      </c>
      <c r="C61" s="108">
        <v>56</v>
      </c>
      <c r="D61" s="108">
        <v>3</v>
      </c>
      <c r="E61" s="108">
        <v>0</v>
      </c>
      <c r="F61" s="108">
        <v>6</v>
      </c>
      <c r="G61" s="108">
        <v>2517891832</v>
      </c>
      <c r="H61" s="108">
        <v>5044872326</v>
      </c>
      <c r="I61" s="108">
        <v>0</v>
      </c>
      <c r="J61" s="108">
        <v>33324794334412</v>
      </c>
      <c r="K61" s="10">
        <f t="shared" si="0"/>
        <v>65</v>
      </c>
      <c r="L61" s="10">
        <f t="shared" si="1"/>
        <v>33332357098570</v>
      </c>
    </row>
    <row r="62" spans="1:12" x14ac:dyDescent="0.35">
      <c r="A62" s="107" t="s">
        <v>203</v>
      </c>
      <c r="B62" s="107" t="s">
        <v>204</v>
      </c>
      <c r="C62" s="108">
        <v>1233</v>
      </c>
      <c r="D62" s="108">
        <v>221</v>
      </c>
      <c r="E62" s="108">
        <v>71</v>
      </c>
      <c r="F62" s="108">
        <v>44</v>
      </c>
      <c r="G62" s="108">
        <v>86331889076</v>
      </c>
      <c r="H62" s="108">
        <v>479075833855</v>
      </c>
      <c r="I62" s="108">
        <v>1200862366889</v>
      </c>
      <c r="J62" s="108">
        <v>91932394256073</v>
      </c>
      <c r="K62" s="10">
        <f t="shared" si="0"/>
        <v>1569</v>
      </c>
      <c r="L62" s="10">
        <f t="shared" si="1"/>
        <v>93698664345893</v>
      </c>
    </row>
    <row r="63" spans="1:12" x14ac:dyDescent="0.35">
      <c r="A63" s="107" t="s">
        <v>205</v>
      </c>
      <c r="B63" s="107" t="s">
        <v>49</v>
      </c>
      <c r="C63" s="108">
        <v>6017</v>
      </c>
      <c r="D63" s="108">
        <v>2589</v>
      </c>
      <c r="E63" s="108">
        <v>857</v>
      </c>
      <c r="F63" s="108">
        <v>137</v>
      </c>
      <c r="G63" s="108">
        <v>513617486759</v>
      </c>
      <c r="H63" s="108">
        <v>6313375677229</v>
      </c>
      <c r="I63" s="108">
        <v>13059214918024</v>
      </c>
      <c r="J63" s="108">
        <v>46554205991969</v>
      </c>
      <c r="K63" s="10">
        <f t="shared" si="0"/>
        <v>9600</v>
      </c>
      <c r="L63" s="10">
        <f t="shared" si="1"/>
        <v>66440414073981</v>
      </c>
    </row>
    <row r="64" spans="1:12" x14ac:dyDescent="0.35">
      <c r="A64" s="107" t="s">
        <v>206</v>
      </c>
      <c r="B64" s="107" t="s">
        <v>207</v>
      </c>
      <c r="C64" s="108">
        <v>1821</v>
      </c>
      <c r="D64" s="108">
        <v>199</v>
      </c>
      <c r="E64" s="108">
        <v>7</v>
      </c>
      <c r="F64" s="108">
        <v>1</v>
      </c>
      <c r="G64" s="108">
        <v>138193558388</v>
      </c>
      <c r="H64" s="108">
        <v>333985788190</v>
      </c>
      <c r="I64" s="108">
        <v>111244590675</v>
      </c>
      <c r="J64" s="108">
        <v>40957868909</v>
      </c>
      <c r="K64" s="10">
        <f t="shared" si="0"/>
        <v>2028</v>
      </c>
      <c r="L64" s="10">
        <f t="shared" si="1"/>
        <v>624381806162</v>
      </c>
    </row>
    <row r="65" spans="1:12" x14ac:dyDescent="0.35">
      <c r="A65" s="107" t="s">
        <v>208</v>
      </c>
      <c r="B65" s="107" t="s">
        <v>209</v>
      </c>
      <c r="C65" s="108">
        <v>3700</v>
      </c>
      <c r="D65" s="108">
        <v>803</v>
      </c>
      <c r="E65" s="108">
        <v>242</v>
      </c>
      <c r="F65" s="108">
        <v>75</v>
      </c>
      <c r="G65" s="108">
        <v>276834019151</v>
      </c>
      <c r="H65" s="108">
        <v>1866375759347</v>
      </c>
      <c r="I65" s="108">
        <v>3926517631368</v>
      </c>
      <c r="J65" s="108">
        <v>23259855216821</v>
      </c>
      <c r="K65" s="10">
        <f t="shared" si="0"/>
        <v>4820</v>
      </c>
      <c r="L65" s="10">
        <f t="shared" si="1"/>
        <v>29329582626687</v>
      </c>
    </row>
    <row r="66" spans="1:12" x14ac:dyDescent="0.35">
      <c r="A66" s="107" t="s">
        <v>210</v>
      </c>
      <c r="B66" s="107" t="s">
        <v>211</v>
      </c>
      <c r="C66" s="108">
        <v>1562</v>
      </c>
      <c r="D66" s="108">
        <v>392</v>
      </c>
      <c r="E66" s="108">
        <v>59</v>
      </c>
      <c r="F66" s="108">
        <v>16</v>
      </c>
      <c r="G66" s="108">
        <v>182227152173</v>
      </c>
      <c r="H66" s="108">
        <v>823850336101</v>
      </c>
      <c r="I66" s="108">
        <v>840544796278</v>
      </c>
      <c r="J66" s="108">
        <v>3693464502490</v>
      </c>
      <c r="K66" s="10">
        <f t="shared" si="0"/>
        <v>2029</v>
      </c>
      <c r="L66" s="10">
        <f t="shared" si="1"/>
        <v>5540086787042</v>
      </c>
    </row>
    <row r="67" spans="1:12" x14ac:dyDescent="0.35">
      <c r="A67" s="107" t="s">
        <v>212</v>
      </c>
      <c r="B67" s="107" t="s">
        <v>213</v>
      </c>
      <c r="C67" s="108">
        <v>135</v>
      </c>
      <c r="D67" s="108">
        <v>17</v>
      </c>
      <c r="E67" s="108">
        <v>0</v>
      </c>
      <c r="F67" s="108">
        <v>2</v>
      </c>
      <c r="G67" s="108">
        <v>7718864397</v>
      </c>
      <c r="H67" s="108">
        <v>31844940762</v>
      </c>
      <c r="I67" s="108">
        <v>0</v>
      </c>
      <c r="J67" s="108">
        <v>100881089175</v>
      </c>
      <c r="K67" s="10">
        <f t="shared" si="0"/>
        <v>154</v>
      </c>
      <c r="L67" s="10">
        <f t="shared" si="1"/>
        <v>140444894334</v>
      </c>
    </row>
    <row r="68" spans="1:12" x14ac:dyDescent="0.35">
      <c r="A68" s="107" t="s">
        <v>214</v>
      </c>
      <c r="B68" s="107" t="s">
        <v>215</v>
      </c>
      <c r="C68" s="108">
        <v>1537</v>
      </c>
      <c r="D68" s="108">
        <v>107</v>
      </c>
      <c r="E68" s="108">
        <v>15</v>
      </c>
      <c r="F68" s="108">
        <v>1</v>
      </c>
      <c r="G68" s="108">
        <v>79188837186</v>
      </c>
      <c r="H68" s="108">
        <v>196084923437</v>
      </c>
      <c r="I68" s="108">
        <v>184573167098</v>
      </c>
      <c r="J68" s="108">
        <v>39082538439</v>
      </c>
      <c r="K68" s="10">
        <f t="shared" si="0"/>
        <v>1660</v>
      </c>
      <c r="L68" s="10">
        <f t="shared" si="1"/>
        <v>498929466160</v>
      </c>
    </row>
    <row r="69" spans="1:12" x14ac:dyDescent="0.35">
      <c r="A69" s="107" t="s">
        <v>216</v>
      </c>
      <c r="B69" s="107" t="s">
        <v>217</v>
      </c>
      <c r="C69" s="108">
        <v>1673</v>
      </c>
      <c r="D69" s="108">
        <v>330</v>
      </c>
      <c r="E69" s="108">
        <v>109</v>
      </c>
      <c r="F69" s="108">
        <v>26</v>
      </c>
      <c r="G69" s="108">
        <v>93301785674</v>
      </c>
      <c r="H69" s="108">
        <v>784716152621</v>
      </c>
      <c r="I69" s="108">
        <v>1606236708721</v>
      </c>
      <c r="J69" s="108">
        <v>4079106044872</v>
      </c>
      <c r="K69" s="10">
        <f t="shared" si="0"/>
        <v>2138</v>
      </c>
      <c r="L69" s="10">
        <f t="shared" si="1"/>
        <v>6563360691888</v>
      </c>
    </row>
    <row r="70" spans="1:12" x14ac:dyDescent="0.35">
      <c r="A70" s="107" t="s">
        <v>218</v>
      </c>
      <c r="B70" s="107" t="s">
        <v>219</v>
      </c>
      <c r="C70" s="108">
        <v>359</v>
      </c>
      <c r="D70" s="108">
        <v>8</v>
      </c>
      <c r="E70" s="108">
        <v>0</v>
      </c>
      <c r="F70" s="108">
        <v>0</v>
      </c>
      <c r="G70" s="108">
        <v>14408808487</v>
      </c>
      <c r="H70" s="108">
        <v>15742757980</v>
      </c>
      <c r="I70" s="108">
        <v>0</v>
      </c>
      <c r="J70" s="108">
        <v>0</v>
      </c>
      <c r="K70" s="10">
        <f t="shared" ref="K70:K92" si="2">SUM(C70:F70)</f>
        <v>367</v>
      </c>
      <c r="L70" s="10">
        <f t="shared" ref="L70:L92" si="3">SUM(G70:J70)</f>
        <v>30151566467</v>
      </c>
    </row>
    <row r="71" spans="1:12" x14ac:dyDescent="0.35">
      <c r="A71" s="107" t="s">
        <v>220</v>
      </c>
      <c r="B71" s="107" t="s">
        <v>221</v>
      </c>
      <c r="C71" s="108">
        <v>702</v>
      </c>
      <c r="D71" s="108">
        <v>124</v>
      </c>
      <c r="E71" s="108">
        <v>22</v>
      </c>
      <c r="F71" s="108">
        <v>5</v>
      </c>
      <c r="G71" s="108">
        <v>48680290513</v>
      </c>
      <c r="H71" s="108">
        <v>257425013034</v>
      </c>
      <c r="I71" s="108">
        <v>305627479681</v>
      </c>
      <c r="J71" s="108">
        <v>3694666726759</v>
      </c>
      <c r="K71" s="10">
        <f t="shared" si="2"/>
        <v>853</v>
      </c>
      <c r="L71" s="10">
        <f t="shared" si="3"/>
        <v>4306399509987</v>
      </c>
    </row>
    <row r="72" spans="1:12" x14ac:dyDescent="0.35">
      <c r="A72" s="107" t="s">
        <v>222</v>
      </c>
      <c r="B72" s="107" t="s">
        <v>223</v>
      </c>
      <c r="C72" s="108">
        <v>130</v>
      </c>
      <c r="D72" s="108">
        <v>28</v>
      </c>
      <c r="E72" s="108">
        <v>13</v>
      </c>
      <c r="F72" s="108">
        <v>1</v>
      </c>
      <c r="G72" s="108">
        <v>9755723836</v>
      </c>
      <c r="H72" s="108">
        <v>68730391237</v>
      </c>
      <c r="I72" s="108">
        <v>167642634606</v>
      </c>
      <c r="J72" s="108">
        <v>40439738847</v>
      </c>
      <c r="K72" s="10">
        <f t="shared" si="2"/>
        <v>172</v>
      </c>
      <c r="L72" s="10">
        <f t="shared" si="3"/>
        <v>286568488526</v>
      </c>
    </row>
    <row r="73" spans="1:12" x14ac:dyDescent="0.35">
      <c r="A73" s="107" t="s">
        <v>224</v>
      </c>
      <c r="B73" s="107" t="s">
        <v>225</v>
      </c>
      <c r="C73" s="108">
        <v>1638</v>
      </c>
      <c r="D73" s="108">
        <v>64</v>
      </c>
      <c r="E73" s="108">
        <v>9</v>
      </c>
      <c r="F73" s="108">
        <v>0</v>
      </c>
      <c r="G73" s="108">
        <v>51896052767</v>
      </c>
      <c r="H73" s="108">
        <v>133459929542</v>
      </c>
      <c r="I73" s="108">
        <v>129607753845</v>
      </c>
      <c r="J73" s="108">
        <v>0</v>
      </c>
      <c r="K73" s="10">
        <f t="shared" si="2"/>
        <v>1711</v>
      </c>
      <c r="L73" s="10">
        <f t="shared" si="3"/>
        <v>314963736154</v>
      </c>
    </row>
    <row r="74" spans="1:12" x14ac:dyDescent="0.35">
      <c r="A74" s="107" t="s">
        <v>226</v>
      </c>
      <c r="B74" s="107" t="s">
        <v>227</v>
      </c>
      <c r="C74" s="108">
        <v>214</v>
      </c>
      <c r="D74" s="108">
        <v>50</v>
      </c>
      <c r="E74" s="108">
        <v>10</v>
      </c>
      <c r="F74" s="108">
        <v>3</v>
      </c>
      <c r="G74" s="108">
        <v>9792919488</v>
      </c>
      <c r="H74" s="108">
        <v>97112356780</v>
      </c>
      <c r="I74" s="108">
        <v>167203701111</v>
      </c>
      <c r="J74" s="108">
        <v>168668986277</v>
      </c>
      <c r="K74" s="10">
        <f t="shared" si="2"/>
        <v>277</v>
      </c>
      <c r="L74" s="10">
        <f t="shared" si="3"/>
        <v>442777963656</v>
      </c>
    </row>
    <row r="75" spans="1:12" x14ac:dyDescent="0.35">
      <c r="A75" s="107" t="s">
        <v>228</v>
      </c>
      <c r="B75" s="107" t="s">
        <v>229</v>
      </c>
      <c r="C75" s="108">
        <v>565</v>
      </c>
      <c r="D75" s="108">
        <v>28</v>
      </c>
      <c r="E75" s="108">
        <v>8</v>
      </c>
      <c r="F75" s="108">
        <v>1</v>
      </c>
      <c r="G75" s="108">
        <v>25211493948</v>
      </c>
      <c r="H75" s="108">
        <v>61527308306</v>
      </c>
      <c r="I75" s="108">
        <v>82013830913</v>
      </c>
      <c r="J75" s="108">
        <v>39054473997</v>
      </c>
      <c r="K75" s="10">
        <f t="shared" si="2"/>
        <v>602</v>
      </c>
      <c r="L75" s="10">
        <f t="shared" si="3"/>
        <v>207807107164</v>
      </c>
    </row>
    <row r="76" spans="1:12" x14ac:dyDescent="0.35">
      <c r="A76" s="107" t="s">
        <v>230</v>
      </c>
      <c r="B76" s="107" t="s">
        <v>231</v>
      </c>
      <c r="C76" s="108">
        <v>2583</v>
      </c>
      <c r="D76" s="108">
        <v>344</v>
      </c>
      <c r="E76" s="108">
        <v>102</v>
      </c>
      <c r="F76" s="108">
        <v>28</v>
      </c>
      <c r="G76" s="108">
        <v>105868256759</v>
      </c>
      <c r="H76" s="108">
        <v>826079516498</v>
      </c>
      <c r="I76" s="108">
        <v>1610347116319</v>
      </c>
      <c r="J76" s="108">
        <v>4423860436330</v>
      </c>
      <c r="K76" s="10">
        <f t="shared" si="2"/>
        <v>3057</v>
      </c>
      <c r="L76" s="10">
        <f t="shared" si="3"/>
        <v>6966155325906</v>
      </c>
    </row>
    <row r="77" spans="1:12" x14ac:dyDescent="0.35">
      <c r="A77" s="107" t="s">
        <v>232</v>
      </c>
      <c r="B77" s="107" t="s">
        <v>55</v>
      </c>
      <c r="C77" s="108">
        <v>25</v>
      </c>
      <c r="D77" s="108">
        <v>4</v>
      </c>
      <c r="E77" s="108">
        <v>0</v>
      </c>
      <c r="F77" s="108">
        <v>1</v>
      </c>
      <c r="G77" s="108">
        <v>755015332</v>
      </c>
      <c r="H77" s="108">
        <v>8799989857</v>
      </c>
      <c r="I77" s="108">
        <v>0</v>
      </c>
      <c r="J77" s="108">
        <v>183028642088</v>
      </c>
      <c r="K77" s="10">
        <f t="shared" si="2"/>
        <v>30</v>
      </c>
      <c r="L77" s="10">
        <f t="shared" si="3"/>
        <v>192583647277</v>
      </c>
    </row>
    <row r="78" spans="1:12" x14ac:dyDescent="0.35">
      <c r="A78" s="107" t="s">
        <v>233</v>
      </c>
      <c r="B78" s="107" t="s">
        <v>57</v>
      </c>
      <c r="C78" s="108">
        <v>1237</v>
      </c>
      <c r="D78" s="108">
        <v>83</v>
      </c>
      <c r="E78" s="108">
        <v>11</v>
      </c>
      <c r="F78" s="108">
        <v>2</v>
      </c>
      <c r="G78" s="108">
        <v>63237234066</v>
      </c>
      <c r="H78" s="108">
        <v>144974992372</v>
      </c>
      <c r="I78" s="108">
        <v>169857305864</v>
      </c>
      <c r="J78" s="108">
        <v>102125555416</v>
      </c>
      <c r="K78" s="10">
        <f t="shared" si="2"/>
        <v>1333</v>
      </c>
      <c r="L78" s="10">
        <f t="shared" si="3"/>
        <v>480195087718</v>
      </c>
    </row>
    <row r="79" spans="1:12" x14ac:dyDescent="0.35">
      <c r="A79" s="107" t="s">
        <v>234</v>
      </c>
      <c r="B79" s="107" t="s">
        <v>235</v>
      </c>
      <c r="C79" s="108">
        <v>2153</v>
      </c>
      <c r="D79" s="108">
        <v>398</v>
      </c>
      <c r="E79" s="108">
        <v>69</v>
      </c>
      <c r="F79" s="108">
        <v>26</v>
      </c>
      <c r="G79" s="108">
        <v>178257434534</v>
      </c>
      <c r="H79" s="108">
        <v>791386993374</v>
      </c>
      <c r="I79" s="108">
        <v>1057838689213</v>
      </c>
      <c r="J79" s="108">
        <v>4644532396795</v>
      </c>
      <c r="K79" s="10">
        <f t="shared" si="2"/>
        <v>2646</v>
      </c>
      <c r="L79" s="10">
        <f t="shared" si="3"/>
        <v>6672015513916</v>
      </c>
    </row>
    <row r="80" spans="1:12" x14ac:dyDescent="0.35">
      <c r="A80" s="107" t="s">
        <v>236</v>
      </c>
      <c r="B80" s="107" t="s">
        <v>237</v>
      </c>
      <c r="C80" s="108">
        <v>138</v>
      </c>
      <c r="D80" s="108">
        <v>4</v>
      </c>
      <c r="E80" s="108">
        <v>1</v>
      </c>
      <c r="F80" s="108">
        <v>0</v>
      </c>
      <c r="G80" s="108">
        <v>3294473412</v>
      </c>
      <c r="H80" s="108">
        <v>7382767600</v>
      </c>
      <c r="I80" s="108">
        <v>11776026332</v>
      </c>
      <c r="J80" s="108">
        <v>0</v>
      </c>
      <c r="K80" s="10">
        <f t="shared" si="2"/>
        <v>143</v>
      </c>
      <c r="L80" s="10">
        <f t="shared" si="3"/>
        <v>22453267344</v>
      </c>
    </row>
    <row r="81" spans="1:12" x14ac:dyDescent="0.35">
      <c r="A81" s="107" t="s">
        <v>238</v>
      </c>
      <c r="B81" s="107" t="s">
        <v>239</v>
      </c>
      <c r="C81" s="108">
        <v>23</v>
      </c>
      <c r="D81" s="108">
        <v>1</v>
      </c>
      <c r="E81" s="108">
        <v>0</v>
      </c>
      <c r="F81" s="108">
        <v>0</v>
      </c>
      <c r="G81" s="108">
        <v>425303460</v>
      </c>
      <c r="H81" s="108">
        <v>3677932000</v>
      </c>
      <c r="I81" s="108">
        <v>0</v>
      </c>
      <c r="J81" s="108">
        <v>0</v>
      </c>
      <c r="K81" s="10">
        <f t="shared" si="2"/>
        <v>24</v>
      </c>
      <c r="L81" s="10">
        <f t="shared" si="3"/>
        <v>4103235460</v>
      </c>
    </row>
    <row r="82" spans="1:12" x14ac:dyDescent="0.35">
      <c r="A82" s="107" t="s">
        <v>240</v>
      </c>
      <c r="B82" s="107" t="s">
        <v>241</v>
      </c>
      <c r="C82" s="108">
        <v>899</v>
      </c>
      <c r="D82" s="108">
        <v>73</v>
      </c>
      <c r="E82" s="108">
        <v>11</v>
      </c>
      <c r="F82" s="108">
        <v>1</v>
      </c>
      <c r="G82" s="108">
        <v>44800578794</v>
      </c>
      <c r="H82" s="108">
        <v>159339804137</v>
      </c>
      <c r="I82" s="108">
        <v>168844050316</v>
      </c>
      <c r="J82" s="108">
        <v>55740931151</v>
      </c>
      <c r="K82" s="10">
        <f t="shared" si="2"/>
        <v>984</v>
      </c>
      <c r="L82" s="10">
        <f t="shared" si="3"/>
        <v>428725364398</v>
      </c>
    </row>
    <row r="83" spans="1:12" x14ac:dyDescent="0.35">
      <c r="A83" s="107" t="s">
        <v>242</v>
      </c>
      <c r="B83" s="107" t="s">
        <v>243</v>
      </c>
      <c r="C83" s="108">
        <v>22</v>
      </c>
      <c r="D83" s="108">
        <v>1</v>
      </c>
      <c r="E83" s="108">
        <v>0</v>
      </c>
      <c r="F83" s="108">
        <v>1</v>
      </c>
      <c r="G83" s="108">
        <v>1541899349</v>
      </c>
      <c r="H83" s="108">
        <v>4418394565</v>
      </c>
      <c r="I83" s="108">
        <v>0</v>
      </c>
      <c r="J83" s="108">
        <v>52540236910</v>
      </c>
      <c r="K83" s="10">
        <f t="shared" si="2"/>
        <v>24</v>
      </c>
      <c r="L83" s="10">
        <f t="shared" si="3"/>
        <v>58500530824</v>
      </c>
    </row>
    <row r="84" spans="1:12" x14ac:dyDescent="0.35">
      <c r="A84" s="107" t="s">
        <v>244</v>
      </c>
      <c r="B84" s="107" t="s">
        <v>245</v>
      </c>
      <c r="C84" s="108">
        <v>747</v>
      </c>
      <c r="D84" s="108">
        <v>54</v>
      </c>
      <c r="E84" s="108">
        <v>14</v>
      </c>
      <c r="F84" s="108">
        <v>2</v>
      </c>
      <c r="G84" s="108">
        <v>13320195988</v>
      </c>
      <c r="H84" s="108">
        <v>123534041555</v>
      </c>
      <c r="I84" s="108">
        <v>177226732826</v>
      </c>
      <c r="J84" s="108">
        <v>149345759000</v>
      </c>
      <c r="K84" s="10">
        <f t="shared" si="2"/>
        <v>817</v>
      </c>
      <c r="L84" s="10">
        <f t="shared" si="3"/>
        <v>463426729369</v>
      </c>
    </row>
    <row r="85" spans="1:12" x14ac:dyDescent="0.35">
      <c r="A85" s="107" t="s">
        <v>246</v>
      </c>
      <c r="B85" s="107" t="s">
        <v>247</v>
      </c>
      <c r="C85" s="108">
        <v>737</v>
      </c>
      <c r="D85" s="108">
        <v>23</v>
      </c>
      <c r="E85" s="108">
        <v>3</v>
      </c>
      <c r="F85" s="108">
        <v>4</v>
      </c>
      <c r="G85" s="108">
        <v>21136265919</v>
      </c>
      <c r="H85" s="108">
        <v>30963601670</v>
      </c>
      <c r="I85" s="108">
        <v>58267088749</v>
      </c>
      <c r="J85" s="108">
        <v>1344232633862</v>
      </c>
      <c r="K85" s="10">
        <f t="shared" si="2"/>
        <v>767</v>
      </c>
      <c r="L85" s="10">
        <f t="shared" si="3"/>
        <v>1454599590200</v>
      </c>
    </row>
    <row r="86" spans="1:12" x14ac:dyDescent="0.35">
      <c r="A86" s="107" t="s">
        <v>248</v>
      </c>
      <c r="B86" s="107" t="s">
        <v>249</v>
      </c>
      <c r="C86" s="108">
        <v>39</v>
      </c>
      <c r="D86" s="108">
        <v>1</v>
      </c>
      <c r="E86" s="108">
        <v>0</v>
      </c>
      <c r="F86" s="108">
        <v>0</v>
      </c>
      <c r="G86" s="108">
        <v>3365740701</v>
      </c>
      <c r="H86" s="108">
        <v>3068706609</v>
      </c>
      <c r="I86" s="108">
        <v>0</v>
      </c>
      <c r="J86" s="108">
        <v>0</v>
      </c>
      <c r="K86" s="10">
        <f t="shared" si="2"/>
        <v>40</v>
      </c>
      <c r="L86" s="10">
        <f t="shared" si="3"/>
        <v>6434447310</v>
      </c>
    </row>
    <row r="87" spans="1:12" x14ac:dyDescent="0.35">
      <c r="A87" s="107" t="s">
        <v>250</v>
      </c>
      <c r="B87" s="107" t="s">
        <v>251</v>
      </c>
      <c r="C87" s="108">
        <v>1110</v>
      </c>
      <c r="D87" s="108">
        <v>12</v>
      </c>
      <c r="E87" s="108">
        <v>1</v>
      </c>
      <c r="F87" s="108">
        <v>0</v>
      </c>
      <c r="G87" s="108">
        <v>15102589306</v>
      </c>
      <c r="H87" s="108">
        <v>23335688864</v>
      </c>
      <c r="I87" s="108">
        <v>19925592084</v>
      </c>
      <c r="J87" s="108">
        <v>0</v>
      </c>
      <c r="K87" s="10">
        <f t="shared" si="2"/>
        <v>1123</v>
      </c>
      <c r="L87" s="10">
        <f t="shared" si="3"/>
        <v>58363870254</v>
      </c>
    </row>
    <row r="88" spans="1:12" x14ac:dyDescent="0.35">
      <c r="A88" s="107" t="s">
        <v>252</v>
      </c>
      <c r="B88" s="107" t="s">
        <v>253</v>
      </c>
      <c r="C88" s="108">
        <v>5075</v>
      </c>
      <c r="D88" s="108">
        <v>37</v>
      </c>
      <c r="E88" s="108">
        <v>9</v>
      </c>
      <c r="F88" s="108">
        <v>1</v>
      </c>
      <c r="G88" s="108">
        <v>56369488972</v>
      </c>
      <c r="H88" s="108">
        <v>80559846396</v>
      </c>
      <c r="I88" s="108">
        <v>133616682346</v>
      </c>
      <c r="J88" s="108">
        <v>82934793000</v>
      </c>
      <c r="K88" s="10">
        <f t="shared" si="2"/>
        <v>5122</v>
      </c>
      <c r="L88" s="10">
        <f t="shared" si="3"/>
        <v>353480810714</v>
      </c>
    </row>
    <row r="89" spans="1:12" x14ac:dyDescent="0.35">
      <c r="A89" s="107" t="s">
        <v>254</v>
      </c>
      <c r="B89" s="107" t="s">
        <v>255</v>
      </c>
      <c r="C89" s="108">
        <v>14</v>
      </c>
      <c r="D89" s="108">
        <v>0</v>
      </c>
      <c r="E89" s="108">
        <v>0</v>
      </c>
      <c r="F89" s="108">
        <v>0</v>
      </c>
      <c r="G89" s="108">
        <v>442700320</v>
      </c>
      <c r="H89" s="108">
        <v>0</v>
      </c>
      <c r="I89" s="108">
        <v>0</v>
      </c>
      <c r="J89" s="108">
        <v>0</v>
      </c>
      <c r="K89" s="10">
        <f t="shared" si="2"/>
        <v>14</v>
      </c>
      <c r="L89" s="10">
        <f t="shared" si="3"/>
        <v>442700320</v>
      </c>
    </row>
    <row r="90" spans="1:12" x14ac:dyDescent="0.35">
      <c r="A90" s="107" t="s">
        <v>256</v>
      </c>
      <c r="B90" s="107" t="s">
        <v>257</v>
      </c>
      <c r="C90" s="108">
        <v>6</v>
      </c>
      <c r="D90" s="108">
        <v>5</v>
      </c>
      <c r="E90" s="108">
        <v>0</v>
      </c>
      <c r="F90" s="108">
        <v>0</v>
      </c>
      <c r="G90" s="108">
        <v>1060875004</v>
      </c>
      <c r="H90" s="108">
        <v>11665265598</v>
      </c>
      <c r="I90" s="108">
        <v>0</v>
      </c>
      <c r="J90" s="108">
        <v>0</v>
      </c>
      <c r="K90" s="10">
        <f t="shared" si="2"/>
        <v>11</v>
      </c>
      <c r="L90" s="10">
        <f t="shared" si="3"/>
        <v>12726140602</v>
      </c>
    </row>
    <row r="91" spans="1:12" x14ac:dyDescent="0.35">
      <c r="A91" s="107" t="s">
        <v>1195</v>
      </c>
      <c r="B91" s="107" t="s">
        <v>67</v>
      </c>
      <c r="C91" s="108">
        <v>1</v>
      </c>
      <c r="D91" s="108">
        <v>0</v>
      </c>
      <c r="E91" s="108">
        <v>0</v>
      </c>
      <c r="F91" s="108">
        <v>0</v>
      </c>
      <c r="G91" s="108">
        <v>3000000</v>
      </c>
      <c r="H91" s="108">
        <v>0</v>
      </c>
      <c r="I91" s="108">
        <v>0</v>
      </c>
      <c r="J91" s="108">
        <v>0</v>
      </c>
      <c r="K91" s="10">
        <f t="shared" si="2"/>
        <v>1</v>
      </c>
      <c r="L91" s="10">
        <f t="shared" si="3"/>
        <v>3000000</v>
      </c>
    </row>
    <row r="92" spans="1:12" x14ac:dyDescent="0.35">
      <c r="A92" s="107" t="s">
        <v>69</v>
      </c>
      <c r="B92" s="107" t="s">
        <v>69</v>
      </c>
      <c r="C92" s="108">
        <v>165</v>
      </c>
      <c r="D92" s="108">
        <v>7</v>
      </c>
      <c r="E92" s="108">
        <v>5</v>
      </c>
      <c r="F92" s="108">
        <v>1</v>
      </c>
      <c r="G92" s="108">
        <v>5223907928</v>
      </c>
      <c r="H92" s="108">
        <v>29628095890</v>
      </c>
      <c r="I92" s="108">
        <v>106853418576</v>
      </c>
      <c r="J92" s="108">
        <v>43650085220</v>
      </c>
      <c r="K92" s="10">
        <f t="shared" si="2"/>
        <v>178</v>
      </c>
      <c r="L92" s="10">
        <f t="shared" si="3"/>
        <v>185355507614</v>
      </c>
    </row>
    <row r="93" spans="1:12" x14ac:dyDescent="0.35">
      <c r="A93" s="74" t="s">
        <v>16</v>
      </c>
      <c r="B93" s="75"/>
      <c r="C93" s="9">
        <f>SUM(C5:C92)</f>
        <v>140058</v>
      </c>
      <c r="D93" s="9">
        <f>SUM(D5:D92)</f>
        <v>14400</v>
      </c>
      <c r="E93" s="9">
        <f>SUM(E5:E92)</f>
        <v>3593</v>
      </c>
      <c r="F93" s="9">
        <f>SUM(F5:F92)</f>
        <v>958</v>
      </c>
      <c r="G93" s="9">
        <f>SUM(G5:G92)</f>
        <v>5771164976496</v>
      </c>
      <c r="H93" s="9">
        <f>SUM(H5:H92)</f>
        <v>31752866161793</v>
      </c>
      <c r="I93" s="9">
        <f>SUM(I5:I92)</f>
        <v>55108152265499</v>
      </c>
      <c r="J93" s="9">
        <f>SUM(J5:J92)</f>
        <v>819051758902067</v>
      </c>
      <c r="K93" s="9">
        <f>SUM(K5:K92)</f>
        <v>159009</v>
      </c>
      <c r="L93" s="9">
        <f>SUM(L5:L92)</f>
        <v>911683942305855</v>
      </c>
    </row>
    <row r="94" spans="1:12" x14ac:dyDescent="0.35">
      <c r="A94" s="29"/>
      <c r="B94" s="29"/>
      <c r="C94" s="30"/>
      <c r="D94" s="30"/>
    </row>
    <row r="95" spans="1:12" x14ac:dyDescent="0.35">
      <c r="A95" t="s">
        <v>1356</v>
      </c>
    </row>
    <row r="96" spans="1:12" x14ac:dyDescent="0.35">
      <c r="A96" t="s">
        <v>1318</v>
      </c>
    </row>
    <row r="97" spans="1:1" x14ac:dyDescent="0.35">
      <c r="A97" t="s">
        <v>17</v>
      </c>
    </row>
    <row r="98" spans="1:1" x14ac:dyDescent="0.35">
      <c r="A98" t="s">
        <v>1320</v>
      </c>
    </row>
  </sheetData>
  <mergeCells count="7">
    <mergeCell ref="C3:F3"/>
    <mergeCell ref="G3:J3"/>
    <mergeCell ref="K3:K4"/>
    <mergeCell ref="L3:L4"/>
    <mergeCell ref="A93:B93"/>
    <mergeCell ref="B3:B4"/>
    <mergeCell ref="A3:A4"/>
  </mergeCells>
  <phoneticPr fontId="8" type="noConversion"/>
  <hyperlinks>
    <hyperlink ref="C1" location="Índice!A1" display="Volver al índice" xr:uid="{AF9D9E45-20B5-4623-AF6A-FA235582C19E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FC00-4B2B-4A2C-8C18-C48914BCA553}">
  <dimension ref="A1:K85"/>
  <sheetViews>
    <sheetView workbookViewId="0">
      <selection activeCell="I1" sqref="I1"/>
    </sheetView>
  </sheetViews>
  <sheetFormatPr baseColWidth="10" defaultColWidth="11.453125" defaultRowHeight="14.5" x14ac:dyDescent="0.35"/>
  <cols>
    <col min="1" max="1" width="38.453125" customWidth="1"/>
    <col min="6" max="6" width="16.453125" bestFit="1" customWidth="1"/>
    <col min="7" max="8" width="17.453125" bestFit="1" customWidth="1"/>
    <col min="9" max="9" width="18.453125" bestFit="1" customWidth="1"/>
    <col min="10" max="10" width="11.54296875" bestFit="1" customWidth="1"/>
    <col min="11" max="11" width="18.453125" bestFit="1" customWidth="1"/>
  </cols>
  <sheetData>
    <row r="1" spans="1:11" ht="18.5" x14ac:dyDescent="0.45">
      <c r="A1" s="21" t="s">
        <v>1292</v>
      </c>
      <c r="I1" s="17" t="s">
        <v>1</v>
      </c>
    </row>
    <row r="3" spans="1:11" ht="15" customHeight="1" x14ac:dyDescent="0.35">
      <c r="A3" s="48" t="s">
        <v>258</v>
      </c>
      <c r="B3" s="69" t="s">
        <v>259</v>
      </c>
      <c r="C3" s="70"/>
      <c r="D3" s="70"/>
      <c r="E3" s="71"/>
      <c r="F3" s="69" t="s">
        <v>4</v>
      </c>
      <c r="G3" s="70"/>
      <c r="H3" s="70"/>
      <c r="I3" s="71"/>
      <c r="J3" s="72" t="s">
        <v>259</v>
      </c>
      <c r="K3" s="72" t="s">
        <v>260</v>
      </c>
    </row>
    <row r="4" spans="1:11" x14ac:dyDescent="0.35">
      <c r="A4" s="49"/>
      <c r="B4" s="23" t="s">
        <v>22</v>
      </c>
      <c r="C4" s="23" t="s">
        <v>23</v>
      </c>
      <c r="D4" s="23" t="s">
        <v>24</v>
      </c>
      <c r="E4" s="23" t="s">
        <v>25</v>
      </c>
      <c r="F4" s="23" t="s">
        <v>22</v>
      </c>
      <c r="G4" s="23" t="s">
        <v>23</v>
      </c>
      <c r="H4" s="23" t="s">
        <v>24</v>
      </c>
      <c r="I4" s="23" t="s">
        <v>25</v>
      </c>
      <c r="J4" s="73"/>
      <c r="K4" s="73"/>
    </row>
    <row r="5" spans="1:11" x14ac:dyDescent="0.35">
      <c r="A5" s="7" t="s">
        <v>261</v>
      </c>
      <c r="B5" s="108">
        <v>101110</v>
      </c>
      <c r="C5" s="108">
        <v>13080</v>
      </c>
      <c r="D5" s="108">
        <v>3353</v>
      </c>
      <c r="E5" s="108">
        <v>898</v>
      </c>
      <c r="F5" s="108">
        <v>5002641780143</v>
      </c>
      <c r="G5" s="108">
        <v>28998208896028</v>
      </c>
      <c r="H5" s="108">
        <v>51669301078033</v>
      </c>
      <c r="I5" s="108">
        <v>798152184907549</v>
      </c>
      <c r="J5" s="10">
        <f>SUM(B5:E5)</f>
        <v>118441</v>
      </c>
      <c r="K5" s="10">
        <f>SUM(F5:I5)</f>
        <v>883822336661753</v>
      </c>
    </row>
    <row r="6" spans="1:11" x14ac:dyDescent="0.35">
      <c r="A6" s="8" t="s">
        <v>72</v>
      </c>
      <c r="B6" s="9">
        <f>+SUM(B7:B29)</f>
        <v>9160</v>
      </c>
      <c r="C6" s="120">
        <f t="shared" ref="C6:I6" si="0">+SUM(C7:C29)</f>
        <v>234</v>
      </c>
      <c r="D6" s="120">
        <f t="shared" si="0"/>
        <v>54</v>
      </c>
      <c r="E6" s="120">
        <f t="shared" si="0"/>
        <v>12</v>
      </c>
      <c r="F6" s="120">
        <f t="shared" si="0"/>
        <v>126562897751</v>
      </c>
      <c r="G6" s="120">
        <f t="shared" si="0"/>
        <v>499184538164</v>
      </c>
      <c r="H6" s="120">
        <f t="shared" si="0"/>
        <v>624970887170</v>
      </c>
      <c r="I6" s="120">
        <f t="shared" si="0"/>
        <v>1696005160363</v>
      </c>
      <c r="J6" s="9">
        <f>SUM(B6:E6)</f>
        <v>9460</v>
      </c>
      <c r="K6" s="9">
        <f>SUM(F6:I6)</f>
        <v>2946723483448</v>
      </c>
    </row>
    <row r="7" spans="1:11" x14ac:dyDescent="0.35">
      <c r="A7" s="119" t="s">
        <v>262</v>
      </c>
      <c r="B7" s="121">
        <v>828</v>
      </c>
      <c r="C7" s="121">
        <v>31</v>
      </c>
      <c r="D7" s="121">
        <v>6</v>
      </c>
      <c r="E7" s="121">
        <v>4</v>
      </c>
      <c r="F7" s="121">
        <v>12709872036</v>
      </c>
      <c r="G7" s="121">
        <v>72472653616</v>
      </c>
      <c r="H7" s="121">
        <v>76874099523</v>
      </c>
      <c r="I7" s="121">
        <v>590072521000</v>
      </c>
      <c r="J7" s="10">
        <f t="shared" ref="J7:J69" si="1">SUM(B7:E7)</f>
        <v>869</v>
      </c>
      <c r="K7" s="10">
        <f t="shared" ref="K7:K69" si="2">SUM(F7:I7)</f>
        <v>752129146175</v>
      </c>
    </row>
    <row r="8" spans="1:11" x14ac:dyDescent="0.35">
      <c r="A8" s="119" t="s">
        <v>263</v>
      </c>
      <c r="B8" s="121">
        <v>1291</v>
      </c>
      <c r="C8" s="121">
        <v>24</v>
      </c>
      <c r="D8" s="121">
        <v>7</v>
      </c>
      <c r="E8" s="121"/>
      <c r="F8" s="121">
        <v>15243690612</v>
      </c>
      <c r="G8" s="121">
        <v>49182928056</v>
      </c>
      <c r="H8" s="121">
        <v>63492522522</v>
      </c>
      <c r="I8" s="121"/>
      <c r="J8" s="10">
        <f t="shared" si="1"/>
        <v>1322</v>
      </c>
      <c r="K8" s="10">
        <f t="shared" si="2"/>
        <v>127919141190</v>
      </c>
    </row>
    <row r="9" spans="1:11" x14ac:dyDescent="0.35">
      <c r="A9" s="119" t="s">
        <v>264</v>
      </c>
      <c r="B9" s="121">
        <v>143</v>
      </c>
      <c r="C9" s="121">
        <v>2</v>
      </c>
      <c r="D9" s="121"/>
      <c r="E9" s="121"/>
      <c r="F9" s="121">
        <v>2129314535</v>
      </c>
      <c r="G9" s="121">
        <v>2456021788</v>
      </c>
      <c r="H9" s="121"/>
      <c r="I9" s="121"/>
      <c r="J9" s="10">
        <f t="shared" si="1"/>
        <v>145</v>
      </c>
      <c r="K9" s="10">
        <f t="shared" si="2"/>
        <v>4585336323</v>
      </c>
    </row>
    <row r="10" spans="1:11" x14ac:dyDescent="0.35">
      <c r="A10" s="119" t="s">
        <v>265</v>
      </c>
      <c r="B10" s="121">
        <v>183</v>
      </c>
      <c r="C10" s="121">
        <v>1</v>
      </c>
      <c r="D10" s="121">
        <v>1</v>
      </c>
      <c r="E10" s="121"/>
      <c r="F10" s="121">
        <v>2825542003</v>
      </c>
      <c r="G10" s="121">
        <v>798456000</v>
      </c>
      <c r="H10" s="121">
        <v>9691895257</v>
      </c>
      <c r="I10" s="121"/>
      <c r="J10" s="10">
        <f t="shared" si="1"/>
        <v>185</v>
      </c>
      <c r="K10" s="10">
        <f t="shared" si="2"/>
        <v>13315893260</v>
      </c>
    </row>
    <row r="11" spans="1:11" x14ac:dyDescent="0.35">
      <c r="A11" s="119" t="s">
        <v>266</v>
      </c>
      <c r="B11" s="121">
        <v>256</v>
      </c>
      <c r="C11" s="121">
        <v>3</v>
      </c>
      <c r="D11" s="121">
        <v>3</v>
      </c>
      <c r="E11" s="121"/>
      <c r="F11" s="121">
        <v>2817956517</v>
      </c>
      <c r="G11" s="121">
        <v>4819257261</v>
      </c>
      <c r="H11" s="121">
        <v>31824145366</v>
      </c>
      <c r="I11" s="121"/>
      <c r="J11" s="10">
        <f t="shared" si="1"/>
        <v>262</v>
      </c>
      <c r="K11" s="10">
        <f t="shared" si="2"/>
        <v>39461359144</v>
      </c>
    </row>
    <row r="12" spans="1:11" x14ac:dyDescent="0.35">
      <c r="A12" s="119" t="s">
        <v>268</v>
      </c>
      <c r="B12" s="121">
        <v>109</v>
      </c>
      <c r="C12" s="121">
        <v>4</v>
      </c>
      <c r="D12" s="121"/>
      <c r="E12" s="121">
        <v>1</v>
      </c>
      <c r="F12" s="121">
        <v>1111882491</v>
      </c>
      <c r="G12" s="121">
        <v>7067964187</v>
      </c>
      <c r="H12" s="121"/>
      <c r="I12" s="121">
        <v>122844420000</v>
      </c>
      <c r="J12" s="10">
        <f t="shared" si="1"/>
        <v>114</v>
      </c>
      <c r="K12" s="10">
        <f t="shared" si="2"/>
        <v>131024266678</v>
      </c>
    </row>
    <row r="13" spans="1:11" x14ac:dyDescent="0.35">
      <c r="A13" s="119" t="s">
        <v>269</v>
      </c>
      <c r="B13" s="121">
        <v>744</v>
      </c>
      <c r="C13" s="121">
        <v>22</v>
      </c>
      <c r="D13" s="121">
        <v>3</v>
      </c>
      <c r="E13" s="121">
        <v>1</v>
      </c>
      <c r="F13" s="121">
        <v>8558701243</v>
      </c>
      <c r="G13" s="121">
        <v>50348091972</v>
      </c>
      <c r="H13" s="121">
        <v>22641404811</v>
      </c>
      <c r="I13" s="121">
        <v>58589940196</v>
      </c>
      <c r="J13" s="10">
        <f t="shared" si="1"/>
        <v>770</v>
      </c>
      <c r="K13" s="10">
        <f t="shared" si="2"/>
        <v>140138138222</v>
      </c>
    </row>
    <row r="14" spans="1:11" x14ac:dyDescent="0.35">
      <c r="A14" s="119" t="s">
        <v>270</v>
      </c>
      <c r="B14" s="121">
        <v>232</v>
      </c>
      <c r="C14" s="121">
        <v>12</v>
      </c>
      <c r="D14" s="121"/>
      <c r="E14" s="121">
        <v>2</v>
      </c>
      <c r="F14" s="121">
        <v>4435816416</v>
      </c>
      <c r="G14" s="121">
        <v>24194085127</v>
      </c>
      <c r="H14" s="121"/>
      <c r="I14" s="121">
        <v>178161998252</v>
      </c>
      <c r="J14" s="10">
        <f t="shared" si="1"/>
        <v>246</v>
      </c>
      <c r="K14" s="10">
        <f t="shared" si="2"/>
        <v>206791899795</v>
      </c>
    </row>
    <row r="15" spans="1:11" x14ac:dyDescent="0.35">
      <c r="A15" s="119" t="s">
        <v>271</v>
      </c>
      <c r="B15" s="121">
        <v>480</v>
      </c>
      <c r="C15" s="121">
        <v>20</v>
      </c>
      <c r="D15" s="121">
        <v>7</v>
      </c>
      <c r="E15" s="121"/>
      <c r="F15" s="121">
        <v>4607220814</v>
      </c>
      <c r="G15" s="121">
        <v>51386348881</v>
      </c>
      <c r="H15" s="121">
        <v>92962433576</v>
      </c>
      <c r="I15" s="121"/>
      <c r="J15" s="10">
        <f t="shared" si="1"/>
        <v>507</v>
      </c>
      <c r="K15" s="10">
        <f t="shared" si="2"/>
        <v>148956003271</v>
      </c>
    </row>
    <row r="16" spans="1:11" x14ac:dyDescent="0.35">
      <c r="A16" s="119" t="s">
        <v>272</v>
      </c>
      <c r="B16" s="121">
        <v>138</v>
      </c>
      <c r="C16" s="121">
        <v>2</v>
      </c>
      <c r="D16" s="121"/>
      <c r="E16" s="121"/>
      <c r="F16" s="121">
        <v>2664930801</v>
      </c>
      <c r="G16" s="121">
        <v>2469169539</v>
      </c>
      <c r="H16" s="121"/>
      <c r="I16" s="121"/>
      <c r="J16" s="10">
        <f t="shared" si="1"/>
        <v>140</v>
      </c>
      <c r="K16" s="10">
        <f t="shared" si="2"/>
        <v>5134100340</v>
      </c>
    </row>
    <row r="17" spans="1:11" x14ac:dyDescent="0.35">
      <c r="A17" s="119" t="s">
        <v>273</v>
      </c>
      <c r="B17" s="121">
        <v>844</v>
      </c>
      <c r="C17" s="121">
        <v>18</v>
      </c>
      <c r="D17" s="121">
        <v>2</v>
      </c>
      <c r="E17" s="121">
        <v>1</v>
      </c>
      <c r="F17" s="121">
        <v>11510860138</v>
      </c>
      <c r="G17" s="121">
        <v>36094152182</v>
      </c>
      <c r="H17" s="121">
        <v>36922110501</v>
      </c>
      <c r="I17" s="121">
        <v>45758902000</v>
      </c>
      <c r="J17" s="10">
        <f t="shared" si="1"/>
        <v>865</v>
      </c>
      <c r="K17" s="10">
        <f t="shared" si="2"/>
        <v>130286024821</v>
      </c>
    </row>
    <row r="18" spans="1:11" x14ac:dyDescent="0.35">
      <c r="A18" s="119" t="s">
        <v>274</v>
      </c>
      <c r="B18" s="121">
        <v>565</v>
      </c>
      <c r="C18" s="121">
        <v>8</v>
      </c>
      <c r="D18" s="121">
        <v>1</v>
      </c>
      <c r="E18" s="121"/>
      <c r="F18" s="121">
        <v>8889747742</v>
      </c>
      <c r="G18" s="121">
        <v>18477437354</v>
      </c>
      <c r="H18" s="121">
        <v>14128131000</v>
      </c>
      <c r="I18" s="121"/>
      <c r="J18" s="10">
        <f t="shared" si="1"/>
        <v>574</v>
      </c>
      <c r="K18" s="10">
        <f t="shared" si="2"/>
        <v>41495316096</v>
      </c>
    </row>
    <row r="19" spans="1:11" x14ac:dyDescent="0.35">
      <c r="A19" s="119" t="s">
        <v>275</v>
      </c>
      <c r="B19" s="121">
        <v>320</v>
      </c>
      <c r="C19" s="121">
        <v>5</v>
      </c>
      <c r="D19" s="121">
        <v>6</v>
      </c>
      <c r="E19" s="121"/>
      <c r="F19" s="121">
        <v>3053312633</v>
      </c>
      <c r="G19" s="121">
        <v>8062951320</v>
      </c>
      <c r="H19" s="121">
        <v>72029422544</v>
      </c>
      <c r="I19" s="121"/>
      <c r="J19" s="10">
        <f t="shared" si="1"/>
        <v>331</v>
      </c>
      <c r="K19" s="10">
        <f t="shared" si="2"/>
        <v>83145686497</v>
      </c>
    </row>
    <row r="20" spans="1:11" x14ac:dyDescent="0.35">
      <c r="A20" s="119" t="s">
        <v>276</v>
      </c>
      <c r="B20" s="121">
        <v>126</v>
      </c>
      <c r="C20" s="121">
        <v>1</v>
      </c>
      <c r="D20" s="121"/>
      <c r="E20" s="121"/>
      <c r="F20" s="121">
        <v>1205052284</v>
      </c>
      <c r="G20" s="121">
        <v>847989196</v>
      </c>
      <c r="H20" s="121"/>
      <c r="I20" s="121"/>
      <c r="J20" s="10">
        <f t="shared" si="1"/>
        <v>127</v>
      </c>
      <c r="K20" s="10">
        <f t="shared" si="2"/>
        <v>2053041480</v>
      </c>
    </row>
    <row r="21" spans="1:11" x14ac:dyDescent="0.35">
      <c r="A21" s="119" t="s">
        <v>1321</v>
      </c>
      <c r="B21" s="121">
        <v>163</v>
      </c>
      <c r="C21" s="121">
        <v>1</v>
      </c>
      <c r="D21" s="121"/>
      <c r="E21" s="121"/>
      <c r="F21" s="121">
        <v>1357967658</v>
      </c>
      <c r="G21" s="121">
        <v>946048220</v>
      </c>
      <c r="H21" s="121"/>
      <c r="I21" s="121"/>
      <c r="J21" s="10">
        <f t="shared" si="1"/>
        <v>164</v>
      </c>
      <c r="K21" s="10">
        <f t="shared" si="2"/>
        <v>2304015878</v>
      </c>
    </row>
    <row r="22" spans="1:11" x14ac:dyDescent="0.35">
      <c r="A22" s="119" t="s">
        <v>277</v>
      </c>
      <c r="B22" s="121">
        <v>367</v>
      </c>
      <c r="C22" s="121">
        <v>12</v>
      </c>
      <c r="D22" s="121">
        <v>3</v>
      </c>
      <c r="E22" s="121">
        <v>1</v>
      </c>
      <c r="F22" s="121">
        <v>5862011595</v>
      </c>
      <c r="G22" s="121">
        <v>28057252220</v>
      </c>
      <c r="H22" s="121">
        <v>36048831126</v>
      </c>
      <c r="I22" s="121">
        <v>194986282146</v>
      </c>
      <c r="J22" s="10">
        <f t="shared" si="1"/>
        <v>383</v>
      </c>
      <c r="K22" s="10">
        <f t="shared" si="2"/>
        <v>264954377087</v>
      </c>
    </row>
    <row r="23" spans="1:11" x14ac:dyDescent="0.35">
      <c r="A23" s="119" t="s">
        <v>278</v>
      </c>
      <c r="B23" s="121">
        <v>506</v>
      </c>
      <c r="C23" s="121">
        <v>8</v>
      </c>
      <c r="D23" s="121">
        <v>2</v>
      </c>
      <c r="E23" s="121"/>
      <c r="F23" s="121">
        <v>5434850135</v>
      </c>
      <c r="G23" s="121">
        <v>22178906160</v>
      </c>
      <c r="H23" s="121">
        <v>16524798251</v>
      </c>
      <c r="I23" s="121"/>
      <c r="J23" s="10">
        <f t="shared" si="1"/>
        <v>516</v>
      </c>
      <c r="K23" s="10">
        <f t="shared" si="2"/>
        <v>44138554546</v>
      </c>
    </row>
    <row r="24" spans="1:11" x14ac:dyDescent="0.35">
      <c r="A24" s="119" t="s">
        <v>279</v>
      </c>
      <c r="B24" s="121">
        <v>488</v>
      </c>
      <c r="C24" s="121">
        <v>6</v>
      </c>
      <c r="D24" s="121">
        <v>1</v>
      </c>
      <c r="E24" s="121"/>
      <c r="F24" s="121">
        <v>4627191705</v>
      </c>
      <c r="G24" s="121">
        <v>9114676583</v>
      </c>
      <c r="H24" s="121">
        <v>13278312659</v>
      </c>
      <c r="I24" s="121"/>
      <c r="J24" s="10">
        <f t="shared" si="1"/>
        <v>495</v>
      </c>
      <c r="K24" s="10">
        <f t="shared" si="2"/>
        <v>27020180947</v>
      </c>
    </row>
    <row r="25" spans="1:11" x14ac:dyDescent="0.35">
      <c r="A25" s="119" t="s">
        <v>280</v>
      </c>
      <c r="B25" s="121">
        <v>124</v>
      </c>
      <c r="C25" s="121">
        <v>1</v>
      </c>
      <c r="D25" s="121">
        <v>3</v>
      </c>
      <c r="E25" s="121">
        <v>1</v>
      </c>
      <c r="F25" s="121">
        <v>1709241718</v>
      </c>
      <c r="G25" s="121">
        <v>908600000</v>
      </c>
      <c r="H25" s="121">
        <v>38812744458</v>
      </c>
      <c r="I25" s="121">
        <v>146038096769</v>
      </c>
      <c r="J25" s="10">
        <f t="shared" si="1"/>
        <v>129</v>
      </c>
      <c r="K25" s="10">
        <f t="shared" si="2"/>
        <v>187468682945</v>
      </c>
    </row>
    <row r="26" spans="1:11" x14ac:dyDescent="0.35">
      <c r="A26" s="119" t="s">
        <v>281</v>
      </c>
      <c r="B26" s="121">
        <v>219</v>
      </c>
      <c r="C26" s="121">
        <v>10</v>
      </c>
      <c r="D26" s="121"/>
      <c r="E26" s="121"/>
      <c r="F26" s="121">
        <v>2295637913</v>
      </c>
      <c r="G26" s="121">
        <v>19112561919</v>
      </c>
      <c r="H26" s="121"/>
      <c r="I26" s="121"/>
      <c r="J26" s="10">
        <f t="shared" si="1"/>
        <v>229</v>
      </c>
      <c r="K26" s="10">
        <f t="shared" si="2"/>
        <v>21408199832</v>
      </c>
    </row>
    <row r="27" spans="1:11" x14ac:dyDescent="0.35">
      <c r="A27" s="119" t="s">
        <v>282</v>
      </c>
      <c r="B27" s="121">
        <v>601</v>
      </c>
      <c r="C27" s="121">
        <v>32</v>
      </c>
      <c r="D27" s="121">
        <v>6</v>
      </c>
      <c r="E27" s="121">
        <v>1</v>
      </c>
      <c r="F27" s="121">
        <v>15079861870</v>
      </c>
      <c r="G27" s="121">
        <v>63017056122</v>
      </c>
      <c r="H27" s="121">
        <v>72362221136</v>
      </c>
      <c r="I27" s="121">
        <v>359553000000</v>
      </c>
      <c r="J27" s="10">
        <f t="shared" si="1"/>
        <v>640</v>
      </c>
      <c r="K27" s="10">
        <f t="shared" si="2"/>
        <v>510012139128</v>
      </c>
    </row>
    <row r="28" spans="1:11" x14ac:dyDescent="0.35">
      <c r="A28" s="119" t="s">
        <v>283</v>
      </c>
      <c r="B28" s="121">
        <v>145</v>
      </c>
      <c r="C28" s="121">
        <v>4</v>
      </c>
      <c r="D28" s="121"/>
      <c r="E28" s="121"/>
      <c r="F28" s="121">
        <v>2287306829</v>
      </c>
      <c r="G28" s="121">
        <v>12734220812</v>
      </c>
      <c r="H28" s="121"/>
      <c r="I28" s="121"/>
      <c r="J28" s="10">
        <f t="shared" si="1"/>
        <v>149</v>
      </c>
      <c r="K28" s="10">
        <f t="shared" si="2"/>
        <v>15021527641</v>
      </c>
    </row>
    <row r="29" spans="1:11" x14ac:dyDescent="0.35">
      <c r="A29" s="119" t="s">
        <v>284</v>
      </c>
      <c r="B29" s="121">
        <v>288</v>
      </c>
      <c r="C29" s="121">
        <v>7</v>
      </c>
      <c r="D29" s="121">
        <v>3</v>
      </c>
      <c r="E29" s="121"/>
      <c r="F29" s="121">
        <v>6144928063</v>
      </c>
      <c r="G29" s="121">
        <v>14437709649</v>
      </c>
      <c r="H29" s="121">
        <v>27377814440</v>
      </c>
      <c r="I29" s="121"/>
      <c r="J29" s="10">
        <f t="shared" si="1"/>
        <v>298</v>
      </c>
      <c r="K29" s="10">
        <f t="shared" si="2"/>
        <v>47960452152</v>
      </c>
    </row>
    <row r="30" spans="1:11" x14ac:dyDescent="0.35">
      <c r="A30" s="8" t="s">
        <v>73</v>
      </c>
      <c r="B30" s="9">
        <f>+SUM(B31:B47)</f>
        <v>5992</v>
      </c>
      <c r="C30" s="116">
        <f t="shared" ref="C30:I30" si="3">+SUM(C31:C47)</f>
        <v>237</v>
      </c>
      <c r="D30" s="116">
        <f t="shared" si="3"/>
        <v>39</v>
      </c>
      <c r="E30" s="116">
        <f t="shared" si="3"/>
        <v>5</v>
      </c>
      <c r="F30" s="116">
        <f t="shared" si="3"/>
        <v>120819410752</v>
      </c>
      <c r="G30" s="116">
        <f t="shared" si="3"/>
        <v>523356718211</v>
      </c>
      <c r="H30" s="116">
        <f t="shared" si="3"/>
        <v>494822806867</v>
      </c>
      <c r="I30" s="116">
        <f t="shared" si="3"/>
        <v>2821333792247</v>
      </c>
      <c r="J30" s="9">
        <f>SUM(B30:E30)</f>
        <v>6273</v>
      </c>
      <c r="K30" s="9">
        <f>SUM(F30:I30)</f>
        <v>3960332728077</v>
      </c>
    </row>
    <row r="31" spans="1:11" x14ac:dyDescent="0.35">
      <c r="A31" s="109" t="s">
        <v>285</v>
      </c>
      <c r="B31" s="110">
        <v>151</v>
      </c>
      <c r="C31" s="110">
        <v>4</v>
      </c>
      <c r="D31" s="110"/>
      <c r="E31" s="110"/>
      <c r="F31" s="110">
        <v>1253525125</v>
      </c>
      <c r="G31" s="110">
        <v>7370703829</v>
      </c>
      <c r="H31" s="110"/>
      <c r="I31" s="110"/>
      <c r="J31" s="10">
        <f t="shared" si="1"/>
        <v>155</v>
      </c>
      <c r="K31" s="10">
        <f t="shared" si="2"/>
        <v>8624228954</v>
      </c>
    </row>
    <row r="32" spans="1:11" x14ac:dyDescent="0.35">
      <c r="A32" s="109" t="s">
        <v>286</v>
      </c>
      <c r="B32" s="110">
        <v>112</v>
      </c>
      <c r="C32" s="110">
        <v>2</v>
      </c>
      <c r="D32" s="110"/>
      <c r="E32" s="110"/>
      <c r="F32" s="110">
        <v>2250298736</v>
      </c>
      <c r="G32" s="110">
        <v>1961470473</v>
      </c>
      <c r="H32" s="110"/>
      <c r="I32" s="110"/>
      <c r="J32" s="10">
        <f t="shared" si="1"/>
        <v>114</v>
      </c>
      <c r="K32" s="10">
        <f t="shared" si="2"/>
        <v>4211769209</v>
      </c>
    </row>
    <row r="33" spans="1:11" x14ac:dyDescent="0.35">
      <c r="A33" s="109" t="s">
        <v>287</v>
      </c>
      <c r="B33" s="110">
        <v>102</v>
      </c>
      <c r="C33" s="110">
        <v>2</v>
      </c>
      <c r="D33" s="110"/>
      <c r="E33" s="110"/>
      <c r="F33" s="110">
        <v>1518863000</v>
      </c>
      <c r="G33" s="110">
        <v>2093305414</v>
      </c>
      <c r="H33" s="110"/>
      <c r="I33" s="110"/>
      <c r="J33" s="10">
        <f t="shared" si="1"/>
        <v>104</v>
      </c>
      <c r="K33" s="10">
        <f t="shared" si="2"/>
        <v>3612168414</v>
      </c>
    </row>
    <row r="34" spans="1:11" x14ac:dyDescent="0.35">
      <c r="A34" s="109" t="s">
        <v>288</v>
      </c>
      <c r="B34" s="110">
        <v>78</v>
      </c>
      <c r="C34" s="110">
        <v>2</v>
      </c>
      <c r="D34" s="110"/>
      <c r="E34" s="110">
        <v>1</v>
      </c>
      <c r="F34" s="110">
        <v>1570506524</v>
      </c>
      <c r="G34" s="110">
        <v>1500562000</v>
      </c>
      <c r="H34" s="110"/>
      <c r="I34" s="110">
        <v>2545680567000</v>
      </c>
      <c r="J34" s="10">
        <f t="shared" si="1"/>
        <v>81</v>
      </c>
      <c r="K34" s="10">
        <f t="shared" si="2"/>
        <v>2548751635524</v>
      </c>
    </row>
    <row r="35" spans="1:11" x14ac:dyDescent="0.35">
      <c r="A35" s="109" t="s">
        <v>1322</v>
      </c>
      <c r="B35" s="110">
        <v>104</v>
      </c>
      <c r="C35" s="110">
        <v>2</v>
      </c>
      <c r="D35" s="110"/>
      <c r="E35" s="110"/>
      <c r="F35" s="110">
        <v>1485822622</v>
      </c>
      <c r="G35" s="110">
        <v>1978124752</v>
      </c>
      <c r="H35" s="110"/>
      <c r="I35" s="110"/>
      <c r="J35" s="10">
        <f t="shared" si="1"/>
        <v>106</v>
      </c>
      <c r="K35" s="10">
        <f t="shared" si="2"/>
        <v>3463947374</v>
      </c>
    </row>
    <row r="36" spans="1:11" x14ac:dyDescent="0.35">
      <c r="A36" s="109" t="s">
        <v>289</v>
      </c>
      <c r="B36" s="110">
        <v>838</v>
      </c>
      <c r="C36" s="110">
        <v>42</v>
      </c>
      <c r="D36" s="110">
        <v>4</v>
      </c>
      <c r="E36" s="110"/>
      <c r="F36" s="110">
        <v>19214785294</v>
      </c>
      <c r="G36" s="110">
        <v>84520134030</v>
      </c>
      <c r="H36" s="110">
        <v>38734890155</v>
      </c>
      <c r="I36" s="110"/>
      <c r="J36" s="10">
        <f t="shared" si="1"/>
        <v>884</v>
      </c>
      <c r="K36" s="10">
        <f t="shared" si="2"/>
        <v>142469809479</v>
      </c>
    </row>
    <row r="37" spans="1:11" x14ac:dyDescent="0.35">
      <c r="A37" s="109" t="s">
        <v>290</v>
      </c>
      <c r="B37" s="110">
        <v>365</v>
      </c>
      <c r="C37" s="110">
        <v>45</v>
      </c>
      <c r="D37" s="110">
        <v>11</v>
      </c>
      <c r="E37" s="110"/>
      <c r="F37" s="110">
        <v>10098776122</v>
      </c>
      <c r="G37" s="110">
        <v>117539312782</v>
      </c>
      <c r="H37" s="110">
        <v>149087207125</v>
      </c>
      <c r="I37" s="110"/>
      <c r="J37" s="10">
        <f t="shared" si="1"/>
        <v>421</v>
      </c>
      <c r="K37" s="10">
        <f t="shared" si="2"/>
        <v>276725296029</v>
      </c>
    </row>
    <row r="38" spans="1:11" x14ac:dyDescent="0.35">
      <c r="A38" s="109" t="s">
        <v>291</v>
      </c>
      <c r="B38" s="110">
        <v>256</v>
      </c>
      <c r="C38" s="110">
        <v>4</v>
      </c>
      <c r="D38" s="110"/>
      <c r="E38" s="110"/>
      <c r="F38" s="110">
        <v>3449639141</v>
      </c>
      <c r="G38" s="110">
        <v>8154005983</v>
      </c>
      <c r="H38" s="110"/>
      <c r="I38" s="110"/>
      <c r="J38" s="10">
        <f t="shared" si="1"/>
        <v>260</v>
      </c>
      <c r="K38" s="10">
        <f t="shared" si="2"/>
        <v>11603645124</v>
      </c>
    </row>
    <row r="39" spans="1:11" x14ac:dyDescent="0.35">
      <c r="A39" s="109" t="s">
        <v>292</v>
      </c>
      <c r="B39" s="110">
        <v>72</v>
      </c>
      <c r="C39" s="110">
        <v>2</v>
      </c>
      <c r="D39" s="110"/>
      <c r="E39" s="110"/>
      <c r="F39" s="110">
        <v>1993542193</v>
      </c>
      <c r="G39" s="110">
        <v>3414223500</v>
      </c>
      <c r="H39" s="110"/>
      <c r="I39" s="110"/>
      <c r="J39" s="10">
        <f t="shared" si="1"/>
        <v>74</v>
      </c>
      <c r="K39" s="10">
        <f t="shared" si="2"/>
        <v>5407765693</v>
      </c>
    </row>
    <row r="40" spans="1:11" x14ac:dyDescent="0.35">
      <c r="A40" s="109" t="s">
        <v>293</v>
      </c>
      <c r="B40" s="110">
        <v>261</v>
      </c>
      <c r="C40" s="110">
        <v>3</v>
      </c>
      <c r="D40" s="110"/>
      <c r="E40" s="110"/>
      <c r="F40" s="110">
        <v>4304257843</v>
      </c>
      <c r="G40" s="110">
        <v>3204373765</v>
      </c>
      <c r="H40" s="110"/>
      <c r="I40" s="110"/>
      <c r="J40" s="10">
        <f t="shared" si="1"/>
        <v>264</v>
      </c>
      <c r="K40" s="10">
        <f t="shared" si="2"/>
        <v>7508631608</v>
      </c>
    </row>
    <row r="41" spans="1:11" x14ac:dyDescent="0.35">
      <c r="A41" s="109" t="s">
        <v>1323</v>
      </c>
      <c r="B41" s="110">
        <v>135</v>
      </c>
      <c r="C41" s="110">
        <v>1</v>
      </c>
      <c r="D41" s="110"/>
      <c r="E41" s="110"/>
      <c r="F41" s="110">
        <v>1976317459</v>
      </c>
      <c r="G41" s="110">
        <v>659100000</v>
      </c>
      <c r="H41" s="110"/>
      <c r="I41" s="110"/>
      <c r="J41" s="10">
        <f t="shared" si="1"/>
        <v>136</v>
      </c>
      <c r="K41" s="10">
        <f t="shared" si="2"/>
        <v>2635417459</v>
      </c>
    </row>
    <row r="42" spans="1:11" x14ac:dyDescent="0.35">
      <c r="A42" s="109" t="s">
        <v>294</v>
      </c>
      <c r="B42" s="110">
        <v>94</v>
      </c>
      <c r="C42" s="110">
        <v>1</v>
      </c>
      <c r="D42" s="110">
        <v>1</v>
      </c>
      <c r="E42" s="110"/>
      <c r="F42" s="110">
        <v>826234069</v>
      </c>
      <c r="G42" s="110">
        <v>6278781722</v>
      </c>
      <c r="H42" s="110">
        <v>14515577000</v>
      </c>
      <c r="I42" s="110"/>
      <c r="J42" s="10">
        <f t="shared" si="1"/>
        <v>96</v>
      </c>
      <c r="K42" s="10">
        <f t="shared" si="2"/>
        <v>21620592791</v>
      </c>
    </row>
    <row r="43" spans="1:11" x14ac:dyDescent="0.35">
      <c r="A43" s="109" t="s">
        <v>295</v>
      </c>
      <c r="B43" s="110">
        <v>910</v>
      </c>
      <c r="C43" s="110">
        <v>41</v>
      </c>
      <c r="D43" s="110">
        <v>7</v>
      </c>
      <c r="E43" s="110"/>
      <c r="F43" s="110">
        <v>20301186948</v>
      </c>
      <c r="G43" s="110">
        <v>100657895860</v>
      </c>
      <c r="H43" s="110">
        <v>86027858892</v>
      </c>
      <c r="I43" s="110"/>
      <c r="J43" s="10">
        <f t="shared" si="1"/>
        <v>958</v>
      </c>
      <c r="K43" s="10">
        <f t="shared" si="2"/>
        <v>206986941700</v>
      </c>
    </row>
    <row r="44" spans="1:11" x14ac:dyDescent="0.35">
      <c r="A44" s="109" t="s">
        <v>296</v>
      </c>
      <c r="B44" s="110">
        <v>1023</v>
      </c>
      <c r="C44" s="110">
        <v>44</v>
      </c>
      <c r="D44" s="110">
        <v>6</v>
      </c>
      <c r="E44" s="110">
        <v>4</v>
      </c>
      <c r="F44" s="110">
        <v>22501574253</v>
      </c>
      <c r="G44" s="110">
        <v>93768164620</v>
      </c>
      <c r="H44" s="110">
        <v>74963527843</v>
      </c>
      <c r="I44" s="110">
        <v>275653225247</v>
      </c>
      <c r="J44" s="10">
        <f t="shared" si="1"/>
        <v>1077</v>
      </c>
      <c r="K44" s="10">
        <f t="shared" si="2"/>
        <v>466886491963</v>
      </c>
    </row>
    <row r="45" spans="1:11" x14ac:dyDescent="0.35">
      <c r="A45" s="109" t="s">
        <v>297</v>
      </c>
      <c r="B45" s="110">
        <v>162</v>
      </c>
      <c r="C45" s="110">
        <v>1</v>
      </c>
      <c r="D45" s="110"/>
      <c r="E45" s="110"/>
      <c r="F45" s="110">
        <v>2346772391</v>
      </c>
      <c r="G45" s="110">
        <v>1893423000</v>
      </c>
      <c r="H45" s="110"/>
      <c r="I45" s="110"/>
      <c r="J45" s="10">
        <f t="shared" si="1"/>
        <v>163</v>
      </c>
      <c r="K45" s="10">
        <f t="shared" si="2"/>
        <v>4240195391</v>
      </c>
    </row>
    <row r="46" spans="1:11" x14ac:dyDescent="0.35">
      <c r="A46" s="109" t="s">
        <v>298</v>
      </c>
      <c r="B46" s="110">
        <v>151</v>
      </c>
      <c r="C46" s="110">
        <v>2</v>
      </c>
      <c r="D46" s="110"/>
      <c r="E46" s="110"/>
      <c r="F46" s="110">
        <v>2875347861</v>
      </c>
      <c r="G46" s="110">
        <v>7228952842</v>
      </c>
      <c r="H46" s="110"/>
      <c r="I46" s="110"/>
      <c r="J46" s="10">
        <f t="shared" si="1"/>
        <v>153</v>
      </c>
      <c r="K46" s="10">
        <f t="shared" si="2"/>
        <v>10104300703</v>
      </c>
    </row>
    <row r="47" spans="1:11" x14ac:dyDescent="0.35">
      <c r="A47" s="109" t="s">
        <v>299</v>
      </c>
      <c r="B47" s="110">
        <v>1178</v>
      </c>
      <c r="C47" s="110">
        <v>39</v>
      </c>
      <c r="D47" s="110">
        <v>10</v>
      </c>
      <c r="E47" s="110"/>
      <c r="F47" s="110">
        <v>22851961171</v>
      </c>
      <c r="G47" s="110">
        <v>81134183639</v>
      </c>
      <c r="H47" s="110">
        <v>131493745852</v>
      </c>
      <c r="I47" s="110"/>
      <c r="J47" s="10">
        <f t="shared" si="1"/>
        <v>1227</v>
      </c>
      <c r="K47" s="10">
        <f t="shared" si="2"/>
        <v>235479890662</v>
      </c>
    </row>
    <row r="48" spans="1:11" x14ac:dyDescent="0.35">
      <c r="A48" s="8" t="s">
        <v>74</v>
      </c>
      <c r="B48" s="9">
        <f>+SUM(B49:B51)</f>
        <v>3418</v>
      </c>
      <c r="C48" s="116">
        <f t="shared" ref="C48:I48" si="4">+SUM(C49:C51)</f>
        <v>167</v>
      </c>
      <c r="D48" s="116">
        <f t="shared" si="4"/>
        <v>16</v>
      </c>
      <c r="E48" s="116">
        <f t="shared" si="4"/>
        <v>1</v>
      </c>
      <c r="F48" s="116">
        <f t="shared" si="4"/>
        <v>100021351001</v>
      </c>
      <c r="G48" s="116">
        <f t="shared" si="4"/>
        <v>332563626776</v>
      </c>
      <c r="H48" s="116">
        <f t="shared" si="4"/>
        <v>217274851875</v>
      </c>
      <c r="I48" s="116">
        <f t="shared" si="4"/>
        <v>66558747275</v>
      </c>
      <c r="J48" s="9">
        <f>SUM(B48:E48)</f>
        <v>3602</v>
      </c>
      <c r="K48" s="9">
        <f>SUM(F48:I48)</f>
        <v>716418576927</v>
      </c>
    </row>
    <row r="49" spans="1:11" x14ac:dyDescent="0.35">
      <c r="A49" s="111" t="s">
        <v>300</v>
      </c>
      <c r="B49" s="112">
        <v>267</v>
      </c>
      <c r="C49" s="112">
        <v>6</v>
      </c>
      <c r="D49" s="112"/>
      <c r="E49" s="112"/>
      <c r="F49" s="112">
        <v>4837902272</v>
      </c>
      <c r="G49" s="112">
        <v>9835997767</v>
      </c>
      <c r="H49" s="112"/>
      <c r="I49" s="112"/>
      <c r="J49" s="10">
        <f t="shared" si="1"/>
        <v>273</v>
      </c>
      <c r="K49" s="10">
        <f t="shared" si="2"/>
        <v>14673900039</v>
      </c>
    </row>
    <row r="50" spans="1:11" x14ac:dyDescent="0.35">
      <c r="A50" s="111" t="s">
        <v>301</v>
      </c>
      <c r="B50" s="112">
        <v>2612</v>
      </c>
      <c r="C50" s="112">
        <v>148</v>
      </c>
      <c r="D50" s="112">
        <v>14</v>
      </c>
      <c r="E50" s="112">
        <v>1</v>
      </c>
      <c r="F50" s="112">
        <v>85823254439</v>
      </c>
      <c r="G50" s="112">
        <v>293840802724</v>
      </c>
      <c r="H50" s="112">
        <v>199355544874</v>
      </c>
      <c r="I50" s="112">
        <v>66558747275</v>
      </c>
      <c r="J50" s="10">
        <f t="shared" si="1"/>
        <v>2775</v>
      </c>
      <c r="K50" s="10">
        <f t="shared" si="2"/>
        <v>645578349312</v>
      </c>
    </row>
    <row r="51" spans="1:11" x14ac:dyDescent="0.35">
      <c r="A51" s="111" t="s">
        <v>302</v>
      </c>
      <c r="B51" s="112">
        <v>539</v>
      </c>
      <c r="C51" s="112">
        <v>13</v>
      </c>
      <c r="D51" s="112">
        <v>2</v>
      </c>
      <c r="E51" s="112"/>
      <c r="F51" s="112">
        <v>9360194290</v>
      </c>
      <c r="G51" s="112">
        <v>28886826285</v>
      </c>
      <c r="H51" s="112">
        <v>17919307001</v>
      </c>
      <c r="I51" s="112"/>
      <c r="J51" s="10">
        <f t="shared" si="1"/>
        <v>554</v>
      </c>
      <c r="K51" s="10">
        <f t="shared" si="2"/>
        <v>56166327576</v>
      </c>
    </row>
    <row r="52" spans="1:11" x14ac:dyDescent="0.35">
      <c r="A52" s="8" t="s">
        <v>75</v>
      </c>
      <c r="B52" s="9">
        <f>+SUM(B53:B57)</f>
        <v>15861</v>
      </c>
      <c r="C52" s="116">
        <f t="shared" ref="C52:I52" si="5">+SUM(C53:C57)</f>
        <v>583</v>
      </c>
      <c r="D52" s="116">
        <f t="shared" si="5"/>
        <v>119</v>
      </c>
      <c r="E52" s="116">
        <f t="shared" si="5"/>
        <v>41</v>
      </c>
      <c r="F52" s="116">
        <f t="shared" si="5"/>
        <v>349631805423</v>
      </c>
      <c r="G52" s="116">
        <f t="shared" si="5"/>
        <v>1208441919178</v>
      </c>
      <c r="H52" s="116">
        <f t="shared" si="5"/>
        <v>1937556649902</v>
      </c>
      <c r="I52" s="116">
        <f t="shared" si="5"/>
        <v>16241050745942</v>
      </c>
      <c r="J52" s="9">
        <f>SUM(B52:E52)</f>
        <v>16604</v>
      </c>
      <c r="K52" s="9">
        <f>SUM(F52:I52)</f>
        <v>19736681120445</v>
      </c>
    </row>
    <row r="53" spans="1:11" x14ac:dyDescent="0.35">
      <c r="A53" s="115" t="s">
        <v>303</v>
      </c>
      <c r="B53" s="117">
        <v>1477</v>
      </c>
      <c r="C53" s="117">
        <v>30</v>
      </c>
      <c r="D53" s="117">
        <v>5</v>
      </c>
      <c r="E53" s="117">
        <v>5</v>
      </c>
      <c r="F53" s="117">
        <v>20513791671</v>
      </c>
      <c r="G53" s="117">
        <v>52535463620</v>
      </c>
      <c r="H53" s="117">
        <v>109304352851</v>
      </c>
      <c r="I53" s="117">
        <v>3158034493029</v>
      </c>
      <c r="J53" s="10">
        <f t="shared" si="1"/>
        <v>1517</v>
      </c>
      <c r="K53" s="10">
        <f t="shared" si="2"/>
        <v>3340388101171</v>
      </c>
    </row>
    <row r="54" spans="1:11" x14ac:dyDescent="0.35">
      <c r="A54" s="115" t="s">
        <v>304</v>
      </c>
      <c r="B54" s="117">
        <v>10535</v>
      </c>
      <c r="C54" s="117">
        <v>333</v>
      </c>
      <c r="D54" s="117">
        <v>49</v>
      </c>
      <c r="E54" s="117">
        <v>13</v>
      </c>
      <c r="F54" s="117">
        <v>240617009761</v>
      </c>
      <c r="G54" s="117">
        <v>632008051364</v>
      </c>
      <c r="H54" s="117">
        <v>824706102324</v>
      </c>
      <c r="I54" s="117">
        <v>8122728039782</v>
      </c>
      <c r="J54" s="10">
        <f t="shared" si="1"/>
        <v>10930</v>
      </c>
      <c r="K54" s="10">
        <f t="shared" si="2"/>
        <v>9820059203231</v>
      </c>
    </row>
    <row r="55" spans="1:11" x14ac:dyDescent="0.35">
      <c r="A55" s="115" t="s">
        <v>305</v>
      </c>
      <c r="B55" s="117">
        <v>2208</v>
      </c>
      <c r="C55" s="117">
        <v>132</v>
      </c>
      <c r="D55" s="117">
        <v>29</v>
      </c>
      <c r="E55" s="117">
        <v>7</v>
      </c>
      <c r="F55" s="117">
        <v>52646605574</v>
      </c>
      <c r="G55" s="117">
        <v>291679361127</v>
      </c>
      <c r="H55" s="117">
        <v>392483312980</v>
      </c>
      <c r="I55" s="117">
        <v>1810769531775</v>
      </c>
      <c r="J55" s="10">
        <f t="shared" si="1"/>
        <v>2376</v>
      </c>
      <c r="K55" s="10">
        <f t="shared" si="2"/>
        <v>2547578811456</v>
      </c>
    </row>
    <row r="56" spans="1:11" x14ac:dyDescent="0.35">
      <c r="A56" s="115" t="s">
        <v>306</v>
      </c>
      <c r="B56" s="117">
        <v>1433</v>
      </c>
      <c r="C56" s="117">
        <v>84</v>
      </c>
      <c r="D56" s="117">
        <v>36</v>
      </c>
      <c r="E56" s="117">
        <v>16</v>
      </c>
      <c r="F56" s="117">
        <v>31702759036</v>
      </c>
      <c r="G56" s="117">
        <v>221538039854</v>
      </c>
      <c r="H56" s="117">
        <v>611062881747</v>
      </c>
      <c r="I56" s="117">
        <v>3149518681356</v>
      </c>
      <c r="J56" s="10">
        <f t="shared" si="1"/>
        <v>1569</v>
      </c>
      <c r="K56" s="10">
        <f t="shared" si="2"/>
        <v>4013822361993</v>
      </c>
    </row>
    <row r="57" spans="1:11" x14ac:dyDescent="0.35">
      <c r="A57" s="115" t="s">
        <v>307</v>
      </c>
      <c r="B57" s="117">
        <v>208</v>
      </c>
      <c r="C57" s="117">
        <v>4</v>
      </c>
      <c r="D57" s="117"/>
      <c r="E57" s="117"/>
      <c r="F57" s="117">
        <v>4151639381</v>
      </c>
      <c r="G57" s="117">
        <v>10681003213</v>
      </c>
      <c r="H57" s="117"/>
      <c r="I57" s="117"/>
      <c r="J57" s="10">
        <f>SUM(B57:E57)</f>
        <v>212</v>
      </c>
      <c r="K57" s="10">
        <f t="shared" si="2"/>
        <v>14832642594</v>
      </c>
    </row>
    <row r="58" spans="1:11" x14ac:dyDescent="0.35">
      <c r="A58" s="8" t="s">
        <v>76</v>
      </c>
      <c r="B58" s="9">
        <f>+SUM(B59:B78)</f>
        <v>4515</v>
      </c>
      <c r="C58" s="9">
        <f t="shared" ref="C58:I58" si="6">+SUM(C59:C78)</f>
        <v>98</v>
      </c>
      <c r="D58" s="9">
        <f t="shared" si="6"/>
        <v>12</v>
      </c>
      <c r="E58" s="9">
        <f t="shared" si="6"/>
        <v>1</v>
      </c>
      <c r="F58" s="9">
        <f t="shared" si="6"/>
        <v>71476931426</v>
      </c>
      <c r="G58" s="9">
        <f t="shared" si="6"/>
        <v>187390227569</v>
      </c>
      <c r="H58" s="9">
        <f t="shared" si="6"/>
        <v>164225991652</v>
      </c>
      <c r="I58" s="9">
        <f t="shared" si="6"/>
        <v>74625548691</v>
      </c>
      <c r="J58" s="9">
        <f>SUM(B58:E58)</f>
        <v>4626</v>
      </c>
      <c r="K58" s="9">
        <f>SUM(F58:I58)</f>
        <v>497718699338</v>
      </c>
    </row>
    <row r="59" spans="1:11" x14ac:dyDescent="0.35">
      <c r="A59" s="115" t="s">
        <v>308</v>
      </c>
      <c r="B59" s="117">
        <v>84</v>
      </c>
      <c r="C59" s="117">
        <v>1</v>
      </c>
      <c r="D59" s="117"/>
      <c r="E59" s="117"/>
      <c r="F59" s="117">
        <v>1963576496</v>
      </c>
      <c r="G59" s="117">
        <v>5234600000</v>
      </c>
      <c r="H59" s="117"/>
      <c r="I59" s="117"/>
      <c r="J59" s="10">
        <f t="shared" si="1"/>
        <v>85</v>
      </c>
      <c r="K59" s="10">
        <f t="shared" si="2"/>
        <v>7198176496</v>
      </c>
    </row>
    <row r="60" spans="1:11" x14ac:dyDescent="0.35">
      <c r="A60" s="115" t="s">
        <v>309</v>
      </c>
      <c r="B60" s="117">
        <v>118</v>
      </c>
      <c r="C60" s="117"/>
      <c r="D60" s="117"/>
      <c r="E60" s="117"/>
      <c r="F60" s="117">
        <v>1352291794</v>
      </c>
      <c r="G60" s="117"/>
      <c r="H60" s="117"/>
      <c r="I60" s="117"/>
      <c r="J60" s="10">
        <f t="shared" si="1"/>
        <v>118</v>
      </c>
      <c r="K60" s="10">
        <f t="shared" si="2"/>
        <v>1352291794</v>
      </c>
    </row>
    <row r="61" spans="1:11" x14ac:dyDescent="0.35">
      <c r="A61" s="115" t="s">
        <v>310</v>
      </c>
      <c r="B61" s="117">
        <v>95</v>
      </c>
      <c r="C61" s="117"/>
      <c r="D61" s="117"/>
      <c r="E61" s="117"/>
      <c r="F61" s="117">
        <v>1104818285</v>
      </c>
      <c r="G61" s="117"/>
      <c r="H61" s="117"/>
      <c r="I61" s="117"/>
      <c r="J61" s="10">
        <f t="shared" si="1"/>
        <v>95</v>
      </c>
      <c r="K61" s="10">
        <f t="shared" si="2"/>
        <v>1104818285</v>
      </c>
    </row>
    <row r="62" spans="1:11" x14ac:dyDescent="0.35">
      <c r="A62" s="115" t="s">
        <v>311</v>
      </c>
      <c r="B62" s="117">
        <v>224</v>
      </c>
      <c r="C62" s="117">
        <v>9</v>
      </c>
      <c r="D62" s="117">
        <v>2</v>
      </c>
      <c r="E62" s="117"/>
      <c r="F62" s="117">
        <v>7366896235</v>
      </c>
      <c r="G62" s="117">
        <v>18593604101</v>
      </c>
      <c r="H62" s="117">
        <v>13633096000</v>
      </c>
      <c r="I62" s="117"/>
      <c r="J62" s="10">
        <f t="shared" si="1"/>
        <v>235</v>
      </c>
      <c r="K62" s="10">
        <f t="shared" si="2"/>
        <v>39593596336</v>
      </c>
    </row>
    <row r="63" spans="1:11" x14ac:dyDescent="0.35">
      <c r="A63" s="115" t="s">
        <v>267</v>
      </c>
      <c r="B63" s="117">
        <v>203</v>
      </c>
      <c r="C63" s="117"/>
      <c r="D63" s="117"/>
      <c r="E63" s="117"/>
      <c r="F63" s="117">
        <v>1094548948</v>
      </c>
      <c r="G63" s="117"/>
      <c r="H63" s="117"/>
      <c r="I63" s="117"/>
      <c r="J63" s="10">
        <f t="shared" si="1"/>
        <v>203</v>
      </c>
      <c r="K63" s="10">
        <f t="shared" si="2"/>
        <v>1094548948</v>
      </c>
    </row>
    <row r="64" spans="1:11" x14ac:dyDescent="0.35">
      <c r="A64" s="115" t="s">
        <v>312</v>
      </c>
      <c r="B64" s="117">
        <v>270</v>
      </c>
      <c r="C64" s="117">
        <v>3</v>
      </c>
      <c r="D64" s="117"/>
      <c r="E64" s="117"/>
      <c r="F64" s="117">
        <v>2866987306</v>
      </c>
      <c r="G64" s="117">
        <v>5094223453</v>
      </c>
      <c r="H64" s="117"/>
      <c r="I64" s="117"/>
      <c r="J64" s="10">
        <f t="shared" si="1"/>
        <v>273</v>
      </c>
      <c r="K64" s="10">
        <f t="shared" si="2"/>
        <v>7961210759</v>
      </c>
    </row>
    <row r="65" spans="1:11" x14ac:dyDescent="0.35">
      <c r="A65" s="115" t="s">
        <v>313</v>
      </c>
      <c r="B65" s="117">
        <v>248</v>
      </c>
      <c r="C65" s="117">
        <v>4</v>
      </c>
      <c r="D65" s="117"/>
      <c r="E65" s="117"/>
      <c r="F65" s="117">
        <v>2435672784</v>
      </c>
      <c r="G65" s="117">
        <v>3797808284</v>
      </c>
      <c r="H65" s="117"/>
      <c r="I65" s="117"/>
      <c r="J65" s="10">
        <f t="shared" si="1"/>
        <v>252</v>
      </c>
      <c r="K65" s="10">
        <f t="shared" si="2"/>
        <v>6233481068</v>
      </c>
    </row>
    <row r="66" spans="1:11" x14ac:dyDescent="0.35">
      <c r="A66" s="115" t="s">
        <v>314</v>
      </c>
      <c r="B66" s="117">
        <v>365</v>
      </c>
      <c r="C66" s="117">
        <v>8</v>
      </c>
      <c r="D66" s="117">
        <v>1</v>
      </c>
      <c r="E66" s="117"/>
      <c r="F66" s="117">
        <v>4375822857</v>
      </c>
      <c r="G66" s="117">
        <v>11009199429</v>
      </c>
      <c r="H66" s="117">
        <v>11113884568</v>
      </c>
      <c r="I66" s="117"/>
      <c r="J66" s="10">
        <f t="shared" si="1"/>
        <v>374</v>
      </c>
      <c r="K66" s="10">
        <f t="shared" si="2"/>
        <v>26498906854</v>
      </c>
    </row>
    <row r="67" spans="1:11" x14ac:dyDescent="0.35">
      <c r="A67" s="115" t="s">
        <v>315</v>
      </c>
      <c r="B67" s="117">
        <v>163</v>
      </c>
      <c r="C67" s="117">
        <v>2</v>
      </c>
      <c r="D67" s="117">
        <v>1</v>
      </c>
      <c r="E67" s="117"/>
      <c r="F67" s="117">
        <v>2723005872</v>
      </c>
      <c r="G67" s="117">
        <v>3450242087</v>
      </c>
      <c r="H67" s="117">
        <v>6530268401</v>
      </c>
      <c r="I67" s="117"/>
      <c r="J67" s="10">
        <f t="shared" si="1"/>
        <v>166</v>
      </c>
      <c r="K67" s="10">
        <f t="shared" si="2"/>
        <v>12703516360</v>
      </c>
    </row>
    <row r="68" spans="1:11" x14ac:dyDescent="0.35">
      <c r="A68" s="115" t="s">
        <v>316</v>
      </c>
      <c r="B68" s="117">
        <v>118</v>
      </c>
      <c r="C68" s="117">
        <v>4</v>
      </c>
      <c r="D68" s="117"/>
      <c r="E68" s="117"/>
      <c r="F68" s="117">
        <v>759333084</v>
      </c>
      <c r="G68" s="117">
        <v>8119840710</v>
      </c>
      <c r="H68" s="117"/>
      <c r="I68" s="117"/>
      <c r="J68" s="10">
        <f t="shared" si="1"/>
        <v>122</v>
      </c>
      <c r="K68" s="10">
        <f t="shared" si="2"/>
        <v>8879173794</v>
      </c>
    </row>
    <row r="69" spans="1:11" x14ac:dyDescent="0.35">
      <c r="A69" s="115" t="s">
        <v>317</v>
      </c>
      <c r="B69" s="117">
        <v>193</v>
      </c>
      <c r="C69" s="117">
        <v>3</v>
      </c>
      <c r="D69" s="117"/>
      <c r="E69" s="117"/>
      <c r="F69" s="117">
        <v>1861795262</v>
      </c>
      <c r="G69" s="117">
        <v>2636515047</v>
      </c>
      <c r="H69" s="117"/>
      <c r="I69" s="117"/>
      <c r="J69" s="10">
        <f t="shared" si="1"/>
        <v>196</v>
      </c>
      <c r="K69" s="10">
        <f t="shared" si="2"/>
        <v>4498310309</v>
      </c>
    </row>
    <row r="70" spans="1:11" x14ac:dyDescent="0.35">
      <c r="A70" s="115" t="s">
        <v>318</v>
      </c>
      <c r="B70" s="117">
        <v>50</v>
      </c>
      <c r="C70" s="117">
        <v>1</v>
      </c>
      <c r="D70" s="117"/>
      <c r="E70" s="117"/>
      <c r="F70" s="117">
        <v>2299311186</v>
      </c>
      <c r="G70" s="117">
        <v>2783953245</v>
      </c>
      <c r="H70" s="117"/>
      <c r="I70" s="117"/>
      <c r="J70" s="10">
        <f t="shared" ref="J70:J79" si="7">SUM(B70:E70)</f>
        <v>51</v>
      </c>
      <c r="K70" s="10">
        <f t="shared" ref="K70:K79" si="8">SUM(F70:I70)</f>
        <v>5083264431</v>
      </c>
    </row>
    <row r="71" spans="1:11" x14ac:dyDescent="0.35">
      <c r="A71" s="115" t="s">
        <v>319</v>
      </c>
      <c r="B71" s="117">
        <v>67</v>
      </c>
      <c r="C71" s="117"/>
      <c r="D71" s="117"/>
      <c r="E71" s="117"/>
      <c r="F71" s="117">
        <v>1116363500</v>
      </c>
      <c r="G71" s="117"/>
      <c r="H71" s="117"/>
      <c r="I71" s="117"/>
      <c r="J71" s="10">
        <f t="shared" si="7"/>
        <v>67</v>
      </c>
      <c r="K71" s="10">
        <f t="shared" si="8"/>
        <v>1116363500</v>
      </c>
    </row>
    <row r="72" spans="1:11" x14ac:dyDescent="0.35">
      <c r="A72" s="115" t="s">
        <v>320</v>
      </c>
      <c r="B72" s="117">
        <v>121</v>
      </c>
      <c r="C72" s="117">
        <v>1</v>
      </c>
      <c r="D72" s="117"/>
      <c r="E72" s="117"/>
      <c r="F72" s="117">
        <v>2474308902</v>
      </c>
      <c r="G72" s="117">
        <v>932796556</v>
      </c>
      <c r="H72" s="117"/>
      <c r="I72" s="117"/>
      <c r="J72" s="10">
        <f t="shared" si="7"/>
        <v>122</v>
      </c>
      <c r="K72" s="10">
        <f t="shared" si="8"/>
        <v>3407105458</v>
      </c>
    </row>
    <row r="73" spans="1:11" x14ac:dyDescent="0.35">
      <c r="A73" s="115" t="s">
        <v>321</v>
      </c>
      <c r="B73" s="117">
        <v>139</v>
      </c>
      <c r="C73" s="117">
        <v>1</v>
      </c>
      <c r="D73" s="117"/>
      <c r="E73" s="117"/>
      <c r="F73" s="117">
        <v>1029606862</v>
      </c>
      <c r="G73" s="117">
        <v>1119033717</v>
      </c>
      <c r="H73" s="117"/>
      <c r="I73" s="117"/>
      <c r="J73" s="10">
        <f t="shared" si="7"/>
        <v>140</v>
      </c>
      <c r="K73" s="10">
        <f t="shared" si="8"/>
        <v>2148640579</v>
      </c>
    </row>
    <row r="74" spans="1:11" x14ac:dyDescent="0.35">
      <c r="A74" s="115" t="s">
        <v>322</v>
      </c>
      <c r="B74" s="117">
        <v>454</v>
      </c>
      <c r="C74" s="117">
        <v>9</v>
      </c>
      <c r="D74" s="117">
        <v>1</v>
      </c>
      <c r="E74" s="117"/>
      <c r="F74" s="117">
        <v>8825154309</v>
      </c>
      <c r="G74" s="117">
        <v>16625493863</v>
      </c>
      <c r="H74" s="117">
        <v>20380712005</v>
      </c>
      <c r="I74" s="117"/>
      <c r="J74" s="10">
        <f t="shared" si="7"/>
        <v>464</v>
      </c>
      <c r="K74" s="10">
        <f t="shared" si="8"/>
        <v>45831360177</v>
      </c>
    </row>
    <row r="75" spans="1:11" x14ac:dyDescent="0.35">
      <c r="A75" s="115" t="s">
        <v>323</v>
      </c>
      <c r="B75" s="117">
        <v>951</v>
      </c>
      <c r="C75" s="117">
        <v>45</v>
      </c>
      <c r="D75" s="117">
        <v>6</v>
      </c>
      <c r="E75" s="117">
        <v>1</v>
      </c>
      <c r="F75" s="117">
        <v>18964106752</v>
      </c>
      <c r="G75" s="117">
        <v>101362075878</v>
      </c>
      <c r="H75" s="117">
        <v>86742612296</v>
      </c>
      <c r="I75" s="117">
        <v>74625548691</v>
      </c>
      <c r="J75" s="10">
        <f t="shared" si="7"/>
        <v>1003</v>
      </c>
      <c r="K75" s="10">
        <f t="shared" si="8"/>
        <v>281694343617</v>
      </c>
    </row>
    <row r="76" spans="1:11" x14ac:dyDescent="0.35">
      <c r="A76" s="115" t="s">
        <v>324</v>
      </c>
      <c r="B76" s="117">
        <v>528</v>
      </c>
      <c r="C76" s="117">
        <v>5</v>
      </c>
      <c r="D76" s="117">
        <v>1</v>
      </c>
      <c r="E76" s="117"/>
      <c r="F76" s="117">
        <v>6730019047</v>
      </c>
      <c r="G76" s="117">
        <v>4283566024</v>
      </c>
      <c r="H76" s="117">
        <v>25825418382</v>
      </c>
      <c r="I76" s="117"/>
      <c r="J76" s="10">
        <f t="shared" si="7"/>
        <v>534</v>
      </c>
      <c r="K76" s="10">
        <f t="shared" si="8"/>
        <v>36839003453</v>
      </c>
    </row>
    <row r="77" spans="1:11" x14ac:dyDescent="0.35">
      <c r="A77" s="115" t="s">
        <v>325</v>
      </c>
      <c r="B77" s="117">
        <v>66</v>
      </c>
      <c r="C77" s="117">
        <v>2</v>
      </c>
      <c r="D77" s="117"/>
      <c r="E77" s="117"/>
      <c r="F77" s="117">
        <v>1534481945</v>
      </c>
      <c r="G77" s="117">
        <v>2347275175</v>
      </c>
      <c r="H77" s="117"/>
      <c r="I77" s="117"/>
      <c r="J77" s="10">
        <f t="shared" si="7"/>
        <v>68</v>
      </c>
      <c r="K77" s="10">
        <f t="shared" si="8"/>
        <v>3881757120</v>
      </c>
    </row>
    <row r="78" spans="1:11" x14ac:dyDescent="0.35">
      <c r="A78" s="115" t="s">
        <v>326</v>
      </c>
      <c r="B78" s="117">
        <v>58</v>
      </c>
      <c r="C78" s="117"/>
      <c r="D78" s="117"/>
      <c r="E78" s="117"/>
      <c r="F78" s="117">
        <v>598830000</v>
      </c>
      <c r="G78" s="117"/>
      <c r="H78" s="117"/>
      <c r="I78" s="117"/>
      <c r="J78" s="10">
        <f t="shared" si="7"/>
        <v>58</v>
      </c>
      <c r="K78" s="10">
        <f t="shared" si="8"/>
        <v>598830000</v>
      </c>
    </row>
    <row r="79" spans="1:11" x14ac:dyDescent="0.35">
      <c r="A79" s="113" t="s">
        <v>77</v>
      </c>
      <c r="B79" s="117">
        <v>2</v>
      </c>
      <c r="C79" s="117">
        <v>1</v>
      </c>
      <c r="D79" s="117"/>
      <c r="E79" s="117"/>
      <c r="F79" s="117">
        <v>10800000</v>
      </c>
      <c r="G79" s="117">
        <v>3720235867</v>
      </c>
      <c r="H79" s="117"/>
      <c r="I79" s="117"/>
      <c r="J79" s="10">
        <f t="shared" si="7"/>
        <v>3</v>
      </c>
      <c r="K79" s="10">
        <f t="shared" si="8"/>
        <v>3731035867</v>
      </c>
    </row>
    <row r="80" spans="1:11" x14ac:dyDescent="0.35">
      <c r="A80" s="5" t="s">
        <v>16</v>
      </c>
      <c r="B80" s="4">
        <f>B79+B58+B52+B30+B48+B6+B5</f>
        <v>140058</v>
      </c>
      <c r="C80" s="4">
        <f t="shared" ref="C80:I80" si="9">C79+C58+C52+C30+C48+C6+C5</f>
        <v>14400</v>
      </c>
      <c r="D80" s="4">
        <f t="shared" si="9"/>
        <v>3593</v>
      </c>
      <c r="E80" s="4">
        <f t="shared" si="9"/>
        <v>958</v>
      </c>
      <c r="F80" s="4">
        <f t="shared" si="9"/>
        <v>5771164976496</v>
      </c>
      <c r="G80" s="4">
        <f t="shared" si="9"/>
        <v>31752866161793</v>
      </c>
      <c r="H80" s="4">
        <f t="shared" si="9"/>
        <v>55108152265499</v>
      </c>
      <c r="I80" s="4">
        <f t="shared" si="9"/>
        <v>819051758902067</v>
      </c>
      <c r="J80" s="4">
        <f>J79+J58+J52+J30+J48+J6+J5</f>
        <v>159009</v>
      </c>
      <c r="K80" s="114">
        <f>K79+K58+K52+K30+K48+K6+K5</f>
        <v>911683942305855</v>
      </c>
    </row>
    <row r="82" spans="1:1" x14ac:dyDescent="0.35">
      <c r="A82" t="s">
        <v>1356</v>
      </c>
    </row>
    <row r="83" spans="1:1" x14ac:dyDescent="0.35">
      <c r="A83" t="s">
        <v>1318</v>
      </c>
    </row>
    <row r="84" spans="1:1" x14ac:dyDescent="0.35">
      <c r="A84" t="s">
        <v>17</v>
      </c>
    </row>
    <row r="85" spans="1:1" x14ac:dyDescent="0.35">
      <c r="A85" t="s">
        <v>1320</v>
      </c>
    </row>
  </sheetData>
  <mergeCells count="5">
    <mergeCell ref="A3:A4"/>
    <mergeCell ref="B3:E3"/>
    <mergeCell ref="F3:I3"/>
    <mergeCell ref="J3:J4"/>
    <mergeCell ref="K3:K4"/>
  </mergeCells>
  <hyperlinks>
    <hyperlink ref="I1" location="Índice!A1" display="Volver al índice" xr:uid="{2794B75F-0EEB-4B44-AB2A-C392CC0C04DD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B372-70CA-498C-A3C2-4AD552A85269}">
  <dimension ref="A1:L482"/>
  <sheetViews>
    <sheetView workbookViewId="0">
      <selection activeCell="E1" sqref="E1"/>
    </sheetView>
  </sheetViews>
  <sheetFormatPr baseColWidth="10" defaultColWidth="11.453125" defaultRowHeight="14.5" x14ac:dyDescent="0.35"/>
  <cols>
    <col min="2" max="2" width="68.1796875" customWidth="1"/>
    <col min="3" max="3" width="16.26953125" customWidth="1"/>
    <col min="4" max="4" width="19.81640625" bestFit="1" customWidth="1"/>
    <col min="6" max="6" width="11.81640625" bestFit="1" customWidth="1"/>
    <col min="7" max="7" width="17.81640625" bestFit="1" customWidth="1"/>
    <col min="8" max="9" width="18.81640625" bestFit="1" customWidth="1"/>
    <col min="10" max="10" width="19.81640625" bestFit="1" customWidth="1"/>
    <col min="11" max="11" width="14.453125" bestFit="1" customWidth="1"/>
    <col min="12" max="12" width="19.81640625" bestFit="1" customWidth="1"/>
  </cols>
  <sheetData>
    <row r="1" spans="1:12" ht="18.5" x14ac:dyDescent="0.45">
      <c r="A1" s="21" t="s">
        <v>1296</v>
      </c>
      <c r="E1" s="17" t="s">
        <v>1</v>
      </c>
    </row>
    <row r="3" spans="1:12" x14ac:dyDescent="0.35">
      <c r="A3" s="76" t="s">
        <v>327</v>
      </c>
      <c r="B3" s="76" t="s">
        <v>19</v>
      </c>
      <c r="C3" s="69" t="s">
        <v>259</v>
      </c>
      <c r="D3" s="70"/>
      <c r="E3" s="70"/>
      <c r="F3" s="71"/>
      <c r="G3" s="69" t="s">
        <v>4</v>
      </c>
      <c r="H3" s="70"/>
      <c r="I3" s="70"/>
      <c r="J3" s="71"/>
      <c r="K3" s="72" t="s">
        <v>259</v>
      </c>
      <c r="L3" s="72" t="s">
        <v>260</v>
      </c>
    </row>
    <row r="4" spans="1:12" x14ac:dyDescent="0.35">
      <c r="A4" s="76"/>
      <c r="B4" s="76"/>
      <c r="C4" s="23" t="s">
        <v>22</v>
      </c>
      <c r="D4" s="23" t="s">
        <v>23</v>
      </c>
      <c r="E4" s="23" t="s">
        <v>24</v>
      </c>
      <c r="F4" s="23" t="s">
        <v>25</v>
      </c>
      <c r="G4" s="23" t="s">
        <v>22</v>
      </c>
      <c r="H4" s="23" t="s">
        <v>23</v>
      </c>
      <c r="I4" s="23" t="s">
        <v>24</v>
      </c>
      <c r="J4" s="23" t="s">
        <v>25</v>
      </c>
      <c r="K4" s="73"/>
      <c r="L4" s="73"/>
    </row>
    <row r="5" spans="1:12" x14ac:dyDescent="0.35">
      <c r="A5" s="155" t="s">
        <v>328</v>
      </c>
      <c r="B5" s="155" t="s">
        <v>68</v>
      </c>
      <c r="C5" s="121">
        <v>163</v>
      </c>
      <c r="D5" s="121">
        <v>4</v>
      </c>
      <c r="E5" s="121">
        <v>3</v>
      </c>
      <c r="F5" s="121">
        <v>1</v>
      </c>
      <c r="G5" s="121">
        <v>4630056094</v>
      </c>
      <c r="H5" s="121">
        <v>14350080146</v>
      </c>
      <c r="I5" s="121">
        <v>62952278793</v>
      </c>
      <c r="J5" s="121">
        <v>43650085220</v>
      </c>
      <c r="K5" s="18">
        <f>+SUM(C5:F5)</f>
        <v>171</v>
      </c>
      <c r="L5" s="18">
        <f>+SUM(G5:J5)</f>
        <v>125582500253</v>
      </c>
    </row>
    <row r="6" spans="1:12" x14ac:dyDescent="0.35">
      <c r="A6" s="155" t="s">
        <v>329</v>
      </c>
      <c r="B6" s="155" t="s">
        <v>1207</v>
      </c>
      <c r="C6" s="121">
        <v>20</v>
      </c>
      <c r="D6" s="121">
        <v>6</v>
      </c>
      <c r="E6" s="121">
        <v>2</v>
      </c>
      <c r="F6" s="121"/>
      <c r="G6" s="121">
        <v>1651020000</v>
      </c>
      <c r="H6" s="121">
        <v>20322098944</v>
      </c>
      <c r="I6" s="121">
        <v>24042563179</v>
      </c>
      <c r="J6" s="121"/>
      <c r="K6" s="18">
        <f t="shared" ref="K6:K69" si="0">+SUM(C6:F6)</f>
        <v>28</v>
      </c>
      <c r="L6" s="18">
        <f t="shared" ref="L6:L69" si="1">+SUM(G6:J6)</f>
        <v>46015682123</v>
      </c>
    </row>
    <row r="7" spans="1:12" x14ac:dyDescent="0.35">
      <c r="A7" s="155" t="s">
        <v>330</v>
      </c>
      <c r="B7" s="155" t="s">
        <v>1208</v>
      </c>
      <c r="C7" s="121">
        <v>7</v>
      </c>
      <c r="D7" s="121">
        <v>3</v>
      </c>
      <c r="E7" s="121"/>
      <c r="F7" s="121"/>
      <c r="G7" s="121">
        <v>286555446</v>
      </c>
      <c r="H7" s="121">
        <v>4593524112</v>
      </c>
      <c r="I7" s="121"/>
      <c r="J7" s="121"/>
      <c r="K7" s="18">
        <f t="shared" si="0"/>
        <v>10</v>
      </c>
      <c r="L7" s="18">
        <f t="shared" si="1"/>
        <v>4880079558</v>
      </c>
    </row>
    <row r="8" spans="1:12" x14ac:dyDescent="0.35">
      <c r="A8" s="155" t="s">
        <v>331</v>
      </c>
      <c r="B8" s="155" t="s">
        <v>1209</v>
      </c>
      <c r="C8" s="121">
        <v>60</v>
      </c>
      <c r="D8" s="121">
        <v>3</v>
      </c>
      <c r="E8" s="121">
        <v>3</v>
      </c>
      <c r="F8" s="121">
        <v>1</v>
      </c>
      <c r="G8" s="121">
        <v>4835698437</v>
      </c>
      <c r="H8" s="121">
        <v>11539923936</v>
      </c>
      <c r="I8" s="121">
        <v>53009274000</v>
      </c>
      <c r="J8" s="121">
        <v>81752678000</v>
      </c>
      <c r="K8" s="18">
        <f t="shared" si="0"/>
        <v>67</v>
      </c>
      <c r="L8" s="18">
        <f t="shared" si="1"/>
        <v>151137574373</v>
      </c>
    </row>
    <row r="9" spans="1:12" x14ac:dyDescent="0.35">
      <c r="A9" s="155" t="s">
        <v>332</v>
      </c>
      <c r="B9" s="155" t="s">
        <v>1210</v>
      </c>
      <c r="C9" s="121">
        <v>2</v>
      </c>
      <c r="D9" s="121"/>
      <c r="E9" s="121"/>
      <c r="F9" s="121"/>
      <c r="G9" s="121">
        <v>22500000</v>
      </c>
      <c r="H9" s="121"/>
      <c r="I9" s="121"/>
      <c r="J9" s="121"/>
      <c r="K9" s="18">
        <f t="shared" si="0"/>
        <v>2</v>
      </c>
      <c r="L9" s="18">
        <f t="shared" si="1"/>
        <v>22500000</v>
      </c>
    </row>
    <row r="10" spans="1:12" x14ac:dyDescent="0.35">
      <c r="A10" s="155" t="s">
        <v>333</v>
      </c>
      <c r="B10" s="155" t="s">
        <v>334</v>
      </c>
      <c r="C10" s="121">
        <v>13</v>
      </c>
      <c r="D10" s="121">
        <v>8</v>
      </c>
      <c r="E10" s="121">
        <v>1</v>
      </c>
      <c r="F10" s="121">
        <v>2</v>
      </c>
      <c r="G10" s="121">
        <v>1013770640</v>
      </c>
      <c r="H10" s="121">
        <v>25478187317</v>
      </c>
      <c r="I10" s="121">
        <v>29245331501</v>
      </c>
      <c r="J10" s="121">
        <v>157470183244</v>
      </c>
      <c r="K10" s="18">
        <f t="shared" si="0"/>
        <v>24</v>
      </c>
      <c r="L10" s="18">
        <f t="shared" si="1"/>
        <v>213207472702</v>
      </c>
    </row>
    <row r="11" spans="1:12" x14ac:dyDescent="0.35">
      <c r="A11" s="155" t="s">
        <v>335</v>
      </c>
      <c r="B11" s="155" t="s">
        <v>336</v>
      </c>
      <c r="C11" s="121">
        <v>161</v>
      </c>
      <c r="D11" s="121">
        <v>105</v>
      </c>
      <c r="E11" s="121">
        <v>39</v>
      </c>
      <c r="F11" s="121">
        <v>12</v>
      </c>
      <c r="G11" s="121">
        <v>16480968059</v>
      </c>
      <c r="H11" s="121">
        <v>248792366163</v>
      </c>
      <c r="I11" s="121">
        <v>574338534103</v>
      </c>
      <c r="J11" s="121">
        <v>862379605444</v>
      </c>
      <c r="K11" s="18">
        <f t="shared" si="0"/>
        <v>317</v>
      </c>
      <c r="L11" s="18">
        <f t="shared" si="1"/>
        <v>1701991473769</v>
      </c>
    </row>
    <row r="12" spans="1:12" x14ac:dyDescent="0.35">
      <c r="A12" s="155" t="s">
        <v>337</v>
      </c>
      <c r="B12" s="155" t="s">
        <v>338</v>
      </c>
      <c r="C12" s="121">
        <v>17</v>
      </c>
      <c r="D12" s="121">
        <v>37</v>
      </c>
      <c r="E12" s="121">
        <v>34</v>
      </c>
      <c r="F12" s="121">
        <v>14</v>
      </c>
      <c r="G12" s="121">
        <v>1408873880</v>
      </c>
      <c r="H12" s="121">
        <v>113890379164</v>
      </c>
      <c r="I12" s="121">
        <v>516534118378</v>
      </c>
      <c r="J12" s="121">
        <v>1254791874176</v>
      </c>
      <c r="K12" s="18">
        <f t="shared" si="0"/>
        <v>102</v>
      </c>
      <c r="L12" s="18">
        <f t="shared" si="1"/>
        <v>1886625245598</v>
      </c>
    </row>
    <row r="13" spans="1:12" x14ac:dyDescent="0.35">
      <c r="A13" s="155" t="s">
        <v>339</v>
      </c>
      <c r="B13" s="155" t="s">
        <v>340</v>
      </c>
      <c r="C13" s="121">
        <v>201</v>
      </c>
      <c r="D13" s="121">
        <v>29</v>
      </c>
      <c r="E13" s="121">
        <v>8</v>
      </c>
      <c r="F13" s="121">
        <v>3</v>
      </c>
      <c r="G13" s="121">
        <v>8489758116</v>
      </c>
      <c r="H13" s="121">
        <v>68614805544</v>
      </c>
      <c r="I13" s="121">
        <v>92633737652</v>
      </c>
      <c r="J13" s="121">
        <v>191252504862</v>
      </c>
      <c r="K13" s="18">
        <f t="shared" si="0"/>
        <v>241</v>
      </c>
      <c r="L13" s="18">
        <f t="shared" si="1"/>
        <v>360990806174</v>
      </c>
    </row>
    <row r="14" spans="1:12" x14ac:dyDescent="0.35">
      <c r="A14" s="155" t="s">
        <v>341</v>
      </c>
      <c r="B14" s="155" t="s">
        <v>342</v>
      </c>
      <c r="C14" s="121">
        <v>7</v>
      </c>
      <c r="D14" s="121">
        <v>3</v>
      </c>
      <c r="E14" s="121">
        <v>2</v>
      </c>
      <c r="F14" s="121"/>
      <c r="G14" s="121">
        <v>497426000</v>
      </c>
      <c r="H14" s="121">
        <v>7199840919</v>
      </c>
      <c r="I14" s="121">
        <v>48956799631</v>
      </c>
      <c r="J14" s="121"/>
      <c r="K14" s="18">
        <f t="shared" si="0"/>
        <v>12</v>
      </c>
      <c r="L14" s="18">
        <f t="shared" si="1"/>
        <v>56654066550</v>
      </c>
    </row>
    <row r="15" spans="1:12" x14ac:dyDescent="0.35">
      <c r="A15" s="155" t="s">
        <v>343</v>
      </c>
      <c r="B15" s="155" t="s">
        <v>344</v>
      </c>
      <c r="C15" s="121">
        <v>24</v>
      </c>
      <c r="D15" s="121">
        <v>4</v>
      </c>
      <c r="E15" s="121">
        <v>2</v>
      </c>
      <c r="F15" s="121">
        <v>3</v>
      </c>
      <c r="G15" s="121">
        <v>2324243278</v>
      </c>
      <c r="H15" s="121">
        <v>10898029868</v>
      </c>
      <c r="I15" s="121">
        <v>24278737233</v>
      </c>
      <c r="J15" s="121">
        <v>410108805650</v>
      </c>
      <c r="K15" s="18">
        <f t="shared" si="0"/>
        <v>33</v>
      </c>
      <c r="L15" s="18">
        <f t="shared" si="1"/>
        <v>447609816029</v>
      </c>
    </row>
    <row r="16" spans="1:12" x14ac:dyDescent="0.35">
      <c r="A16" s="155" t="s">
        <v>345</v>
      </c>
      <c r="B16" s="155" t="s">
        <v>346</v>
      </c>
      <c r="C16" s="121">
        <v>10</v>
      </c>
      <c r="D16" s="121">
        <v>15</v>
      </c>
      <c r="E16" s="121">
        <v>12</v>
      </c>
      <c r="F16" s="121">
        <v>3</v>
      </c>
      <c r="G16" s="121">
        <v>1817957000</v>
      </c>
      <c r="H16" s="121">
        <v>45927449766</v>
      </c>
      <c r="I16" s="121">
        <v>194367493500</v>
      </c>
      <c r="J16" s="121">
        <v>176364749862</v>
      </c>
      <c r="K16" s="18">
        <f t="shared" si="0"/>
        <v>40</v>
      </c>
      <c r="L16" s="18">
        <f t="shared" si="1"/>
        <v>418477650128</v>
      </c>
    </row>
    <row r="17" spans="1:12" x14ac:dyDescent="0.35">
      <c r="A17" s="155" t="s">
        <v>347</v>
      </c>
      <c r="B17" s="155" t="s">
        <v>348</v>
      </c>
      <c r="C17" s="121">
        <v>6</v>
      </c>
      <c r="D17" s="121">
        <v>2</v>
      </c>
      <c r="E17" s="121"/>
      <c r="F17" s="121">
        <v>2</v>
      </c>
      <c r="G17" s="121">
        <v>46840000</v>
      </c>
      <c r="H17" s="121">
        <v>4774918942</v>
      </c>
      <c r="I17" s="121"/>
      <c r="J17" s="121">
        <v>267035564146</v>
      </c>
      <c r="K17" s="18">
        <f t="shared" si="0"/>
        <v>10</v>
      </c>
      <c r="L17" s="18">
        <f t="shared" si="1"/>
        <v>271857323088</v>
      </c>
    </row>
    <row r="18" spans="1:12" x14ac:dyDescent="0.35">
      <c r="A18" s="155" t="s">
        <v>349</v>
      </c>
      <c r="B18" s="155" t="s">
        <v>1211</v>
      </c>
      <c r="C18" s="121">
        <v>72</v>
      </c>
      <c r="D18" s="121">
        <v>9</v>
      </c>
      <c r="E18" s="121">
        <v>2</v>
      </c>
      <c r="F18" s="121"/>
      <c r="G18" s="121">
        <v>5285405028</v>
      </c>
      <c r="H18" s="121">
        <v>10590959965</v>
      </c>
      <c r="I18" s="121">
        <v>24088174435</v>
      </c>
      <c r="J18" s="121"/>
      <c r="K18" s="18">
        <f t="shared" si="0"/>
        <v>83</v>
      </c>
      <c r="L18" s="18">
        <f t="shared" si="1"/>
        <v>39964539428</v>
      </c>
    </row>
    <row r="19" spans="1:12" x14ac:dyDescent="0.35">
      <c r="A19" s="155" t="s">
        <v>350</v>
      </c>
      <c r="B19" s="155" t="s">
        <v>351</v>
      </c>
      <c r="C19" s="121">
        <v>31</v>
      </c>
      <c r="D19" s="121">
        <v>7</v>
      </c>
      <c r="E19" s="121">
        <v>3</v>
      </c>
      <c r="F19" s="121">
        <v>1</v>
      </c>
      <c r="G19" s="121">
        <v>3766810718</v>
      </c>
      <c r="H19" s="121">
        <v>21156459569</v>
      </c>
      <c r="I19" s="121">
        <v>43183751964</v>
      </c>
      <c r="J19" s="121">
        <v>44255342000</v>
      </c>
      <c r="K19" s="18">
        <f t="shared" si="0"/>
        <v>42</v>
      </c>
      <c r="L19" s="18">
        <f t="shared" si="1"/>
        <v>112362364251</v>
      </c>
    </row>
    <row r="20" spans="1:12" x14ac:dyDescent="0.35">
      <c r="A20" s="155" t="s">
        <v>352</v>
      </c>
      <c r="B20" s="155" t="s">
        <v>1212</v>
      </c>
      <c r="C20" s="121">
        <v>121</v>
      </c>
      <c r="D20" s="121">
        <v>3</v>
      </c>
      <c r="E20" s="121"/>
      <c r="F20" s="121"/>
      <c r="G20" s="121">
        <v>4749044581</v>
      </c>
      <c r="H20" s="121">
        <v>2756906618</v>
      </c>
      <c r="I20" s="121"/>
      <c r="J20" s="121"/>
      <c r="K20" s="18">
        <f t="shared" si="0"/>
        <v>124</v>
      </c>
      <c r="L20" s="18">
        <f t="shared" si="1"/>
        <v>7505951199</v>
      </c>
    </row>
    <row r="21" spans="1:12" x14ac:dyDescent="0.35">
      <c r="A21" s="155" t="s">
        <v>353</v>
      </c>
      <c r="B21" s="155" t="s">
        <v>354</v>
      </c>
      <c r="C21" s="121">
        <v>503</v>
      </c>
      <c r="D21" s="121">
        <v>346</v>
      </c>
      <c r="E21" s="121">
        <v>112</v>
      </c>
      <c r="F21" s="121">
        <v>11</v>
      </c>
      <c r="G21" s="121">
        <v>68038452116</v>
      </c>
      <c r="H21" s="121">
        <v>861452424399</v>
      </c>
      <c r="I21" s="121">
        <v>1596567771510</v>
      </c>
      <c r="J21" s="121">
        <v>1159228533110</v>
      </c>
      <c r="K21" s="18">
        <f t="shared" si="0"/>
        <v>972</v>
      </c>
      <c r="L21" s="18">
        <f t="shared" si="1"/>
        <v>3685287181135</v>
      </c>
    </row>
    <row r="22" spans="1:12" x14ac:dyDescent="0.35">
      <c r="A22" s="155" t="s">
        <v>355</v>
      </c>
      <c r="B22" s="155" t="s">
        <v>1213</v>
      </c>
      <c r="C22" s="121">
        <v>31</v>
      </c>
      <c r="D22" s="121">
        <v>2</v>
      </c>
      <c r="E22" s="121">
        <v>1</v>
      </c>
      <c r="F22" s="121"/>
      <c r="G22" s="121">
        <v>3090649705</v>
      </c>
      <c r="H22" s="121">
        <v>4563866701</v>
      </c>
      <c r="I22" s="121">
        <v>27437796547</v>
      </c>
      <c r="J22" s="121"/>
      <c r="K22" s="18">
        <f t="shared" si="0"/>
        <v>34</v>
      </c>
      <c r="L22" s="18">
        <f t="shared" si="1"/>
        <v>35092312953</v>
      </c>
    </row>
    <row r="23" spans="1:12" x14ac:dyDescent="0.35">
      <c r="A23" s="155" t="s">
        <v>356</v>
      </c>
      <c r="B23" s="155" t="s">
        <v>1214</v>
      </c>
      <c r="C23" s="121">
        <v>2</v>
      </c>
      <c r="D23" s="121">
        <v>1</v>
      </c>
      <c r="E23" s="121"/>
      <c r="F23" s="121"/>
      <c r="G23" s="121">
        <v>508221066</v>
      </c>
      <c r="H23" s="121">
        <v>660890233</v>
      </c>
      <c r="I23" s="121"/>
      <c r="J23" s="121"/>
      <c r="K23" s="18">
        <f t="shared" si="0"/>
        <v>3</v>
      </c>
      <c r="L23" s="18">
        <f t="shared" si="1"/>
        <v>1169111299</v>
      </c>
    </row>
    <row r="24" spans="1:12" x14ac:dyDescent="0.35">
      <c r="A24" s="155" t="s">
        <v>357</v>
      </c>
      <c r="B24" s="155" t="s">
        <v>358</v>
      </c>
      <c r="C24" s="121">
        <v>120</v>
      </c>
      <c r="D24" s="121">
        <v>68</v>
      </c>
      <c r="E24" s="121">
        <v>20</v>
      </c>
      <c r="F24" s="121">
        <v>3</v>
      </c>
      <c r="G24" s="121">
        <v>10246835992</v>
      </c>
      <c r="H24" s="121">
        <v>172878537466</v>
      </c>
      <c r="I24" s="121">
        <v>293132091778</v>
      </c>
      <c r="J24" s="121">
        <v>631127715273</v>
      </c>
      <c r="K24" s="18">
        <f t="shared" si="0"/>
        <v>211</v>
      </c>
      <c r="L24" s="18">
        <f t="shared" si="1"/>
        <v>1107385180509</v>
      </c>
    </row>
    <row r="25" spans="1:12" x14ac:dyDescent="0.35">
      <c r="A25" s="155" t="s">
        <v>359</v>
      </c>
      <c r="B25" s="155" t="s">
        <v>360</v>
      </c>
      <c r="C25" s="121">
        <v>78</v>
      </c>
      <c r="D25" s="121">
        <v>7</v>
      </c>
      <c r="E25" s="121">
        <v>6</v>
      </c>
      <c r="F25" s="121">
        <v>1</v>
      </c>
      <c r="G25" s="121">
        <v>4310827264</v>
      </c>
      <c r="H25" s="121">
        <v>18333989727</v>
      </c>
      <c r="I25" s="121">
        <v>125026380412</v>
      </c>
      <c r="J25" s="121">
        <v>50225951689</v>
      </c>
      <c r="K25" s="18">
        <f t="shared" si="0"/>
        <v>92</v>
      </c>
      <c r="L25" s="18">
        <f t="shared" si="1"/>
        <v>197897149092</v>
      </c>
    </row>
    <row r="26" spans="1:12" x14ac:dyDescent="0.35">
      <c r="A26" s="155" t="s">
        <v>361</v>
      </c>
      <c r="B26" s="155" t="s">
        <v>362</v>
      </c>
      <c r="C26" s="121">
        <v>55</v>
      </c>
      <c r="D26" s="121">
        <v>4</v>
      </c>
      <c r="E26" s="121"/>
      <c r="F26" s="121">
        <v>1</v>
      </c>
      <c r="G26" s="121">
        <v>2090907498</v>
      </c>
      <c r="H26" s="121">
        <v>13575786455</v>
      </c>
      <c r="I26" s="121"/>
      <c r="J26" s="121">
        <v>39032269000</v>
      </c>
      <c r="K26" s="18">
        <f t="shared" si="0"/>
        <v>60</v>
      </c>
      <c r="L26" s="18">
        <f t="shared" si="1"/>
        <v>54698962953</v>
      </c>
    </row>
    <row r="27" spans="1:12" x14ac:dyDescent="0.35">
      <c r="A27" s="155" t="s">
        <v>363</v>
      </c>
      <c r="B27" s="155" t="s">
        <v>1215</v>
      </c>
      <c r="C27" s="121">
        <v>153</v>
      </c>
      <c r="D27" s="121">
        <v>64</v>
      </c>
      <c r="E27" s="121">
        <v>23</v>
      </c>
      <c r="F27" s="121">
        <v>3</v>
      </c>
      <c r="G27" s="121">
        <v>11886911172</v>
      </c>
      <c r="H27" s="121">
        <v>150903761725</v>
      </c>
      <c r="I27" s="121">
        <v>344042381941</v>
      </c>
      <c r="J27" s="121">
        <v>219238919369</v>
      </c>
      <c r="K27" s="18">
        <f t="shared" si="0"/>
        <v>243</v>
      </c>
      <c r="L27" s="18">
        <f t="shared" si="1"/>
        <v>726071974207</v>
      </c>
    </row>
    <row r="28" spans="1:12" x14ac:dyDescent="0.35">
      <c r="A28" s="155" t="s">
        <v>364</v>
      </c>
      <c r="B28" s="155" t="s">
        <v>1216</v>
      </c>
      <c r="C28" s="121">
        <v>214</v>
      </c>
      <c r="D28" s="121">
        <v>34</v>
      </c>
      <c r="E28" s="121">
        <v>3</v>
      </c>
      <c r="F28" s="121">
        <v>1</v>
      </c>
      <c r="G28" s="121">
        <v>13923596717</v>
      </c>
      <c r="H28" s="121">
        <v>65493667984</v>
      </c>
      <c r="I28" s="121">
        <v>47446843015</v>
      </c>
      <c r="J28" s="121">
        <v>49344227000</v>
      </c>
      <c r="K28" s="18">
        <f t="shared" si="0"/>
        <v>252</v>
      </c>
      <c r="L28" s="18">
        <f t="shared" si="1"/>
        <v>176208334716</v>
      </c>
    </row>
    <row r="29" spans="1:12" x14ac:dyDescent="0.35">
      <c r="A29" s="155" t="s">
        <v>365</v>
      </c>
      <c r="B29" s="155" t="s">
        <v>366</v>
      </c>
      <c r="C29" s="121">
        <v>90</v>
      </c>
      <c r="D29" s="121">
        <v>23</v>
      </c>
      <c r="E29" s="121">
        <v>5</v>
      </c>
      <c r="F29" s="121"/>
      <c r="G29" s="121">
        <v>7243984256</v>
      </c>
      <c r="H29" s="121">
        <v>44237548941</v>
      </c>
      <c r="I29" s="121">
        <v>52301588259</v>
      </c>
      <c r="J29" s="121"/>
      <c r="K29" s="18">
        <f t="shared" si="0"/>
        <v>118</v>
      </c>
      <c r="L29" s="18">
        <f t="shared" si="1"/>
        <v>103783121456</v>
      </c>
    </row>
    <row r="30" spans="1:12" x14ac:dyDescent="0.35">
      <c r="A30" s="155" t="s">
        <v>367</v>
      </c>
      <c r="B30" s="155" t="s">
        <v>1217</v>
      </c>
      <c r="C30" s="121">
        <v>33</v>
      </c>
      <c r="D30" s="121">
        <v>6</v>
      </c>
      <c r="E30" s="121">
        <v>1</v>
      </c>
      <c r="F30" s="121"/>
      <c r="G30" s="121">
        <v>2003990542</v>
      </c>
      <c r="H30" s="121">
        <v>9350930889</v>
      </c>
      <c r="I30" s="121">
        <v>18487237000</v>
      </c>
      <c r="J30" s="121"/>
      <c r="K30" s="18">
        <f t="shared" si="0"/>
        <v>40</v>
      </c>
      <c r="L30" s="18">
        <f t="shared" si="1"/>
        <v>29842158431</v>
      </c>
    </row>
    <row r="31" spans="1:12" x14ac:dyDescent="0.35">
      <c r="A31" s="155" t="s">
        <v>368</v>
      </c>
      <c r="B31" s="155" t="s">
        <v>1218</v>
      </c>
      <c r="C31" s="121">
        <v>5</v>
      </c>
      <c r="D31" s="121"/>
      <c r="E31" s="121"/>
      <c r="F31" s="121"/>
      <c r="G31" s="121">
        <v>548349028</v>
      </c>
      <c r="H31" s="121"/>
      <c r="I31" s="121"/>
      <c r="J31" s="121"/>
      <c r="K31" s="18">
        <f t="shared" si="0"/>
        <v>5</v>
      </c>
      <c r="L31" s="18">
        <f t="shared" si="1"/>
        <v>548349028</v>
      </c>
    </row>
    <row r="32" spans="1:12" x14ac:dyDescent="0.35">
      <c r="A32" s="155" t="s">
        <v>369</v>
      </c>
      <c r="B32" s="155" t="s">
        <v>370</v>
      </c>
      <c r="C32" s="121">
        <v>53</v>
      </c>
      <c r="D32" s="121">
        <v>34</v>
      </c>
      <c r="E32" s="121">
        <v>11</v>
      </c>
      <c r="F32" s="121">
        <v>7</v>
      </c>
      <c r="G32" s="121">
        <v>4125057073</v>
      </c>
      <c r="H32" s="121">
        <v>90098905244</v>
      </c>
      <c r="I32" s="121">
        <v>219859271430</v>
      </c>
      <c r="J32" s="121">
        <v>689696944776</v>
      </c>
      <c r="K32" s="18">
        <f t="shared" si="0"/>
        <v>105</v>
      </c>
      <c r="L32" s="18">
        <f t="shared" si="1"/>
        <v>1003780178523</v>
      </c>
    </row>
    <row r="33" spans="1:12" x14ac:dyDescent="0.35">
      <c r="A33" s="155" t="s">
        <v>371</v>
      </c>
      <c r="B33" s="155" t="s">
        <v>1219</v>
      </c>
      <c r="C33" s="121">
        <v>33</v>
      </c>
      <c r="D33" s="121">
        <v>9</v>
      </c>
      <c r="E33" s="121">
        <v>1</v>
      </c>
      <c r="F33" s="121">
        <v>1</v>
      </c>
      <c r="G33" s="121">
        <v>1508274767</v>
      </c>
      <c r="H33" s="121">
        <v>12382791236</v>
      </c>
      <c r="I33" s="121">
        <v>7468580138</v>
      </c>
      <c r="J33" s="121">
        <v>53360975000</v>
      </c>
      <c r="K33" s="18">
        <f t="shared" si="0"/>
        <v>44</v>
      </c>
      <c r="L33" s="18">
        <f t="shared" si="1"/>
        <v>74720621141</v>
      </c>
    </row>
    <row r="34" spans="1:12" x14ac:dyDescent="0.35">
      <c r="A34" s="155" t="s">
        <v>372</v>
      </c>
      <c r="B34" s="155" t="s">
        <v>373</v>
      </c>
      <c r="C34" s="121">
        <v>1</v>
      </c>
      <c r="D34" s="121">
        <v>1</v>
      </c>
      <c r="E34" s="121"/>
      <c r="F34" s="121"/>
      <c r="G34" s="121">
        <v>1750000</v>
      </c>
      <c r="H34" s="121">
        <v>5098648000</v>
      </c>
      <c r="I34" s="121"/>
      <c r="J34" s="121"/>
      <c r="K34" s="18">
        <f t="shared" si="0"/>
        <v>2</v>
      </c>
      <c r="L34" s="18">
        <f t="shared" si="1"/>
        <v>5100398000</v>
      </c>
    </row>
    <row r="35" spans="1:12" x14ac:dyDescent="0.35">
      <c r="A35" s="155" t="s">
        <v>374</v>
      </c>
      <c r="B35" s="155" t="s">
        <v>1220</v>
      </c>
      <c r="C35" s="121">
        <v>8</v>
      </c>
      <c r="D35" s="121">
        <v>5</v>
      </c>
      <c r="E35" s="121"/>
      <c r="F35" s="121"/>
      <c r="G35" s="121">
        <v>595623023</v>
      </c>
      <c r="H35" s="121">
        <v>18415042674</v>
      </c>
      <c r="I35" s="121"/>
      <c r="J35" s="121"/>
      <c r="K35" s="18">
        <f t="shared" si="0"/>
        <v>13</v>
      </c>
      <c r="L35" s="18">
        <f t="shared" si="1"/>
        <v>19010665697</v>
      </c>
    </row>
    <row r="36" spans="1:12" x14ac:dyDescent="0.35">
      <c r="A36" s="155" t="s">
        <v>375</v>
      </c>
      <c r="B36" s="155" t="s">
        <v>1221</v>
      </c>
      <c r="C36" s="121">
        <v>4</v>
      </c>
      <c r="D36" s="121">
        <v>1</v>
      </c>
      <c r="E36" s="121"/>
      <c r="F36" s="121"/>
      <c r="G36" s="121">
        <v>9500000</v>
      </c>
      <c r="H36" s="121">
        <v>899936452</v>
      </c>
      <c r="I36" s="121"/>
      <c r="J36" s="121"/>
      <c r="K36" s="18">
        <f t="shared" si="0"/>
        <v>5</v>
      </c>
      <c r="L36" s="18">
        <f t="shared" si="1"/>
        <v>909436452</v>
      </c>
    </row>
    <row r="37" spans="1:12" x14ac:dyDescent="0.35">
      <c r="A37" s="155" t="s">
        <v>376</v>
      </c>
      <c r="B37" s="155" t="s">
        <v>1222</v>
      </c>
      <c r="C37" s="121">
        <v>1</v>
      </c>
      <c r="D37" s="121"/>
      <c r="E37" s="121"/>
      <c r="F37" s="121"/>
      <c r="G37" s="121">
        <v>2239092</v>
      </c>
      <c r="H37" s="121"/>
      <c r="I37" s="121"/>
      <c r="J37" s="121"/>
      <c r="K37" s="18">
        <f t="shared" si="0"/>
        <v>1</v>
      </c>
      <c r="L37" s="18">
        <f t="shared" si="1"/>
        <v>2239092</v>
      </c>
    </row>
    <row r="38" spans="1:12" x14ac:dyDescent="0.35">
      <c r="A38" s="155" t="s">
        <v>377</v>
      </c>
      <c r="B38" s="155" t="s">
        <v>378</v>
      </c>
      <c r="C38" s="121">
        <v>43</v>
      </c>
      <c r="D38" s="121">
        <v>3</v>
      </c>
      <c r="E38" s="121">
        <v>1</v>
      </c>
      <c r="F38" s="121"/>
      <c r="G38" s="121">
        <v>2546381137</v>
      </c>
      <c r="H38" s="121">
        <v>9252999931</v>
      </c>
      <c r="I38" s="121">
        <v>7967441978</v>
      </c>
      <c r="J38" s="121"/>
      <c r="K38" s="18">
        <f t="shared" si="0"/>
        <v>47</v>
      </c>
      <c r="L38" s="18">
        <f t="shared" si="1"/>
        <v>19766823046</v>
      </c>
    </row>
    <row r="39" spans="1:12" x14ac:dyDescent="0.35">
      <c r="A39" s="155" t="s">
        <v>379</v>
      </c>
      <c r="B39" s="155" t="s">
        <v>380</v>
      </c>
      <c r="C39" s="121">
        <v>55</v>
      </c>
      <c r="D39" s="121">
        <v>5</v>
      </c>
      <c r="E39" s="121">
        <v>3</v>
      </c>
      <c r="F39" s="121">
        <v>3</v>
      </c>
      <c r="G39" s="121">
        <v>1953817316</v>
      </c>
      <c r="H39" s="121">
        <v>14339468727</v>
      </c>
      <c r="I39" s="121">
        <v>41808423015</v>
      </c>
      <c r="J39" s="121">
        <v>139792091151346</v>
      </c>
      <c r="K39" s="18">
        <f t="shared" si="0"/>
        <v>66</v>
      </c>
      <c r="L39" s="18">
        <f t="shared" si="1"/>
        <v>139850192860404</v>
      </c>
    </row>
    <row r="40" spans="1:12" x14ac:dyDescent="0.35">
      <c r="A40" s="155" t="s">
        <v>1196</v>
      </c>
      <c r="B40" s="155" t="s">
        <v>1205</v>
      </c>
      <c r="C40" s="121">
        <v>1</v>
      </c>
      <c r="D40" s="121"/>
      <c r="E40" s="121"/>
      <c r="F40" s="121"/>
      <c r="G40" s="121">
        <v>93533463</v>
      </c>
      <c r="H40" s="121"/>
      <c r="I40" s="121"/>
      <c r="J40" s="121"/>
      <c r="K40" s="18">
        <f t="shared" si="0"/>
        <v>1</v>
      </c>
      <c r="L40" s="18">
        <f t="shared" si="1"/>
        <v>93533463</v>
      </c>
    </row>
    <row r="41" spans="1:12" x14ac:dyDescent="0.35">
      <c r="A41" s="155" t="s">
        <v>381</v>
      </c>
      <c r="B41" s="155" t="s">
        <v>382</v>
      </c>
      <c r="C41" s="121"/>
      <c r="D41" s="121"/>
      <c r="E41" s="121">
        <v>1</v>
      </c>
      <c r="F41" s="121"/>
      <c r="G41" s="121"/>
      <c r="H41" s="121"/>
      <c r="I41" s="121">
        <v>38542212000</v>
      </c>
      <c r="J41" s="121"/>
      <c r="K41" s="18">
        <f t="shared" si="0"/>
        <v>1</v>
      </c>
      <c r="L41" s="18">
        <f t="shared" si="1"/>
        <v>38542212000</v>
      </c>
    </row>
    <row r="42" spans="1:12" x14ac:dyDescent="0.35">
      <c r="A42" s="155" t="s">
        <v>383</v>
      </c>
      <c r="B42" s="155" t="s">
        <v>384</v>
      </c>
      <c r="C42" s="121">
        <v>195</v>
      </c>
      <c r="D42" s="121">
        <v>65</v>
      </c>
      <c r="E42" s="121">
        <v>13</v>
      </c>
      <c r="F42" s="121">
        <v>11</v>
      </c>
      <c r="G42" s="121">
        <v>17553637378</v>
      </c>
      <c r="H42" s="121">
        <v>149404015230</v>
      </c>
      <c r="I42" s="121">
        <v>161920017896</v>
      </c>
      <c r="J42" s="121">
        <v>2506414300437</v>
      </c>
      <c r="K42" s="18">
        <f t="shared" si="0"/>
        <v>284</v>
      </c>
      <c r="L42" s="18">
        <f t="shared" si="1"/>
        <v>2835291970941</v>
      </c>
    </row>
    <row r="43" spans="1:12" x14ac:dyDescent="0.35">
      <c r="A43" s="155" t="s">
        <v>385</v>
      </c>
      <c r="B43" s="155" t="s">
        <v>386</v>
      </c>
      <c r="C43" s="121">
        <v>6</v>
      </c>
      <c r="D43" s="121">
        <v>2</v>
      </c>
      <c r="E43" s="121"/>
      <c r="F43" s="121">
        <v>2</v>
      </c>
      <c r="G43" s="121">
        <v>492228000</v>
      </c>
      <c r="H43" s="121">
        <v>4630744510</v>
      </c>
      <c r="I43" s="121"/>
      <c r="J43" s="121">
        <v>420402363724</v>
      </c>
      <c r="K43" s="18">
        <f t="shared" si="0"/>
        <v>10</v>
      </c>
      <c r="L43" s="18">
        <f t="shared" si="1"/>
        <v>425525336234</v>
      </c>
    </row>
    <row r="44" spans="1:12" x14ac:dyDescent="0.35">
      <c r="A44" s="155" t="s">
        <v>387</v>
      </c>
      <c r="B44" s="155" t="s">
        <v>388</v>
      </c>
      <c r="C44" s="121">
        <v>75</v>
      </c>
      <c r="D44" s="121">
        <v>26</v>
      </c>
      <c r="E44" s="121">
        <v>4</v>
      </c>
      <c r="F44" s="121">
        <v>4</v>
      </c>
      <c r="G44" s="121">
        <v>8184504460</v>
      </c>
      <c r="H44" s="121">
        <v>73303809840</v>
      </c>
      <c r="I44" s="121">
        <v>79056355865</v>
      </c>
      <c r="J44" s="121">
        <v>529446369007</v>
      </c>
      <c r="K44" s="18">
        <f t="shared" si="0"/>
        <v>109</v>
      </c>
      <c r="L44" s="18">
        <f t="shared" si="1"/>
        <v>689991039172</v>
      </c>
    </row>
    <row r="45" spans="1:12" x14ac:dyDescent="0.35">
      <c r="A45" s="155" t="s">
        <v>389</v>
      </c>
      <c r="B45" s="155" t="s">
        <v>390</v>
      </c>
      <c r="C45" s="121">
        <v>4</v>
      </c>
      <c r="D45" s="121">
        <v>5</v>
      </c>
      <c r="E45" s="121">
        <v>1</v>
      </c>
      <c r="F45" s="121"/>
      <c r="G45" s="121">
        <v>82338420</v>
      </c>
      <c r="H45" s="121">
        <v>9916265615</v>
      </c>
      <c r="I45" s="121">
        <v>19058572367</v>
      </c>
      <c r="J45" s="121"/>
      <c r="K45" s="18">
        <f t="shared" si="0"/>
        <v>10</v>
      </c>
      <c r="L45" s="18">
        <f t="shared" si="1"/>
        <v>29057176402</v>
      </c>
    </row>
    <row r="46" spans="1:12" x14ac:dyDescent="0.35">
      <c r="A46" s="155" t="s">
        <v>391</v>
      </c>
      <c r="B46" s="155" t="s">
        <v>392</v>
      </c>
      <c r="C46" s="121">
        <v>8</v>
      </c>
      <c r="D46" s="121">
        <v>1</v>
      </c>
      <c r="E46" s="121"/>
      <c r="F46" s="121"/>
      <c r="G46" s="121">
        <v>1145600000</v>
      </c>
      <c r="H46" s="121">
        <v>653399560</v>
      </c>
      <c r="I46" s="121"/>
      <c r="J46" s="121"/>
      <c r="K46" s="18">
        <f t="shared" si="0"/>
        <v>9</v>
      </c>
      <c r="L46" s="18">
        <f t="shared" si="1"/>
        <v>1798999560</v>
      </c>
    </row>
    <row r="47" spans="1:12" x14ac:dyDescent="0.35">
      <c r="A47" s="155" t="s">
        <v>393</v>
      </c>
      <c r="B47" s="155" t="s">
        <v>394</v>
      </c>
      <c r="C47" s="121">
        <v>3</v>
      </c>
      <c r="D47" s="121">
        <v>1</v>
      </c>
      <c r="E47" s="121"/>
      <c r="F47" s="121"/>
      <c r="G47" s="121">
        <v>260000000</v>
      </c>
      <c r="H47" s="121">
        <v>1114811000</v>
      </c>
      <c r="I47" s="121"/>
      <c r="J47" s="121"/>
      <c r="K47" s="18">
        <f t="shared" si="0"/>
        <v>4</v>
      </c>
      <c r="L47" s="18">
        <f t="shared" si="1"/>
        <v>1374811000</v>
      </c>
    </row>
    <row r="48" spans="1:12" x14ac:dyDescent="0.35">
      <c r="A48" s="155" t="s">
        <v>1197</v>
      </c>
      <c r="B48" s="155" t="s">
        <v>1206</v>
      </c>
      <c r="C48" s="121">
        <v>1</v>
      </c>
      <c r="D48" s="121"/>
      <c r="E48" s="121"/>
      <c r="F48" s="121"/>
      <c r="G48" s="121">
        <v>200000000</v>
      </c>
      <c r="H48" s="121"/>
      <c r="I48" s="121"/>
      <c r="J48" s="121"/>
      <c r="K48" s="18">
        <f t="shared" si="0"/>
        <v>1</v>
      </c>
      <c r="L48" s="18">
        <f t="shared" si="1"/>
        <v>200000000</v>
      </c>
    </row>
    <row r="49" spans="1:12" x14ac:dyDescent="0.35">
      <c r="A49" s="155" t="s">
        <v>395</v>
      </c>
      <c r="B49" s="155" t="s">
        <v>396</v>
      </c>
      <c r="C49" s="121">
        <v>1</v>
      </c>
      <c r="D49" s="121">
        <v>1</v>
      </c>
      <c r="E49" s="121">
        <v>1</v>
      </c>
      <c r="F49" s="121"/>
      <c r="G49" s="121">
        <v>132842000</v>
      </c>
      <c r="H49" s="121">
        <v>4594217930</v>
      </c>
      <c r="I49" s="121">
        <v>6713336000</v>
      </c>
      <c r="J49" s="121"/>
      <c r="K49" s="18">
        <f t="shared" si="0"/>
        <v>3</v>
      </c>
      <c r="L49" s="18">
        <f t="shared" si="1"/>
        <v>11440395930</v>
      </c>
    </row>
    <row r="50" spans="1:12" x14ac:dyDescent="0.35">
      <c r="A50" s="155" t="s">
        <v>397</v>
      </c>
      <c r="B50" s="155" t="s">
        <v>398</v>
      </c>
      <c r="C50" s="121">
        <v>4</v>
      </c>
      <c r="D50" s="121"/>
      <c r="E50" s="121"/>
      <c r="F50" s="121"/>
      <c r="G50" s="121">
        <v>133908822</v>
      </c>
      <c r="H50" s="121"/>
      <c r="I50" s="121"/>
      <c r="J50" s="121"/>
      <c r="K50" s="18">
        <f t="shared" si="0"/>
        <v>4</v>
      </c>
      <c r="L50" s="18">
        <f t="shared" si="1"/>
        <v>133908822</v>
      </c>
    </row>
    <row r="51" spans="1:12" x14ac:dyDescent="0.35">
      <c r="A51" s="155" t="s">
        <v>399</v>
      </c>
      <c r="B51" s="155" t="s">
        <v>400</v>
      </c>
      <c r="C51" s="121">
        <v>59</v>
      </c>
      <c r="D51" s="121">
        <v>13</v>
      </c>
      <c r="E51" s="121">
        <v>10</v>
      </c>
      <c r="F51" s="121">
        <v>5</v>
      </c>
      <c r="G51" s="121">
        <v>6851147243</v>
      </c>
      <c r="H51" s="121">
        <v>27341686590</v>
      </c>
      <c r="I51" s="121">
        <v>119389540687</v>
      </c>
      <c r="J51" s="121">
        <v>505367473980</v>
      </c>
      <c r="K51" s="18">
        <f t="shared" si="0"/>
        <v>87</v>
      </c>
      <c r="L51" s="18">
        <f t="shared" si="1"/>
        <v>658949848500</v>
      </c>
    </row>
    <row r="52" spans="1:12" x14ac:dyDescent="0.35">
      <c r="A52" s="155" t="s">
        <v>401</v>
      </c>
      <c r="B52" s="155" t="s">
        <v>402</v>
      </c>
      <c r="C52" s="121">
        <v>267</v>
      </c>
      <c r="D52" s="121">
        <v>48</v>
      </c>
      <c r="E52" s="121">
        <v>20</v>
      </c>
      <c r="F52" s="121">
        <v>3</v>
      </c>
      <c r="G52" s="121">
        <v>12252703299</v>
      </c>
      <c r="H52" s="121">
        <v>119862877682</v>
      </c>
      <c r="I52" s="121">
        <v>292952288944</v>
      </c>
      <c r="J52" s="121">
        <v>482214611418</v>
      </c>
      <c r="K52" s="18">
        <f t="shared" si="0"/>
        <v>338</v>
      </c>
      <c r="L52" s="18">
        <f t="shared" si="1"/>
        <v>907282481343</v>
      </c>
    </row>
    <row r="53" spans="1:12" x14ac:dyDescent="0.35">
      <c r="A53" s="155" t="s">
        <v>403</v>
      </c>
      <c r="B53" s="155" t="s">
        <v>404</v>
      </c>
      <c r="C53" s="121">
        <v>8</v>
      </c>
      <c r="D53" s="121">
        <v>4</v>
      </c>
      <c r="E53" s="121">
        <v>2</v>
      </c>
      <c r="F53" s="121"/>
      <c r="G53" s="121">
        <v>670391000</v>
      </c>
      <c r="H53" s="121">
        <v>6970465156</v>
      </c>
      <c r="I53" s="121">
        <v>29098677000</v>
      </c>
      <c r="J53" s="121"/>
      <c r="K53" s="18">
        <f t="shared" si="0"/>
        <v>14</v>
      </c>
      <c r="L53" s="18">
        <f t="shared" si="1"/>
        <v>36739533156</v>
      </c>
    </row>
    <row r="54" spans="1:12" x14ac:dyDescent="0.35">
      <c r="A54" s="155" t="s">
        <v>405</v>
      </c>
      <c r="B54" s="155" t="s">
        <v>406</v>
      </c>
      <c r="C54" s="121">
        <v>264</v>
      </c>
      <c r="D54" s="121">
        <v>11</v>
      </c>
      <c r="E54" s="121">
        <v>2</v>
      </c>
      <c r="F54" s="121">
        <v>2</v>
      </c>
      <c r="G54" s="121">
        <v>10596523344</v>
      </c>
      <c r="H54" s="121">
        <v>18690532466</v>
      </c>
      <c r="I54" s="121">
        <v>22088862319</v>
      </c>
      <c r="J54" s="121">
        <v>782063793945</v>
      </c>
      <c r="K54" s="18">
        <f t="shared" si="0"/>
        <v>279</v>
      </c>
      <c r="L54" s="18">
        <f t="shared" si="1"/>
        <v>833439712074</v>
      </c>
    </row>
    <row r="55" spans="1:12" x14ac:dyDescent="0.35">
      <c r="A55" s="155" t="s">
        <v>1357</v>
      </c>
      <c r="B55" s="155" t="s">
        <v>1358</v>
      </c>
      <c r="C55" s="121">
        <v>4</v>
      </c>
      <c r="D55" s="121">
        <v>2</v>
      </c>
      <c r="E55" s="121">
        <v>1</v>
      </c>
      <c r="F55" s="121"/>
      <c r="G55" s="121">
        <v>176000000</v>
      </c>
      <c r="H55" s="121">
        <v>1739999982</v>
      </c>
      <c r="I55" s="121">
        <v>12785310342</v>
      </c>
      <c r="J55" s="121"/>
      <c r="K55" s="18">
        <f t="shared" si="0"/>
        <v>7</v>
      </c>
      <c r="L55" s="18">
        <f t="shared" si="1"/>
        <v>14701310324</v>
      </c>
    </row>
    <row r="56" spans="1:12" x14ac:dyDescent="0.35">
      <c r="A56" s="155" t="s">
        <v>1359</v>
      </c>
      <c r="B56" s="155" t="s">
        <v>1360</v>
      </c>
      <c r="C56" s="121">
        <v>3</v>
      </c>
      <c r="D56" s="121">
        <v>1</v>
      </c>
      <c r="E56" s="121"/>
      <c r="F56" s="121"/>
      <c r="G56" s="121">
        <v>167835475</v>
      </c>
      <c r="H56" s="121">
        <v>1250000000</v>
      </c>
      <c r="I56" s="121"/>
      <c r="J56" s="121"/>
      <c r="K56" s="18">
        <f t="shared" si="0"/>
        <v>4</v>
      </c>
      <c r="L56" s="18">
        <f t="shared" si="1"/>
        <v>1417835475</v>
      </c>
    </row>
    <row r="57" spans="1:12" x14ac:dyDescent="0.35">
      <c r="A57" s="155" t="s">
        <v>1361</v>
      </c>
      <c r="B57" s="155" t="s">
        <v>1362</v>
      </c>
      <c r="C57" s="121"/>
      <c r="D57" s="121">
        <v>2</v>
      </c>
      <c r="E57" s="121"/>
      <c r="F57" s="121">
        <v>1</v>
      </c>
      <c r="G57" s="121"/>
      <c r="H57" s="121">
        <v>3659891589</v>
      </c>
      <c r="I57" s="121"/>
      <c r="J57" s="121">
        <v>86999058661</v>
      </c>
      <c r="K57" s="18">
        <f t="shared" si="0"/>
        <v>3</v>
      </c>
      <c r="L57" s="18">
        <f t="shared" si="1"/>
        <v>90658950250</v>
      </c>
    </row>
    <row r="58" spans="1:12" x14ac:dyDescent="0.35">
      <c r="A58" s="155" t="s">
        <v>407</v>
      </c>
      <c r="B58" s="155" t="s">
        <v>408</v>
      </c>
      <c r="C58" s="121">
        <v>144</v>
      </c>
      <c r="D58" s="121">
        <v>17</v>
      </c>
      <c r="E58" s="121">
        <v>10</v>
      </c>
      <c r="F58" s="121">
        <v>1</v>
      </c>
      <c r="G58" s="121">
        <v>7513549021</v>
      </c>
      <c r="H58" s="121">
        <v>38537084986</v>
      </c>
      <c r="I58" s="121">
        <v>174286980878</v>
      </c>
      <c r="J58" s="121">
        <v>48853410000</v>
      </c>
      <c r="K58" s="18">
        <f t="shared" si="0"/>
        <v>172</v>
      </c>
      <c r="L58" s="18">
        <f t="shared" si="1"/>
        <v>269191024885</v>
      </c>
    </row>
    <row r="59" spans="1:12" x14ac:dyDescent="0.35">
      <c r="A59" s="155" t="s">
        <v>409</v>
      </c>
      <c r="B59" s="155" t="s">
        <v>410</v>
      </c>
      <c r="C59" s="121">
        <v>193</v>
      </c>
      <c r="D59" s="121">
        <v>7</v>
      </c>
      <c r="E59" s="121">
        <v>2</v>
      </c>
      <c r="F59" s="121">
        <v>1</v>
      </c>
      <c r="G59" s="121">
        <v>5122944738</v>
      </c>
      <c r="H59" s="121">
        <v>11193964380</v>
      </c>
      <c r="I59" s="121">
        <v>20089686000</v>
      </c>
      <c r="J59" s="121">
        <v>147446000000</v>
      </c>
      <c r="K59" s="18">
        <f t="shared" si="0"/>
        <v>203</v>
      </c>
      <c r="L59" s="18">
        <f t="shared" si="1"/>
        <v>183852595118</v>
      </c>
    </row>
    <row r="60" spans="1:12" x14ac:dyDescent="0.35">
      <c r="A60" s="155" t="s">
        <v>411</v>
      </c>
      <c r="B60" s="155" t="s">
        <v>412</v>
      </c>
      <c r="C60" s="121">
        <v>1</v>
      </c>
      <c r="D60" s="121"/>
      <c r="E60" s="121"/>
      <c r="F60" s="121"/>
      <c r="G60" s="121">
        <v>15000000</v>
      </c>
      <c r="H60" s="121"/>
      <c r="I60" s="121"/>
      <c r="J60" s="121"/>
      <c r="K60" s="18">
        <f t="shared" si="0"/>
        <v>1</v>
      </c>
      <c r="L60" s="18">
        <f t="shared" si="1"/>
        <v>15000000</v>
      </c>
    </row>
    <row r="61" spans="1:12" x14ac:dyDescent="0.35">
      <c r="A61" s="155" t="s">
        <v>413</v>
      </c>
      <c r="B61" s="155" t="s">
        <v>414</v>
      </c>
      <c r="C61" s="121">
        <v>9</v>
      </c>
      <c r="D61" s="121">
        <v>3</v>
      </c>
      <c r="E61" s="121">
        <v>2</v>
      </c>
      <c r="F61" s="121"/>
      <c r="G61" s="121">
        <v>75866826</v>
      </c>
      <c r="H61" s="121">
        <v>6977348795</v>
      </c>
      <c r="I61" s="121">
        <v>42393444855</v>
      </c>
      <c r="J61" s="121"/>
      <c r="K61" s="18">
        <f t="shared" si="0"/>
        <v>14</v>
      </c>
      <c r="L61" s="18">
        <f t="shared" si="1"/>
        <v>49446660476</v>
      </c>
    </row>
    <row r="62" spans="1:12" x14ac:dyDescent="0.35">
      <c r="A62" s="155" t="s">
        <v>415</v>
      </c>
      <c r="B62" s="155" t="s">
        <v>416</v>
      </c>
      <c r="C62" s="121">
        <v>80</v>
      </c>
      <c r="D62" s="121">
        <v>5</v>
      </c>
      <c r="E62" s="121">
        <v>1</v>
      </c>
      <c r="F62" s="121">
        <v>1</v>
      </c>
      <c r="G62" s="121">
        <v>1710633505</v>
      </c>
      <c r="H62" s="121">
        <v>9154642815</v>
      </c>
      <c r="I62" s="121">
        <v>26620000000</v>
      </c>
      <c r="J62" s="121">
        <v>1808848000000</v>
      </c>
      <c r="K62" s="18">
        <f t="shared" si="0"/>
        <v>87</v>
      </c>
      <c r="L62" s="18">
        <f t="shared" si="1"/>
        <v>1846333276320</v>
      </c>
    </row>
    <row r="63" spans="1:12" x14ac:dyDescent="0.35">
      <c r="A63" s="155" t="s">
        <v>417</v>
      </c>
      <c r="B63" s="155" t="s">
        <v>418</v>
      </c>
      <c r="C63" s="121">
        <v>42</v>
      </c>
      <c r="D63" s="121"/>
      <c r="E63" s="121"/>
      <c r="F63" s="121">
        <v>1</v>
      </c>
      <c r="G63" s="121">
        <v>964013279</v>
      </c>
      <c r="H63" s="121"/>
      <c r="I63" s="121"/>
      <c r="J63" s="121">
        <v>102998000000</v>
      </c>
      <c r="K63" s="18">
        <f t="shared" si="0"/>
        <v>43</v>
      </c>
      <c r="L63" s="18">
        <f t="shared" si="1"/>
        <v>103962013279</v>
      </c>
    </row>
    <row r="64" spans="1:12" x14ac:dyDescent="0.35">
      <c r="A64" s="155" t="s">
        <v>419</v>
      </c>
      <c r="B64" s="155" t="s">
        <v>420</v>
      </c>
      <c r="C64" s="121">
        <v>3</v>
      </c>
      <c r="D64" s="121"/>
      <c r="E64" s="121"/>
      <c r="F64" s="121"/>
      <c r="G64" s="121">
        <v>208300044</v>
      </c>
      <c r="H64" s="121"/>
      <c r="I64" s="121"/>
      <c r="J64" s="121"/>
      <c r="K64" s="18">
        <f t="shared" si="0"/>
        <v>3</v>
      </c>
      <c r="L64" s="18">
        <f t="shared" si="1"/>
        <v>208300044</v>
      </c>
    </row>
    <row r="65" spans="1:12" x14ac:dyDescent="0.35">
      <c r="A65" s="155" t="s">
        <v>421</v>
      </c>
      <c r="B65" s="155" t="s">
        <v>422</v>
      </c>
      <c r="C65" s="121">
        <v>26</v>
      </c>
      <c r="D65" s="121">
        <v>2</v>
      </c>
      <c r="E65" s="121"/>
      <c r="F65" s="121"/>
      <c r="G65" s="121">
        <v>1423583107</v>
      </c>
      <c r="H65" s="121">
        <v>4300111697</v>
      </c>
      <c r="I65" s="121"/>
      <c r="J65" s="121"/>
      <c r="K65" s="18">
        <f t="shared" si="0"/>
        <v>28</v>
      </c>
      <c r="L65" s="18">
        <f t="shared" si="1"/>
        <v>5723694804</v>
      </c>
    </row>
    <row r="66" spans="1:12" x14ac:dyDescent="0.35">
      <c r="A66" s="155" t="s">
        <v>423</v>
      </c>
      <c r="B66" s="155" t="s">
        <v>424</v>
      </c>
      <c r="C66" s="121">
        <v>2048</v>
      </c>
      <c r="D66" s="121">
        <v>45</v>
      </c>
      <c r="E66" s="121">
        <v>10</v>
      </c>
      <c r="F66" s="121">
        <v>3</v>
      </c>
      <c r="G66" s="121">
        <v>29850942590</v>
      </c>
      <c r="H66" s="121">
        <v>116492182329</v>
      </c>
      <c r="I66" s="121">
        <v>148360659335</v>
      </c>
      <c r="J66" s="121">
        <v>167983722981</v>
      </c>
      <c r="K66" s="18">
        <f t="shared" si="0"/>
        <v>2106</v>
      </c>
      <c r="L66" s="18">
        <f t="shared" si="1"/>
        <v>462687507235</v>
      </c>
    </row>
    <row r="67" spans="1:12" x14ac:dyDescent="0.35">
      <c r="A67" s="155" t="s">
        <v>425</v>
      </c>
      <c r="B67" s="155" t="s">
        <v>426</v>
      </c>
      <c r="C67" s="121">
        <v>68</v>
      </c>
      <c r="D67" s="121">
        <v>5</v>
      </c>
      <c r="E67" s="121"/>
      <c r="F67" s="121">
        <v>1</v>
      </c>
      <c r="G67" s="121">
        <v>2056197512</v>
      </c>
      <c r="H67" s="121">
        <v>8661815437</v>
      </c>
      <c r="I67" s="121"/>
      <c r="J67" s="121">
        <v>2481416000000</v>
      </c>
      <c r="K67" s="18">
        <f t="shared" si="0"/>
        <v>74</v>
      </c>
      <c r="L67" s="18">
        <f t="shared" si="1"/>
        <v>2492134012949</v>
      </c>
    </row>
    <row r="68" spans="1:12" x14ac:dyDescent="0.35">
      <c r="A68" s="155" t="s">
        <v>427</v>
      </c>
      <c r="B68" s="155" t="s">
        <v>428</v>
      </c>
      <c r="C68" s="121">
        <v>3</v>
      </c>
      <c r="D68" s="121"/>
      <c r="E68" s="121">
        <v>1</v>
      </c>
      <c r="F68" s="121"/>
      <c r="G68" s="121">
        <v>450834524</v>
      </c>
      <c r="H68" s="121"/>
      <c r="I68" s="121">
        <v>31636000000</v>
      </c>
      <c r="J68" s="121"/>
      <c r="K68" s="18">
        <f t="shared" si="0"/>
        <v>4</v>
      </c>
      <c r="L68" s="18">
        <f t="shared" si="1"/>
        <v>32086834524</v>
      </c>
    </row>
    <row r="69" spans="1:12" x14ac:dyDescent="0.35">
      <c r="A69" s="155" t="s">
        <v>429</v>
      </c>
      <c r="B69" s="155" t="s">
        <v>430</v>
      </c>
      <c r="C69" s="121">
        <v>679</v>
      </c>
      <c r="D69" s="121">
        <v>17</v>
      </c>
      <c r="E69" s="121">
        <v>5</v>
      </c>
      <c r="F69" s="121">
        <v>1</v>
      </c>
      <c r="G69" s="121">
        <v>13668275513</v>
      </c>
      <c r="H69" s="121">
        <v>51038670585</v>
      </c>
      <c r="I69" s="121">
        <v>73719680117</v>
      </c>
      <c r="J69" s="121">
        <v>41916004864</v>
      </c>
      <c r="K69" s="18">
        <f t="shared" si="0"/>
        <v>702</v>
      </c>
      <c r="L69" s="18">
        <f t="shared" si="1"/>
        <v>180342631079</v>
      </c>
    </row>
    <row r="70" spans="1:12" x14ac:dyDescent="0.35">
      <c r="A70" s="155" t="s">
        <v>431</v>
      </c>
      <c r="B70" s="155" t="s">
        <v>432</v>
      </c>
      <c r="C70" s="121">
        <v>627</v>
      </c>
      <c r="D70" s="121">
        <v>33</v>
      </c>
      <c r="E70" s="121">
        <v>6</v>
      </c>
      <c r="F70" s="121">
        <v>2</v>
      </c>
      <c r="G70" s="121">
        <v>18363967909</v>
      </c>
      <c r="H70" s="121">
        <v>54725955538</v>
      </c>
      <c r="I70" s="121">
        <v>108635068964</v>
      </c>
      <c r="J70" s="121">
        <v>3878918758790</v>
      </c>
      <c r="K70" s="18">
        <f t="shared" ref="K70:K133" si="2">+SUM(C70:F70)</f>
        <v>668</v>
      </c>
      <c r="L70" s="18">
        <f t="shared" ref="L70:L133" si="3">+SUM(G70:J70)</f>
        <v>4060643751201</v>
      </c>
    </row>
    <row r="71" spans="1:12" x14ac:dyDescent="0.35">
      <c r="A71" s="155" t="s">
        <v>433</v>
      </c>
      <c r="B71" s="155" t="s">
        <v>434</v>
      </c>
      <c r="C71" s="121">
        <v>67</v>
      </c>
      <c r="D71" s="121">
        <v>12</v>
      </c>
      <c r="E71" s="121">
        <v>3</v>
      </c>
      <c r="F71" s="121">
        <v>5</v>
      </c>
      <c r="G71" s="121">
        <v>5254752850</v>
      </c>
      <c r="H71" s="121">
        <v>31931899035</v>
      </c>
      <c r="I71" s="121">
        <v>31284263141</v>
      </c>
      <c r="J71" s="121">
        <v>1029450344214</v>
      </c>
      <c r="K71" s="18">
        <f t="shared" si="2"/>
        <v>87</v>
      </c>
      <c r="L71" s="18">
        <f t="shared" si="3"/>
        <v>1097921259240</v>
      </c>
    </row>
    <row r="72" spans="1:12" x14ac:dyDescent="0.35">
      <c r="A72" s="155" t="s">
        <v>435</v>
      </c>
      <c r="B72" s="155" t="s">
        <v>436</v>
      </c>
      <c r="C72" s="121">
        <v>22</v>
      </c>
      <c r="D72" s="121">
        <v>1</v>
      </c>
      <c r="E72" s="121"/>
      <c r="F72" s="121"/>
      <c r="G72" s="121">
        <v>696632401</v>
      </c>
      <c r="H72" s="121">
        <v>875054872</v>
      </c>
      <c r="I72" s="121"/>
      <c r="J72" s="121"/>
      <c r="K72" s="18">
        <f t="shared" si="2"/>
        <v>23</v>
      </c>
      <c r="L72" s="18">
        <f t="shared" si="3"/>
        <v>1571687273</v>
      </c>
    </row>
    <row r="73" spans="1:12" x14ac:dyDescent="0.35">
      <c r="A73" s="155" t="s">
        <v>437</v>
      </c>
      <c r="B73" s="155" t="s">
        <v>438</v>
      </c>
      <c r="C73" s="121">
        <v>20</v>
      </c>
      <c r="D73" s="121">
        <v>2</v>
      </c>
      <c r="E73" s="121"/>
      <c r="F73" s="121"/>
      <c r="G73" s="121">
        <v>87700000</v>
      </c>
      <c r="H73" s="121">
        <v>4304501015</v>
      </c>
      <c r="I73" s="121"/>
      <c r="J73" s="121"/>
      <c r="K73" s="18">
        <f t="shared" si="2"/>
        <v>22</v>
      </c>
      <c r="L73" s="18">
        <f t="shared" si="3"/>
        <v>4392201015</v>
      </c>
    </row>
    <row r="74" spans="1:12" x14ac:dyDescent="0.35">
      <c r="A74" s="155" t="s">
        <v>439</v>
      </c>
      <c r="B74" s="155" t="s">
        <v>440</v>
      </c>
      <c r="C74" s="121">
        <v>50</v>
      </c>
      <c r="D74" s="121">
        <v>4</v>
      </c>
      <c r="E74" s="121"/>
      <c r="F74" s="121">
        <v>1</v>
      </c>
      <c r="G74" s="121">
        <v>2822908236</v>
      </c>
      <c r="H74" s="121">
        <v>5635911138</v>
      </c>
      <c r="I74" s="121"/>
      <c r="J74" s="121">
        <v>48575616161</v>
      </c>
      <c r="K74" s="18">
        <f t="shared" si="2"/>
        <v>55</v>
      </c>
      <c r="L74" s="18">
        <f t="shared" si="3"/>
        <v>57034435535</v>
      </c>
    </row>
    <row r="75" spans="1:12" x14ac:dyDescent="0.35">
      <c r="A75" s="155" t="s">
        <v>441</v>
      </c>
      <c r="B75" s="155" t="s">
        <v>1223</v>
      </c>
      <c r="C75" s="121">
        <v>76</v>
      </c>
      <c r="D75" s="121">
        <v>8</v>
      </c>
      <c r="E75" s="121">
        <v>2</v>
      </c>
      <c r="F75" s="121">
        <v>4</v>
      </c>
      <c r="G75" s="121">
        <v>2091970393</v>
      </c>
      <c r="H75" s="121">
        <v>11832957089</v>
      </c>
      <c r="I75" s="121">
        <v>39977463000</v>
      </c>
      <c r="J75" s="121">
        <v>6230586270000</v>
      </c>
      <c r="K75" s="18">
        <f t="shared" si="2"/>
        <v>90</v>
      </c>
      <c r="L75" s="18">
        <f t="shared" si="3"/>
        <v>6284488660482</v>
      </c>
    </row>
    <row r="76" spans="1:12" x14ac:dyDescent="0.35">
      <c r="A76" s="155" t="s">
        <v>442</v>
      </c>
      <c r="B76" s="155" t="s">
        <v>443</v>
      </c>
      <c r="C76" s="121">
        <v>15</v>
      </c>
      <c r="D76" s="121">
        <v>7</v>
      </c>
      <c r="E76" s="121">
        <v>3</v>
      </c>
      <c r="F76" s="121"/>
      <c r="G76" s="121">
        <v>938373806</v>
      </c>
      <c r="H76" s="121">
        <v>15318881076</v>
      </c>
      <c r="I76" s="121">
        <v>46580158949</v>
      </c>
      <c r="J76" s="121"/>
      <c r="K76" s="18">
        <f t="shared" si="2"/>
        <v>25</v>
      </c>
      <c r="L76" s="18">
        <f t="shared" si="3"/>
        <v>62837413831</v>
      </c>
    </row>
    <row r="77" spans="1:12" x14ac:dyDescent="0.35">
      <c r="A77" s="155" t="s">
        <v>444</v>
      </c>
      <c r="B77" s="155" t="s">
        <v>445</v>
      </c>
      <c r="C77" s="121">
        <v>74</v>
      </c>
      <c r="D77" s="121">
        <v>13</v>
      </c>
      <c r="E77" s="121">
        <v>2</v>
      </c>
      <c r="F77" s="121">
        <v>1</v>
      </c>
      <c r="G77" s="121">
        <v>5516128828</v>
      </c>
      <c r="H77" s="121">
        <v>22193444745</v>
      </c>
      <c r="I77" s="121">
        <v>50581107221</v>
      </c>
      <c r="J77" s="121">
        <v>761491846483</v>
      </c>
      <c r="K77" s="18">
        <f t="shared" si="2"/>
        <v>90</v>
      </c>
      <c r="L77" s="18">
        <f t="shared" si="3"/>
        <v>839782527277</v>
      </c>
    </row>
    <row r="78" spans="1:12" x14ac:dyDescent="0.35">
      <c r="A78" s="155" t="s">
        <v>446</v>
      </c>
      <c r="B78" s="155" t="s">
        <v>447</v>
      </c>
      <c r="C78" s="121">
        <v>447</v>
      </c>
      <c r="D78" s="121">
        <v>28</v>
      </c>
      <c r="E78" s="121">
        <v>3</v>
      </c>
      <c r="F78" s="121"/>
      <c r="G78" s="121">
        <v>17560275279</v>
      </c>
      <c r="H78" s="121">
        <v>55220554854</v>
      </c>
      <c r="I78" s="121">
        <v>30831293865</v>
      </c>
      <c r="J78" s="121"/>
      <c r="K78" s="18">
        <f t="shared" si="2"/>
        <v>478</v>
      </c>
      <c r="L78" s="18">
        <f t="shared" si="3"/>
        <v>103612123998</v>
      </c>
    </row>
    <row r="79" spans="1:12" x14ac:dyDescent="0.35">
      <c r="A79" s="155" t="s">
        <v>448</v>
      </c>
      <c r="B79" s="155" t="s">
        <v>449</v>
      </c>
      <c r="C79" s="121">
        <v>34</v>
      </c>
      <c r="D79" s="121">
        <v>5</v>
      </c>
      <c r="E79" s="121">
        <v>1</v>
      </c>
      <c r="F79" s="121"/>
      <c r="G79" s="121">
        <v>1892996370</v>
      </c>
      <c r="H79" s="121">
        <v>8450830170</v>
      </c>
      <c r="I79" s="121">
        <v>20514410000</v>
      </c>
      <c r="J79" s="121"/>
      <c r="K79" s="18">
        <f t="shared" si="2"/>
        <v>40</v>
      </c>
      <c r="L79" s="18">
        <f t="shared" si="3"/>
        <v>30858236540</v>
      </c>
    </row>
    <row r="80" spans="1:12" x14ac:dyDescent="0.35">
      <c r="A80" s="155" t="s">
        <v>450</v>
      </c>
      <c r="B80" s="155" t="s">
        <v>451</v>
      </c>
      <c r="C80" s="121">
        <v>162</v>
      </c>
      <c r="D80" s="121">
        <v>13</v>
      </c>
      <c r="E80" s="121">
        <v>6</v>
      </c>
      <c r="F80" s="121">
        <v>1</v>
      </c>
      <c r="G80" s="121">
        <v>9528179236</v>
      </c>
      <c r="H80" s="121">
        <v>24890112601</v>
      </c>
      <c r="I80" s="121">
        <v>65602672877</v>
      </c>
      <c r="J80" s="121">
        <v>56855661000</v>
      </c>
      <c r="K80" s="18">
        <f t="shared" si="2"/>
        <v>182</v>
      </c>
      <c r="L80" s="18">
        <f t="shared" si="3"/>
        <v>156876625714</v>
      </c>
    </row>
    <row r="81" spans="1:12" x14ac:dyDescent="0.35">
      <c r="A81" s="155" t="s">
        <v>452</v>
      </c>
      <c r="B81" s="155" t="s">
        <v>453</v>
      </c>
      <c r="C81" s="121">
        <v>6</v>
      </c>
      <c r="D81" s="121"/>
      <c r="E81" s="121"/>
      <c r="F81" s="121"/>
      <c r="G81" s="121">
        <v>17641780</v>
      </c>
      <c r="H81" s="121"/>
      <c r="I81" s="121"/>
      <c r="J81" s="121"/>
      <c r="K81" s="18">
        <f t="shared" si="2"/>
        <v>6</v>
      </c>
      <c r="L81" s="18">
        <f t="shared" si="3"/>
        <v>17641780</v>
      </c>
    </row>
    <row r="82" spans="1:12" x14ac:dyDescent="0.35">
      <c r="A82" s="155" t="s">
        <v>454</v>
      </c>
      <c r="B82" s="155" t="s">
        <v>455</v>
      </c>
      <c r="C82" s="121">
        <v>10</v>
      </c>
      <c r="D82" s="121">
        <v>3</v>
      </c>
      <c r="E82" s="121"/>
      <c r="F82" s="121"/>
      <c r="G82" s="121">
        <v>303372384</v>
      </c>
      <c r="H82" s="121">
        <v>3837874419</v>
      </c>
      <c r="I82" s="121"/>
      <c r="J82" s="121"/>
      <c r="K82" s="18">
        <f t="shared" si="2"/>
        <v>13</v>
      </c>
      <c r="L82" s="18">
        <f t="shared" si="3"/>
        <v>4141246803</v>
      </c>
    </row>
    <row r="83" spans="1:12" x14ac:dyDescent="0.35">
      <c r="A83" s="155" t="s">
        <v>456</v>
      </c>
      <c r="B83" s="155" t="s">
        <v>457</v>
      </c>
      <c r="C83" s="121">
        <v>126</v>
      </c>
      <c r="D83" s="121">
        <v>17</v>
      </c>
      <c r="E83" s="121">
        <v>3</v>
      </c>
      <c r="F83" s="121">
        <v>1</v>
      </c>
      <c r="G83" s="121">
        <v>10762276224</v>
      </c>
      <c r="H83" s="121">
        <v>34638780250</v>
      </c>
      <c r="I83" s="121">
        <v>55520564474</v>
      </c>
      <c r="J83" s="121">
        <v>79312903941</v>
      </c>
      <c r="K83" s="18">
        <f t="shared" si="2"/>
        <v>147</v>
      </c>
      <c r="L83" s="18">
        <f t="shared" si="3"/>
        <v>180234524889</v>
      </c>
    </row>
    <row r="84" spans="1:12" x14ac:dyDescent="0.35">
      <c r="A84" s="155" t="s">
        <v>458</v>
      </c>
      <c r="B84" s="155" t="s">
        <v>459</v>
      </c>
      <c r="C84" s="121">
        <v>3423</v>
      </c>
      <c r="D84" s="121">
        <v>371</v>
      </c>
      <c r="E84" s="121">
        <v>60</v>
      </c>
      <c r="F84" s="121">
        <v>12</v>
      </c>
      <c r="G84" s="121">
        <v>164306606437</v>
      </c>
      <c r="H84" s="121">
        <v>797349139102</v>
      </c>
      <c r="I84" s="121">
        <v>939279117269</v>
      </c>
      <c r="J84" s="121">
        <v>2480775119516</v>
      </c>
      <c r="K84" s="18">
        <f t="shared" si="2"/>
        <v>3866</v>
      </c>
      <c r="L84" s="18">
        <f t="shared" si="3"/>
        <v>4381709982324</v>
      </c>
    </row>
    <row r="85" spans="1:12" x14ac:dyDescent="0.35">
      <c r="A85" s="155" t="s">
        <v>460</v>
      </c>
      <c r="B85" s="155" t="s">
        <v>461</v>
      </c>
      <c r="C85" s="121">
        <v>12</v>
      </c>
      <c r="D85" s="121"/>
      <c r="E85" s="121"/>
      <c r="F85" s="121"/>
      <c r="G85" s="121">
        <v>628537557</v>
      </c>
      <c r="H85" s="121"/>
      <c r="I85" s="121"/>
      <c r="J85" s="121"/>
      <c r="K85" s="18">
        <f t="shared" si="2"/>
        <v>12</v>
      </c>
      <c r="L85" s="18">
        <f t="shared" si="3"/>
        <v>628537557</v>
      </c>
    </row>
    <row r="86" spans="1:12" x14ac:dyDescent="0.35">
      <c r="A86" s="155" t="s">
        <v>462</v>
      </c>
      <c r="B86" s="155" t="s">
        <v>463</v>
      </c>
      <c r="C86" s="121">
        <v>7</v>
      </c>
      <c r="D86" s="121">
        <v>1</v>
      </c>
      <c r="E86" s="121">
        <v>1</v>
      </c>
      <c r="F86" s="121"/>
      <c r="G86" s="121">
        <v>779054533</v>
      </c>
      <c r="H86" s="121">
        <v>2087077543</v>
      </c>
      <c r="I86" s="121">
        <v>7810558101</v>
      </c>
      <c r="J86" s="121"/>
      <c r="K86" s="18">
        <f t="shared" si="2"/>
        <v>9</v>
      </c>
      <c r="L86" s="18">
        <f t="shared" si="3"/>
        <v>10676690177</v>
      </c>
    </row>
    <row r="87" spans="1:12" x14ac:dyDescent="0.35">
      <c r="A87" s="155" t="s">
        <v>464</v>
      </c>
      <c r="B87" s="155" t="s">
        <v>1363</v>
      </c>
      <c r="C87" s="121">
        <v>9</v>
      </c>
      <c r="D87" s="121">
        <v>1</v>
      </c>
      <c r="E87" s="121"/>
      <c r="F87" s="121"/>
      <c r="G87" s="121">
        <v>180112032</v>
      </c>
      <c r="H87" s="121">
        <v>3718508774</v>
      </c>
      <c r="I87" s="121"/>
      <c r="J87" s="121"/>
      <c r="K87" s="18">
        <f t="shared" si="2"/>
        <v>10</v>
      </c>
      <c r="L87" s="18">
        <f t="shared" si="3"/>
        <v>3898620806</v>
      </c>
    </row>
    <row r="88" spans="1:12" x14ac:dyDescent="0.35">
      <c r="A88" s="155" t="s">
        <v>465</v>
      </c>
      <c r="B88" s="155" t="s">
        <v>466</v>
      </c>
      <c r="C88" s="121">
        <v>137</v>
      </c>
      <c r="D88" s="121">
        <v>8</v>
      </c>
      <c r="E88" s="121">
        <v>2</v>
      </c>
      <c r="F88" s="121"/>
      <c r="G88" s="121">
        <v>4659644007</v>
      </c>
      <c r="H88" s="121">
        <v>18562245886</v>
      </c>
      <c r="I88" s="121">
        <v>13496995128</v>
      </c>
      <c r="J88" s="121"/>
      <c r="K88" s="18">
        <f t="shared" si="2"/>
        <v>147</v>
      </c>
      <c r="L88" s="18">
        <f t="shared" si="3"/>
        <v>36718885021</v>
      </c>
    </row>
    <row r="89" spans="1:12" x14ac:dyDescent="0.35">
      <c r="A89" s="155" t="s">
        <v>467</v>
      </c>
      <c r="B89" s="155" t="s">
        <v>1364</v>
      </c>
      <c r="C89" s="121">
        <v>79</v>
      </c>
      <c r="D89" s="121">
        <v>1</v>
      </c>
      <c r="E89" s="121"/>
      <c r="F89" s="121"/>
      <c r="G89" s="121">
        <v>2994851921</v>
      </c>
      <c r="H89" s="121">
        <v>2576814000</v>
      </c>
      <c r="I89" s="121"/>
      <c r="J89" s="121"/>
      <c r="K89" s="18">
        <f t="shared" si="2"/>
        <v>80</v>
      </c>
      <c r="L89" s="18">
        <f t="shared" si="3"/>
        <v>5571665921</v>
      </c>
    </row>
    <row r="90" spans="1:12" x14ac:dyDescent="0.35">
      <c r="A90" s="155" t="s">
        <v>468</v>
      </c>
      <c r="B90" s="155" t="s">
        <v>469</v>
      </c>
      <c r="C90" s="121">
        <v>151</v>
      </c>
      <c r="D90" s="121">
        <v>7</v>
      </c>
      <c r="E90" s="121">
        <v>1</v>
      </c>
      <c r="F90" s="121">
        <v>3</v>
      </c>
      <c r="G90" s="121">
        <v>6085273715</v>
      </c>
      <c r="H90" s="121">
        <v>14048430329</v>
      </c>
      <c r="I90" s="121">
        <v>8132554000</v>
      </c>
      <c r="J90" s="121">
        <v>682176798577</v>
      </c>
      <c r="K90" s="18">
        <f t="shared" si="2"/>
        <v>162</v>
      </c>
      <c r="L90" s="18">
        <f t="shared" si="3"/>
        <v>710443056621</v>
      </c>
    </row>
    <row r="91" spans="1:12" x14ac:dyDescent="0.35">
      <c r="A91" s="155" t="s">
        <v>470</v>
      </c>
      <c r="B91" s="155" t="s">
        <v>471</v>
      </c>
      <c r="C91" s="121">
        <v>79</v>
      </c>
      <c r="D91" s="121">
        <v>7</v>
      </c>
      <c r="E91" s="121">
        <v>2</v>
      </c>
      <c r="F91" s="121"/>
      <c r="G91" s="121">
        <v>3558998184</v>
      </c>
      <c r="H91" s="121">
        <v>18642185451</v>
      </c>
      <c r="I91" s="121">
        <v>23736416602</v>
      </c>
      <c r="J91" s="121"/>
      <c r="K91" s="18">
        <f t="shared" si="2"/>
        <v>88</v>
      </c>
      <c r="L91" s="18">
        <f t="shared" si="3"/>
        <v>45937600237</v>
      </c>
    </row>
    <row r="92" spans="1:12" x14ac:dyDescent="0.35">
      <c r="A92" s="155" t="s">
        <v>472</v>
      </c>
      <c r="B92" s="155" t="s">
        <v>473</v>
      </c>
      <c r="C92" s="121">
        <v>17</v>
      </c>
      <c r="D92" s="121">
        <v>2</v>
      </c>
      <c r="E92" s="121">
        <v>1</v>
      </c>
      <c r="F92" s="121"/>
      <c r="G92" s="121">
        <v>1371707979</v>
      </c>
      <c r="H92" s="121">
        <v>5265055084</v>
      </c>
      <c r="I92" s="121">
        <v>9065505158</v>
      </c>
      <c r="J92" s="121"/>
      <c r="K92" s="18">
        <f t="shared" si="2"/>
        <v>20</v>
      </c>
      <c r="L92" s="18">
        <f t="shared" si="3"/>
        <v>15702268221</v>
      </c>
    </row>
    <row r="93" spans="1:12" x14ac:dyDescent="0.35">
      <c r="A93" s="155" t="s">
        <v>474</v>
      </c>
      <c r="B93" s="155" t="s">
        <v>475</v>
      </c>
      <c r="C93" s="121">
        <v>150</v>
      </c>
      <c r="D93" s="121">
        <v>22</v>
      </c>
      <c r="E93" s="121">
        <v>4</v>
      </c>
      <c r="F93" s="121"/>
      <c r="G93" s="121">
        <v>8403703864</v>
      </c>
      <c r="H93" s="121">
        <v>53242219204</v>
      </c>
      <c r="I93" s="121">
        <v>90237891595</v>
      </c>
      <c r="J93" s="121"/>
      <c r="K93" s="18">
        <f t="shared" si="2"/>
        <v>176</v>
      </c>
      <c r="L93" s="18">
        <f t="shared" si="3"/>
        <v>151883814663</v>
      </c>
    </row>
    <row r="94" spans="1:12" x14ac:dyDescent="0.35">
      <c r="A94" s="155" t="s">
        <v>476</v>
      </c>
      <c r="B94" s="155" t="s">
        <v>1365</v>
      </c>
      <c r="C94" s="121">
        <v>11</v>
      </c>
      <c r="D94" s="121">
        <v>3</v>
      </c>
      <c r="E94" s="121"/>
      <c r="F94" s="121">
        <v>2</v>
      </c>
      <c r="G94" s="121">
        <v>1207908370</v>
      </c>
      <c r="H94" s="121">
        <v>4461045902</v>
      </c>
      <c r="I94" s="121"/>
      <c r="J94" s="121">
        <v>983187892000</v>
      </c>
      <c r="K94" s="18">
        <f t="shared" si="2"/>
        <v>16</v>
      </c>
      <c r="L94" s="18">
        <f t="shared" si="3"/>
        <v>988856846272</v>
      </c>
    </row>
    <row r="95" spans="1:12" x14ac:dyDescent="0.35">
      <c r="A95" s="155" t="s">
        <v>477</v>
      </c>
      <c r="B95" s="155" t="s">
        <v>478</v>
      </c>
      <c r="C95" s="121">
        <v>371</v>
      </c>
      <c r="D95" s="121">
        <v>14</v>
      </c>
      <c r="E95" s="121">
        <v>2</v>
      </c>
      <c r="F95" s="121"/>
      <c r="G95" s="121">
        <v>9101569906</v>
      </c>
      <c r="H95" s="121">
        <v>20406779408</v>
      </c>
      <c r="I95" s="121">
        <v>33886240983</v>
      </c>
      <c r="J95" s="121"/>
      <c r="K95" s="18">
        <f t="shared" si="2"/>
        <v>387</v>
      </c>
      <c r="L95" s="18">
        <f t="shared" si="3"/>
        <v>63394590297</v>
      </c>
    </row>
    <row r="96" spans="1:12" x14ac:dyDescent="0.35">
      <c r="A96" s="155" t="s">
        <v>479</v>
      </c>
      <c r="B96" s="155" t="s">
        <v>480</v>
      </c>
      <c r="C96" s="121">
        <v>16</v>
      </c>
      <c r="D96" s="121"/>
      <c r="E96" s="121"/>
      <c r="F96" s="121"/>
      <c r="G96" s="121">
        <v>695649630</v>
      </c>
      <c r="H96" s="121"/>
      <c r="I96" s="121"/>
      <c r="J96" s="121"/>
      <c r="K96" s="18">
        <f t="shared" si="2"/>
        <v>16</v>
      </c>
      <c r="L96" s="18">
        <f t="shared" si="3"/>
        <v>695649630</v>
      </c>
    </row>
    <row r="97" spans="1:12" x14ac:dyDescent="0.35">
      <c r="A97" s="155" t="s">
        <v>481</v>
      </c>
      <c r="B97" s="155" t="s">
        <v>1366</v>
      </c>
      <c r="C97" s="121">
        <v>77</v>
      </c>
      <c r="D97" s="121">
        <v>7</v>
      </c>
      <c r="E97" s="121">
        <v>1</v>
      </c>
      <c r="F97" s="121"/>
      <c r="G97" s="121">
        <v>3069483533</v>
      </c>
      <c r="H97" s="121">
        <v>12368960196</v>
      </c>
      <c r="I97" s="121">
        <v>13632692977</v>
      </c>
      <c r="J97" s="121"/>
      <c r="K97" s="18">
        <f t="shared" si="2"/>
        <v>85</v>
      </c>
      <c r="L97" s="18">
        <f t="shared" si="3"/>
        <v>29071136706</v>
      </c>
    </row>
    <row r="98" spans="1:12" x14ac:dyDescent="0.35">
      <c r="A98" s="155" t="s">
        <v>482</v>
      </c>
      <c r="B98" s="155" t="s">
        <v>1367</v>
      </c>
      <c r="C98" s="121">
        <v>4</v>
      </c>
      <c r="D98" s="121">
        <v>1</v>
      </c>
      <c r="E98" s="121"/>
      <c r="F98" s="121"/>
      <c r="G98" s="121">
        <v>667084268</v>
      </c>
      <c r="H98" s="121">
        <v>711231053</v>
      </c>
      <c r="I98" s="121"/>
      <c r="J98" s="121"/>
      <c r="K98" s="18">
        <f t="shared" si="2"/>
        <v>5</v>
      </c>
      <c r="L98" s="18">
        <f t="shared" si="3"/>
        <v>1378315321</v>
      </c>
    </row>
    <row r="99" spans="1:12" x14ac:dyDescent="0.35">
      <c r="A99" s="155" t="s">
        <v>483</v>
      </c>
      <c r="B99" s="155" t="s">
        <v>1368</v>
      </c>
      <c r="C99" s="121">
        <v>27</v>
      </c>
      <c r="D99" s="121">
        <v>5</v>
      </c>
      <c r="E99" s="121"/>
      <c r="F99" s="121">
        <v>2</v>
      </c>
      <c r="G99" s="121">
        <v>2056984056</v>
      </c>
      <c r="H99" s="121">
        <v>14579374830</v>
      </c>
      <c r="I99" s="121"/>
      <c r="J99" s="121">
        <v>950629149984</v>
      </c>
      <c r="K99" s="18">
        <f t="shared" si="2"/>
        <v>34</v>
      </c>
      <c r="L99" s="18">
        <f t="shared" si="3"/>
        <v>967265508870</v>
      </c>
    </row>
    <row r="100" spans="1:12" x14ac:dyDescent="0.35">
      <c r="A100" s="155" t="s">
        <v>484</v>
      </c>
      <c r="B100" s="155" t="s">
        <v>485</v>
      </c>
      <c r="C100" s="121">
        <v>53</v>
      </c>
      <c r="D100" s="121">
        <v>8</v>
      </c>
      <c r="E100" s="121"/>
      <c r="F100" s="121">
        <v>3</v>
      </c>
      <c r="G100" s="121">
        <v>2408396928</v>
      </c>
      <c r="H100" s="121">
        <v>21741080262</v>
      </c>
      <c r="I100" s="121"/>
      <c r="J100" s="121">
        <v>5590233223248</v>
      </c>
      <c r="K100" s="18">
        <f t="shared" si="2"/>
        <v>64</v>
      </c>
      <c r="L100" s="18">
        <f t="shared" si="3"/>
        <v>5614382700438</v>
      </c>
    </row>
    <row r="101" spans="1:12" x14ac:dyDescent="0.35">
      <c r="A101" s="155" t="s">
        <v>486</v>
      </c>
      <c r="B101" s="155" t="s">
        <v>487</v>
      </c>
      <c r="C101" s="121">
        <v>577</v>
      </c>
      <c r="D101" s="121">
        <v>66</v>
      </c>
      <c r="E101" s="121">
        <v>11</v>
      </c>
      <c r="F101" s="121"/>
      <c r="G101" s="121">
        <v>32314295690</v>
      </c>
      <c r="H101" s="121">
        <v>121558223224</v>
      </c>
      <c r="I101" s="121">
        <v>186903154342</v>
      </c>
      <c r="J101" s="121"/>
      <c r="K101" s="18">
        <f t="shared" si="2"/>
        <v>654</v>
      </c>
      <c r="L101" s="18">
        <f t="shared" si="3"/>
        <v>340775673256</v>
      </c>
    </row>
    <row r="102" spans="1:12" x14ac:dyDescent="0.35">
      <c r="A102" s="155" t="s">
        <v>488</v>
      </c>
      <c r="B102" s="155" t="s">
        <v>489</v>
      </c>
      <c r="C102" s="121">
        <v>167</v>
      </c>
      <c r="D102" s="121">
        <v>22</v>
      </c>
      <c r="E102" s="121">
        <v>3</v>
      </c>
      <c r="F102" s="121"/>
      <c r="G102" s="121">
        <v>10969442215</v>
      </c>
      <c r="H102" s="121">
        <v>47787680431</v>
      </c>
      <c r="I102" s="121">
        <v>36481323179</v>
      </c>
      <c r="J102" s="121"/>
      <c r="K102" s="18">
        <f t="shared" si="2"/>
        <v>192</v>
      </c>
      <c r="L102" s="18">
        <f t="shared" si="3"/>
        <v>95238445825</v>
      </c>
    </row>
    <row r="103" spans="1:12" x14ac:dyDescent="0.35">
      <c r="A103" s="155" t="s">
        <v>490</v>
      </c>
      <c r="B103" s="155" t="s">
        <v>1224</v>
      </c>
      <c r="C103" s="121">
        <v>3</v>
      </c>
      <c r="D103" s="121">
        <v>1</v>
      </c>
      <c r="E103" s="121"/>
      <c r="F103" s="121"/>
      <c r="G103" s="121">
        <v>256014000</v>
      </c>
      <c r="H103" s="121">
        <v>1059364633</v>
      </c>
      <c r="I103" s="121"/>
      <c r="J103" s="121"/>
      <c r="K103" s="18">
        <f t="shared" si="2"/>
        <v>4</v>
      </c>
      <c r="L103" s="18">
        <f t="shared" si="3"/>
        <v>1315378633</v>
      </c>
    </row>
    <row r="104" spans="1:12" x14ac:dyDescent="0.35">
      <c r="A104" s="155" t="s">
        <v>1330</v>
      </c>
      <c r="B104" s="155" t="s">
        <v>1331</v>
      </c>
      <c r="C104" s="121">
        <v>1</v>
      </c>
      <c r="D104" s="121"/>
      <c r="E104" s="121"/>
      <c r="F104" s="121"/>
      <c r="G104" s="121">
        <v>10000000</v>
      </c>
      <c r="H104" s="121"/>
      <c r="I104" s="121"/>
      <c r="J104" s="121"/>
      <c r="K104" s="18">
        <f t="shared" si="2"/>
        <v>1</v>
      </c>
      <c r="L104" s="18">
        <f t="shared" si="3"/>
        <v>10000000</v>
      </c>
    </row>
    <row r="105" spans="1:12" x14ac:dyDescent="0.35">
      <c r="A105" s="155" t="s">
        <v>491</v>
      </c>
      <c r="B105" s="155" t="s">
        <v>492</v>
      </c>
      <c r="C105" s="121">
        <v>17</v>
      </c>
      <c r="D105" s="121">
        <v>2</v>
      </c>
      <c r="E105" s="121">
        <v>2</v>
      </c>
      <c r="F105" s="121"/>
      <c r="G105" s="121">
        <v>1234523374</v>
      </c>
      <c r="H105" s="121">
        <v>7391063817</v>
      </c>
      <c r="I105" s="121">
        <v>32030750324</v>
      </c>
      <c r="J105" s="121"/>
      <c r="K105" s="18">
        <f t="shared" si="2"/>
        <v>21</v>
      </c>
      <c r="L105" s="18">
        <f t="shared" si="3"/>
        <v>40656337515</v>
      </c>
    </row>
    <row r="106" spans="1:12" x14ac:dyDescent="0.35">
      <c r="A106" s="155" t="s">
        <v>495</v>
      </c>
      <c r="B106" s="155" t="s">
        <v>496</v>
      </c>
      <c r="C106" s="121">
        <v>38</v>
      </c>
      <c r="D106" s="121">
        <v>8</v>
      </c>
      <c r="E106" s="121">
        <v>5</v>
      </c>
      <c r="F106" s="121">
        <v>2</v>
      </c>
      <c r="G106" s="121">
        <v>3544803165</v>
      </c>
      <c r="H106" s="121">
        <v>12531549388</v>
      </c>
      <c r="I106" s="121">
        <v>111287186253</v>
      </c>
      <c r="J106" s="121">
        <v>600438273000</v>
      </c>
      <c r="K106" s="18">
        <f t="shared" si="2"/>
        <v>53</v>
      </c>
      <c r="L106" s="18">
        <f t="shared" si="3"/>
        <v>727801811806</v>
      </c>
    </row>
    <row r="107" spans="1:12" x14ac:dyDescent="0.35">
      <c r="A107" s="155" t="s">
        <v>497</v>
      </c>
      <c r="B107" s="155" t="s">
        <v>498</v>
      </c>
      <c r="C107" s="121">
        <v>18</v>
      </c>
      <c r="D107" s="121">
        <v>14</v>
      </c>
      <c r="E107" s="121">
        <v>2</v>
      </c>
      <c r="F107" s="121"/>
      <c r="G107" s="121">
        <v>1781878728</v>
      </c>
      <c r="H107" s="121">
        <v>25940404071</v>
      </c>
      <c r="I107" s="121">
        <v>28976973623</v>
      </c>
      <c r="J107" s="121"/>
      <c r="K107" s="18">
        <f t="shared" si="2"/>
        <v>34</v>
      </c>
      <c r="L107" s="18">
        <f t="shared" si="3"/>
        <v>56699256422</v>
      </c>
    </row>
    <row r="108" spans="1:12" x14ac:dyDescent="0.35">
      <c r="A108" s="155" t="s">
        <v>499</v>
      </c>
      <c r="B108" s="155" t="s">
        <v>500</v>
      </c>
      <c r="C108" s="121">
        <v>36</v>
      </c>
      <c r="D108" s="121">
        <v>8</v>
      </c>
      <c r="E108" s="121">
        <v>1</v>
      </c>
      <c r="F108" s="121"/>
      <c r="G108" s="121">
        <v>1413443808</v>
      </c>
      <c r="H108" s="121">
        <v>11950501973</v>
      </c>
      <c r="I108" s="121">
        <v>10608226562</v>
      </c>
      <c r="J108" s="121"/>
      <c r="K108" s="18">
        <f t="shared" si="2"/>
        <v>45</v>
      </c>
      <c r="L108" s="18">
        <f t="shared" si="3"/>
        <v>23972172343</v>
      </c>
    </row>
    <row r="109" spans="1:12" x14ac:dyDescent="0.35">
      <c r="A109" s="155" t="s">
        <v>501</v>
      </c>
      <c r="B109" s="155" t="s">
        <v>502</v>
      </c>
      <c r="C109" s="121">
        <v>4</v>
      </c>
      <c r="D109" s="121">
        <v>4</v>
      </c>
      <c r="E109" s="121"/>
      <c r="F109" s="121"/>
      <c r="G109" s="121">
        <v>26555000</v>
      </c>
      <c r="H109" s="121">
        <v>6146430667</v>
      </c>
      <c r="I109" s="121"/>
      <c r="J109" s="121"/>
      <c r="K109" s="18">
        <f t="shared" si="2"/>
        <v>8</v>
      </c>
      <c r="L109" s="18">
        <f t="shared" si="3"/>
        <v>6172985667</v>
      </c>
    </row>
    <row r="110" spans="1:12" x14ac:dyDescent="0.35">
      <c r="A110" s="155" t="s">
        <v>503</v>
      </c>
      <c r="B110" s="155" t="s">
        <v>504</v>
      </c>
      <c r="C110" s="121">
        <v>18</v>
      </c>
      <c r="D110" s="121">
        <v>4</v>
      </c>
      <c r="E110" s="121">
        <v>1</v>
      </c>
      <c r="F110" s="121"/>
      <c r="G110" s="121">
        <v>361937908</v>
      </c>
      <c r="H110" s="121">
        <v>14531228507</v>
      </c>
      <c r="I110" s="121">
        <v>22884342800</v>
      </c>
      <c r="J110" s="121"/>
      <c r="K110" s="18">
        <f t="shared" si="2"/>
        <v>23</v>
      </c>
      <c r="L110" s="18">
        <f t="shared" si="3"/>
        <v>37777509215</v>
      </c>
    </row>
    <row r="111" spans="1:12" x14ac:dyDescent="0.35">
      <c r="A111" s="155" t="s">
        <v>505</v>
      </c>
      <c r="B111" s="155" t="s">
        <v>506</v>
      </c>
      <c r="C111" s="121">
        <v>59</v>
      </c>
      <c r="D111" s="121">
        <v>7</v>
      </c>
      <c r="E111" s="121">
        <v>5</v>
      </c>
      <c r="F111" s="121">
        <v>3</v>
      </c>
      <c r="G111" s="121">
        <v>4274620918</v>
      </c>
      <c r="H111" s="121">
        <v>18722705320</v>
      </c>
      <c r="I111" s="121">
        <v>78490992602</v>
      </c>
      <c r="J111" s="121">
        <v>1071464979367</v>
      </c>
      <c r="K111" s="18">
        <f t="shared" si="2"/>
        <v>74</v>
      </c>
      <c r="L111" s="18">
        <f t="shared" si="3"/>
        <v>1172953298207</v>
      </c>
    </row>
    <row r="112" spans="1:12" x14ac:dyDescent="0.35">
      <c r="A112" s="155" t="s">
        <v>507</v>
      </c>
      <c r="B112" s="155" t="s">
        <v>1369</v>
      </c>
      <c r="C112" s="121">
        <v>247</v>
      </c>
      <c r="D112" s="121">
        <v>26</v>
      </c>
      <c r="E112" s="121">
        <v>5</v>
      </c>
      <c r="F112" s="121">
        <v>2</v>
      </c>
      <c r="G112" s="121">
        <v>12746752031</v>
      </c>
      <c r="H112" s="121">
        <v>69298096154</v>
      </c>
      <c r="I112" s="121">
        <v>80081860340</v>
      </c>
      <c r="J112" s="121">
        <v>918246997677</v>
      </c>
      <c r="K112" s="18">
        <f t="shared" si="2"/>
        <v>280</v>
      </c>
      <c r="L112" s="18">
        <f t="shared" si="3"/>
        <v>1080373706202</v>
      </c>
    </row>
    <row r="113" spans="1:12" x14ac:dyDescent="0.35">
      <c r="A113" s="155" t="s">
        <v>508</v>
      </c>
      <c r="B113" s="155" t="s">
        <v>509</v>
      </c>
      <c r="C113" s="121">
        <v>46</v>
      </c>
      <c r="D113" s="121">
        <v>5</v>
      </c>
      <c r="E113" s="121">
        <v>3</v>
      </c>
      <c r="F113" s="121">
        <v>4</v>
      </c>
      <c r="G113" s="121">
        <v>2506113808</v>
      </c>
      <c r="H113" s="121">
        <v>12512434578</v>
      </c>
      <c r="I113" s="121">
        <v>36017436362</v>
      </c>
      <c r="J113" s="121">
        <v>775539562488</v>
      </c>
      <c r="K113" s="18">
        <f t="shared" si="2"/>
        <v>58</v>
      </c>
      <c r="L113" s="18">
        <f t="shared" si="3"/>
        <v>826575547236</v>
      </c>
    </row>
    <row r="114" spans="1:12" x14ac:dyDescent="0.35">
      <c r="A114" s="155" t="s">
        <v>510</v>
      </c>
      <c r="B114" s="155" t="s">
        <v>511</v>
      </c>
      <c r="C114" s="121">
        <v>9</v>
      </c>
      <c r="D114" s="121">
        <v>1</v>
      </c>
      <c r="E114" s="121"/>
      <c r="F114" s="121">
        <v>1</v>
      </c>
      <c r="G114" s="121">
        <v>889243630</v>
      </c>
      <c r="H114" s="121">
        <v>1976224653</v>
      </c>
      <c r="I114" s="121"/>
      <c r="J114" s="121">
        <v>695694909000</v>
      </c>
      <c r="K114" s="18">
        <f t="shared" si="2"/>
        <v>11</v>
      </c>
      <c r="L114" s="18">
        <f t="shared" si="3"/>
        <v>698560377283</v>
      </c>
    </row>
    <row r="115" spans="1:12" x14ac:dyDescent="0.35">
      <c r="A115" s="155" t="s">
        <v>512</v>
      </c>
      <c r="B115" s="155" t="s">
        <v>127</v>
      </c>
      <c r="C115" s="121">
        <v>84</v>
      </c>
      <c r="D115" s="121">
        <v>11</v>
      </c>
      <c r="E115" s="121">
        <v>9</v>
      </c>
      <c r="F115" s="121">
        <v>4</v>
      </c>
      <c r="G115" s="121">
        <v>8209439924</v>
      </c>
      <c r="H115" s="121">
        <v>20629164350</v>
      </c>
      <c r="I115" s="121">
        <v>136656855126</v>
      </c>
      <c r="J115" s="121">
        <v>469009186039</v>
      </c>
      <c r="K115" s="18">
        <f t="shared" si="2"/>
        <v>108</v>
      </c>
      <c r="L115" s="18">
        <f t="shared" si="3"/>
        <v>634504645439</v>
      </c>
    </row>
    <row r="116" spans="1:12" x14ac:dyDescent="0.35">
      <c r="A116" s="155" t="s">
        <v>513</v>
      </c>
      <c r="B116" s="155" t="s">
        <v>514</v>
      </c>
      <c r="C116" s="121">
        <v>1</v>
      </c>
      <c r="D116" s="121"/>
      <c r="E116" s="121"/>
      <c r="F116" s="121"/>
      <c r="G116" s="121">
        <v>2100000</v>
      </c>
      <c r="H116" s="121"/>
      <c r="I116" s="121"/>
      <c r="J116" s="121"/>
      <c r="K116" s="18">
        <f t="shared" si="2"/>
        <v>1</v>
      </c>
      <c r="L116" s="18">
        <f t="shared" si="3"/>
        <v>2100000</v>
      </c>
    </row>
    <row r="117" spans="1:12" x14ac:dyDescent="0.35">
      <c r="A117" s="155" t="s">
        <v>515</v>
      </c>
      <c r="B117" s="155" t="s">
        <v>516</v>
      </c>
      <c r="C117" s="121">
        <v>9</v>
      </c>
      <c r="D117" s="121">
        <v>2</v>
      </c>
      <c r="E117" s="121">
        <v>2</v>
      </c>
      <c r="F117" s="121"/>
      <c r="G117" s="121">
        <v>86300000</v>
      </c>
      <c r="H117" s="121">
        <v>6851886565</v>
      </c>
      <c r="I117" s="121">
        <v>21097112129</v>
      </c>
      <c r="J117" s="121"/>
      <c r="K117" s="18">
        <f t="shared" si="2"/>
        <v>13</v>
      </c>
      <c r="L117" s="18">
        <f t="shared" si="3"/>
        <v>28035298694</v>
      </c>
    </row>
    <row r="118" spans="1:12" x14ac:dyDescent="0.35">
      <c r="A118" s="155" t="s">
        <v>517</v>
      </c>
      <c r="B118" s="155" t="s">
        <v>518</v>
      </c>
      <c r="C118" s="121">
        <v>25</v>
      </c>
      <c r="D118" s="121">
        <v>10</v>
      </c>
      <c r="E118" s="121"/>
      <c r="F118" s="121"/>
      <c r="G118" s="121">
        <v>2794823298</v>
      </c>
      <c r="H118" s="121">
        <v>34116853240</v>
      </c>
      <c r="I118" s="121"/>
      <c r="J118" s="121"/>
      <c r="K118" s="18">
        <f t="shared" si="2"/>
        <v>35</v>
      </c>
      <c r="L118" s="18">
        <f t="shared" si="3"/>
        <v>36911676538</v>
      </c>
    </row>
    <row r="119" spans="1:12" x14ac:dyDescent="0.35">
      <c r="A119" s="155" t="s">
        <v>519</v>
      </c>
      <c r="B119" s="155" t="s">
        <v>520</v>
      </c>
      <c r="C119" s="121">
        <v>106</v>
      </c>
      <c r="D119" s="121">
        <v>25</v>
      </c>
      <c r="E119" s="121">
        <v>3</v>
      </c>
      <c r="F119" s="121">
        <v>2</v>
      </c>
      <c r="G119" s="121">
        <v>7935713570</v>
      </c>
      <c r="H119" s="121">
        <v>59433759990</v>
      </c>
      <c r="I119" s="121">
        <v>58723911810</v>
      </c>
      <c r="J119" s="121">
        <v>94100889000</v>
      </c>
      <c r="K119" s="18">
        <f t="shared" si="2"/>
        <v>136</v>
      </c>
      <c r="L119" s="18">
        <f t="shared" si="3"/>
        <v>220194274370</v>
      </c>
    </row>
    <row r="120" spans="1:12" x14ac:dyDescent="0.35">
      <c r="A120" s="155" t="s">
        <v>521</v>
      </c>
      <c r="B120" s="155" t="s">
        <v>522</v>
      </c>
      <c r="C120" s="121">
        <v>211</v>
      </c>
      <c r="D120" s="121">
        <v>62</v>
      </c>
      <c r="E120" s="121">
        <v>13</v>
      </c>
      <c r="F120" s="121">
        <v>7</v>
      </c>
      <c r="G120" s="121">
        <v>11040487295</v>
      </c>
      <c r="H120" s="121">
        <v>119193236565</v>
      </c>
      <c r="I120" s="121">
        <v>221420812664</v>
      </c>
      <c r="J120" s="121">
        <v>1143449621676</v>
      </c>
      <c r="K120" s="18">
        <f t="shared" si="2"/>
        <v>293</v>
      </c>
      <c r="L120" s="18">
        <f t="shared" si="3"/>
        <v>1495104158200</v>
      </c>
    </row>
    <row r="121" spans="1:12" x14ac:dyDescent="0.35">
      <c r="A121" s="155" t="s">
        <v>523</v>
      </c>
      <c r="B121" s="155" t="s">
        <v>524</v>
      </c>
      <c r="C121" s="121">
        <v>54</v>
      </c>
      <c r="D121" s="121">
        <v>4</v>
      </c>
      <c r="E121" s="121">
        <v>3</v>
      </c>
      <c r="F121" s="121">
        <v>1</v>
      </c>
      <c r="G121" s="121">
        <v>2749270725</v>
      </c>
      <c r="H121" s="121">
        <v>8423111547</v>
      </c>
      <c r="I121" s="121">
        <v>48524536209</v>
      </c>
      <c r="J121" s="121">
        <v>484760154026</v>
      </c>
      <c r="K121" s="18">
        <f t="shared" si="2"/>
        <v>62</v>
      </c>
      <c r="L121" s="18">
        <f t="shared" si="3"/>
        <v>544457072507</v>
      </c>
    </row>
    <row r="122" spans="1:12" x14ac:dyDescent="0.35">
      <c r="A122" s="155" t="s">
        <v>525</v>
      </c>
      <c r="B122" s="155" t="s">
        <v>526</v>
      </c>
      <c r="C122" s="121">
        <v>6</v>
      </c>
      <c r="D122" s="121">
        <v>1</v>
      </c>
      <c r="E122" s="121"/>
      <c r="F122" s="121">
        <v>1</v>
      </c>
      <c r="G122" s="121">
        <v>110165405</v>
      </c>
      <c r="H122" s="121">
        <v>873735000</v>
      </c>
      <c r="I122" s="121"/>
      <c r="J122" s="121">
        <v>2545680567000</v>
      </c>
      <c r="K122" s="18">
        <f t="shared" si="2"/>
        <v>8</v>
      </c>
      <c r="L122" s="18">
        <f t="shared" si="3"/>
        <v>2546664467405</v>
      </c>
    </row>
    <row r="123" spans="1:12" x14ac:dyDescent="0.35">
      <c r="A123" s="155" t="s">
        <v>527</v>
      </c>
      <c r="B123" s="155" t="s">
        <v>528</v>
      </c>
      <c r="C123" s="121">
        <v>21</v>
      </c>
      <c r="D123" s="121">
        <v>11</v>
      </c>
      <c r="E123" s="121">
        <v>6</v>
      </c>
      <c r="F123" s="121">
        <v>2</v>
      </c>
      <c r="G123" s="121">
        <v>1729517780</v>
      </c>
      <c r="H123" s="121">
        <v>42036550436</v>
      </c>
      <c r="I123" s="121">
        <v>68154284316</v>
      </c>
      <c r="J123" s="121">
        <v>236121861902</v>
      </c>
      <c r="K123" s="18">
        <f t="shared" si="2"/>
        <v>40</v>
      </c>
      <c r="L123" s="18">
        <f t="shared" si="3"/>
        <v>348042214434</v>
      </c>
    </row>
    <row r="124" spans="1:12" x14ac:dyDescent="0.35">
      <c r="A124" s="155" t="s">
        <v>529</v>
      </c>
      <c r="B124" s="155" t="s">
        <v>530</v>
      </c>
      <c r="C124" s="121">
        <v>10</v>
      </c>
      <c r="D124" s="121">
        <v>1</v>
      </c>
      <c r="E124" s="121"/>
      <c r="F124" s="121"/>
      <c r="G124" s="121">
        <v>188707490</v>
      </c>
      <c r="H124" s="121">
        <v>1779182037</v>
      </c>
      <c r="I124" s="121"/>
      <c r="J124" s="121"/>
      <c r="K124" s="18">
        <f t="shared" si="2"/>
        <v>11</v>
      </c>
      <c r="L124" s="18">
        <f t="shared" si="3"/>
        <v>1967889527</v>
      </c>
    </row>
    <row r="125" spans="1:12" x14ac:dyDescent="0.35">
      <c r="A125" s="155" t="s">
        <v>531</v>
      </c>
      <c r="B125" s="155" t="s">
        <v>532</v>
      </c>
      <c r="C125" s="121">
        <v>14</v>
      </c>
      <c r="D125" s="121">
        <v>1</v>
      </c>
      <c r="E125" s="121">
        <v>1</v>
      </c>
      <c r="F125" s="121">
        <v>2</v>
      </c>
      <c r="G125" s="121">
        <v>1555326674</v>
      </c>
      <c r="H125" s="121">
        <v>767168668</v>
      </c>
      <c r="I125" s="121">
        <v>22362994000</v>
      </c>
      <c r="J125" s="121">
        <v>343708200000</v>
      </c>
      <c r="K125" s="18">
        <f t="shared" si="2"/>
        <v>18</v>
      </c>
      <c r="L125" s="18">
        <f t="shared" si="3"/>
        <v>368393689342</v>
      </c>
    </row>
    <row r="126" spans="1:12" x14ac:dyDescent="0.35">
      <c r="A126" s="155" t="s">
        <v>533</v>
      </c>
      <c r="B126" s="155" t="s">
        <v>534</v>
      </c>
      <c r="C126" s="121">
        <v>71</v>
      </c>
      <c r="D126" s="121">
        <v>13</v>
      </c>
      <c r="E126" s="121">
        <v>7</v>
      </c>
      <c r="F126" s="121">
        <v>1</v>
      </c>
      <c r="G126" s="121">
        <v>4245074109</v>
      </c>
      <c r="H126" s="121">
        <v>24758272704</v>
      </c>
      <c r="I126" s="121">
        <v>171908941359</v>
      </c>
      <c r="J126" s="121">
        <v>604990912140</v>
      </c>
      <c r="K126" s="18">
        <f t="shared" si="2"/>
        <v>92</v>
      </c>
      <c r="L126" s="18">
        <f t="shared" si="3"/>
        <v>805903200312</v>
      </c>
    </row>
    <row r="127" spans="1:12" x14ac:dyDescent="0.35">
      <c r="A127" s="155" t="s">
        <v>535</v>
      </c>
      <c r="B127" s="155" t="s">
        <v>536</v>
      </c>
      <c r="C127" s="121">
        <v>45</v>
      </c>
      <c r="D127" s="121">
        <v>3</v>
      </c>
      <c r="E127" s="121">
        <v>1</v>
      </c>
      <c r="F127" s="121"/>
      <c r="G127" s="121">
        <v>1556165796</v>
      </c>
      <c r="H127" s="121">
        <v>8928657536</v>
      </c>
      <c r="I127" s="121">
        <v>14688124809</v>
      </c>
      <c r="J127" s="121"/>
      <c r="K127" s="18">
        <f t="shared" si="2"/>
        <v>49</v>
      </c>
      <c r="L127" s="18">
        <f t="shared" si="3"/>
        <v>25172948141</v>
      </c>
    </row>
    <row r="128" spans="1:12" x14ac:dyDescent="0.35">
      <c r="A128" s="155" t="s">
        <v>537</v>
      </c>
      <c r="B128" s="155" t="s">
        <v>538</v>
      </c>
      <c r="C128" s="121">
        <v>14</v>
      </c>
      <c r="D128" s="121">
        <v>3</v>
      </c>
      <c r="E128" s="121">
        <v>1</v>
      </c>
      <c r="F128" s="121">
        <v>3</v>
      </c>
      <c r="G128" s="121">
        <v>2254824045</v>
      </c>
      <c r="H128" s="121">
        <v>5707093116</v>
      </c>
      <c r="I128" s="121">
        <v>18482615575</v>
      </c>
      <c r="J128" s="121">
        <v>231391343316</v>
      </c>
      <c r="K128" s="18">
        <f t="shared" si="2"/>
        <v>21</v>
      </c>
      <c r="L128" s="18">
        <f t="shared" si="3"/>
        <v>257835876052</v>
      </c>
    </row>
    <row r="129" spans="1:12" x14ac:dyDescent="0.35">
      <c r="A129" s="155" t="s">
        <v>539</v>
      </c>
      <c r="B129" s="155" t="s">
        <v>540</v>
      </c>
      <c r="C129" s="121">
        <v>63</v>
      </c>
      <c r="D129" s="121">
        <v>6</v>
      </c>
      <c r="E129" s="121">
        <v>3</v>
      </c>
      <c r="F129" s="121">
        <v>1</v>
      </c>
      <c r="G129" s="121">
        <v>2165432231</v>
      </c>
      <c r="H129" s="121">
        <v>10138206857</v>
      </c>
      <c r="I129" s="121">
        <v>45793660263</v>
      </c>
      <c r="J129" s="121">
        <v>62931253000</v>
      </c>
      <c r="K129" s="18">
        <f t="shared" si="2"/>
        <v>73</v>
      </c>
      <c r="L129" s="18">
        <f t="shared" si="3"/>
        <v>121028552351</v>
      </c>
    </row>
    <row r="130" spans="1:12" x14ac:dyDescent="0.35">
      <c r="A130" s="155" t="s">
        <v>541</v>
      </c>
      <c r="B130" s="155" t="s">
        <v>542</v>
      </c>
      <c r="C130" s="121">
        <v>16</v>
      </c>
      <c r="D130" s="121"/>
      <c r="E130" s="121">
        <v>1</v>
      </c>
      <c r="F130" s="121">
        <v>1</v>
      </c>
      <c r="G130" s="121">
        <v>564751660</v>
      </c>
      <c r="H130" s="121"/>
      <c r="I130" s="121">
        <v>12678530575</v>
      </c>
      <c r="J130" s="121">
        <v>215066224000</v>
      </c>
      <c r="K130" s="18">
        <f t="shared" si="2"/>
        <v>18</v>
      </c>
      <c r="L130" s="18">
        <f t="shared" si="3"/>
        <v>228309506235</v>
      </c>
    </row>
    <row r="131" spans="1:12" x14ac:dyDescent="0.35">
      <c r="A131" s="155" t="s">
        <v>543</v>
      </c>
      <c r="B131" s="155" t="s">
        <v>544</v>
      </c>
      <c r="C131" s="121">
        <v>5</v>
      </c>
      <c r="D131" s="121">
        <v>2</v>
      </c>
      <c r="E131" s="121">
        <v>1</v>
      </c>
      <c r="F131" s="121"/>
      <c r="G131" s="121">
        <v>68540000</v>
      </c>
      <c r="H131" s="121">
        <v>5152073118</v>
      </c>
      <c r="I131" s="121">
        <v>7145222000</v>
      </c>
      <c r="J131" s="121"/>
      <c r="K131" s="18">
        <f t="shared" si="2"/>
        <v>8</v>
      </c>
      <c r="L131" s="18">
        <f t="shared" si="3"/>
        <v>12365835118</v>
      </c>
    </row>
    <row r="132" spans="1:12" x14ac:dyDescent="0.35">
      <c r="A132" s="155" t="s">
        <v>545</v>
      </c>
      <c r="B132" s="155" t="s">
        <v>546</v>
      </c>
      <c r="C132" s="121">
        <v>10</v>
      </c>
      <c r="D132" s="121">
        <v>4</v>
      </c>
      <c r="E132" s="121">
        <v>1</v>
      </c>
      <c r="F132" s="121"/>
      <c r="G132" s="121">
        <v>175985680</v>
      </c>
      <c r="H132" s="121">
        <v>14322779917</v>
      </c>
      <c r="I132" s="121">
        <v>7405609481</v>
      </c>
      <c r="J132" s="121"/>
      <c r="K132" s="18">
        <f t="shared" si="2"/>
        <v>15</v>
      </c>
      <c r="L132" s="18">
        <f t="shared" si="3"/>
        <v>21904375078</v>
      </c>
    </row>
    <row r="133" spans="1:12" x14ac:dyDescent="0.35">
      <c r="A133" s="155" t="s">
        <v>547</v>
      </c>
      <c r="B133" s="155" t="s">
        <v>1225</v>
      </c>
      <c r="C133" s="121">
        <v>16</v>
      </c>
      <c r="D133" s="121">
        <v>2</v>
      </c>
      <c r="E133" s="121">
        <v>1</v>
      </c>
      <c r="F133" s="121">
        <v>1</v>
      </c>
      <c r="G133" s="121">
        <v>508221325</v>
      </c>
      <c r="H133" s="121">
        <v>2096806432</v>
      </c>
      <c r="I133" s="121">
        <v>20808728638</v>
      </c>
      <c r="J133" s="121">
        <v>42138290691</v>
      </c>
      <c r="K133" s="18">
        <f t="shared" si="2"/>
        <v>20</v>
      </c>
      <c r="L133" s="18">
        <f t="shared" si="3"/>
        <v>65552047086</v>
      </c>
    </row>
    <row r="134" spans="1:12" x14ac:dyDescent="0.35">
      <c r="A134" s="155" t="s">
        <v>548</v>
      </c>
      <c r="B134" s="155" t="s">
        <v>549</v>
      </c>
      <c r="C134" s="121">
        <v>573</v>
      </c>
      <c r="D134" s="121">
        <v>55</v>
      </c>
      <c r="E134" s="121">
        <v>6</v>
      </c>
      <c r="F134" s="121">
        <v>1</v>
      </c>
      <c r="G134" s="121">
        <v>28308350407</v>
      </c>
      <c r="H134" s="121">
        <v>92406149293</v>
      </c>
      <c r="I134" s="121">
        <v>54801040878</v>
      </c>
      <c r="J134" s="121">
        <v>41085922118</v>
      </c>
      <c r="K134" s="18">
        <f t="shared" ref="K134:K197" si="4">+SUM(C134:F134)</f>
        <v>635</v>
      </c>
      <c r="L134" s="18">
        <f t="shared" ref="L134:L197" si="5">+SUM(G134:J134)</f>
        <v>216601462696</v>
      </c>
    </row>
    <row r="135" spans="1:12" x14ac:dyDescent="0.35">
      <c r="A135" s="155" t="s">
        <v>550</v>
      </c>
      <c r="B135" s="155" t="s">
        <v>1226</v>
      </c>
      <c r="C135" s="121">
        <v>14</v>
      </c>
      <c r="D135" s="121">
        <v>3</v>
      </c>
      <c r="E135" s="121"/>
      <c r="F135" s="121"/>
      <c r="G135" s="121">
        <v>1139380944</v>
      </c>
      <c r="H135" s="121">
        <v>3691359416</v>
      </c>
      <c r="I135" s="121"/>
      <c r="J135" s="121"/>
      <c r="K135" s="18">
        <f t="shared" si="4"/>
        <v>17</v>
      </c>
      <c r="L135" s="18">
        <f t="shared" si="5"/>
        <v>4830740360</v>
      </c>
    </row>
    <row r="136" spans="1:12" x14ac:dyDescent="0.35">
      <c r="A136" s="155" t="s">
        <v>551</v>
      </c>
      <c r="B136" s="155" t="s">
        <v>552</v>
      </c>
      <c r="C136" s="121">
        <v>5</v>
      </c>
      <c r="D136" s="121"/>
      <c r="E136" s="121">
        <v>1</v>
      </c>
      <c r="F136" s="121"/>
      <c r="G136" s="121">
        <v>299104437</v>
      </c>
      <c r="H136" s="121"/>
      <c r="I136" s="121">
        <v>15428655901</v>
      </c>
      <c r="J136" s="121"/>
      <c r="K136" s="18">
        <f t="shared" si="4"/>
        <v>6</v>
      </c>
      <c r="L136" s="18">
        <f t="shared" si="5"/>
        <v>15727760338</v>
      </c>
    </row>
    <row r="137" spans="1:12" x14ac:dyDescent="0.35">
      <c r="A137" s="155" t="s">
        <v>553</v>
      </c>
      <c r="B137" s="155" t="s">
        <v>1370</v>
      </c>
      <c r="C137" s="121">
        <v>41</v>
      </c>
      <c r="D137" s="121">
        <v>5</v>
      </c>
      <c r="E137" s="121"/>
      <c r="F137" s="121">
        <v>2</v>
      </c>
      <c r="G137" s="121">
        <v>2718106806</v>
      </c>
      <c r="H137" s="121">
        <v>14887592650</v>
      </c>
      <c r="I137" s="121"/>
      <c r="J137" s="121">
        <v>143039706000</v>
      </c>
      <c r="K137" s="18">
        <f t="shared" si="4"/>
        <v>48</v>
      </c>
      <c r="L137" s="18">
        <f t="shared" si="5"/>
        <v>160645405456</v>
      </c>
    </row>
    <row r="138" spans="1:12" x14ac:dyDescent="0.35">
      <c r="A138" s="155" t="s">
        <v>554</v>
      </c>
      <c r="B138" s="155" t="s">
        <v>1371</v>
      </c>
      <c r="C138" s="121">
        <v>67</v>
      </c>
      <c r="D138" s="121">
        <v>11</v>
      </c>
      <c r="E138" s="121">
        <v>1</v>
      </c>
      <c r="F138" s="121"/>
      <c r="G138" s="121">
        <v>5982753528</v>
      </c>
      <c r="H138" s="121">
        <v>19102156878</v>
      </c>
      <c r="I138" s="121">
        <v>7927499699</v>
      </c>
      <c r="J138" s="121"/>
      <c r="K138" s="18">
        <f t="shared" si="4"/>
        <v>79</v>
      </c>
      <c r="L138" s="18">
        <f t="shared" si="5"/>
        <v>33012410105</v>
      </c>
    </row>
    <row r="139" spans="1:12" x14ac:dyDescent="0.35">
      <c r="A139" s="155" t="s">
        <v>555</v>
      </c>
      <c r="B139" s="155" t="s">
        <v>556</v>
      </c>
      <c r="C139" s="121">
        <v>22</v>
      </c>
      <c r="D139" s="121">
        <v>2</v>
      </c>
      <c r="E139" s="121"/>
      <c r="F139" s="121">
        <v>1</v>
      </c>
      <c r="G139" s="121">
        <v>141724000</v>
      </c>
      <c r="H139" s="121">
        <v>2045334775</v>
      </c>
      <c r="I139" s="121"/>
      <c r="J139" s="121">
        <v>47287346000</v>
      </c>
      <c r="K139" s="18">
        <f t="shared" si="4"/>
        <v>25</v>
      </c>
      <c r="L139" s="18">
        <f t="shared" si="5"/>
        <v>49474404775</v>
      </c>
    </row>
    <row r="140" spans="1:12" x14ac:dyDescent="0.35">
      <c r="A140" s="155" t="s">
        <v>557</v>
      </c>
      <c r="B140" s="155" t="s">
        <v>558</v>
      </c>
      <c r="C140" s="121">
        <v>274</v>
      </c>
      <c r="D140" s="121">
        <v>57</v>
      </c>
      <c r="E140" s="121">
        <v>8</v>
      </c>
      <c r="F140" s="121"/>
      <c r="G140" s="121">
        <v>23739463973</v>
      </c>
      <c r="H140" s="121">
        <v>116293578297</v>
      </c>
      <c r="I140" s="121">
        <v>106156391867</v>
      </c>
      <c r="J140" s="121"/>
      <c r="K140" s="18">
        <f t="shared" si="4"/>
        <v>339</v>
      </c>
      <c r="L140" s="18">
        <f t="shared" si="5"/>
        <v>246189434137</v>
      </c>
    </row>
    <row r="141" spans="1:12" x14ac:dyDescent="0.35">
      <c r="A141" s="155" t="s">
        <v>559</v>
      </c>
      <c r="B141" s="155" t="s">
        <v>560</v>
      </c>
      <c r="C141" s="121">
        <v>19</v>
      </c>
      <c r="D141" s="121">
        <v>3</v>
      </c>
      <c r="E141" s="121">
        <v>1</v>
      </c>
      <c r="F141" s="121"/>
      <c r="G141" s="121">
        <v>1651956292</v>
      </c>
      <c r="H141" s="121">
        <v>10346343405</v>
      </c>
      <c r="I141" s="121">
        <v>13285676294</v>
      </c>
      <c r="J141" s="121"/>
      <c r="K141" s="18">
        <f t="shared" si="4"/>
        <v>23</v>
      </c>
      <c r="L141" s="18">
        <f t="shared" si="5"/>
        <v>25283975991</v>
      </c>
    </row>
    <row r="142" spans="1:12" x14ac:dyDescent="0.35">
      <c r="A142" s="155" t="s">
        <v>561</v>
      </c>
      <c r="B142" s="155" t="s">
        <v>562</v>
      </c>
      <c r="C142" s="121">
        <v>3</v>
      </c>
      <c r="D142" s="121"/>
      <c r="E142" s="121"/>
      <c r="F142" s="121"/>
      <c r="G142" s="121">
        <v>57096230</v>
      </c>
      <c r="H142" s="121"/>
      <c r="I142" s="121"/>
      <c r="J142" s="121"/>
      <c r="K142" s="18">
        <f t="shared" si="4"/>
        <v>3</v>
      </c>
      <c r="L142" s="18">
        <f t="shared" si="5"/>
        <v>57096230</v>
      </c>
    </row>
    <row r="143" spans="1:12" x14ac:dyDescent="0.35">
      <c r="A143" s="155" t="s">
        <v>1324</v>
      </c>
      <c r="B143" s="155" t="s">
        <v>1325</v>
      </c>
      <c r="C143" s="121">
        <v>1</v>
      </c>
      <c r="D143" s="121"/>
      <c r="E143" s="121"/>
      <c r="F143" s="121"/>
      <c r="G143" s="121">
        <v>44764000</v>
      </c>
      <c r="H143" s="121"/>
      <c r="I143" s="121"/>
      <c r="J143" s="121"/>
      <c r="K143" s="18">
        <f t="shared" si="4"/>
        <v>1</v>
      </c>
      <c r="L143" s="18">
        <f t="shared" si="5"/>
        <v>44764000</v>
      </c>
    </row>
    <row r="144" spans="1:12" x14ac:dyDescent="0.35">
      <c r="A144" s="155" t="s">
        <v>563</v>
      </c>
      <c r="B144" s="155" t="s">
        <v>564</v>
      </c>
      <c r="C144" s="121">
        <v>3</v>
      </c>
      <c r="D144" s="121"/>
      <c r="E144" s="121"/>
      <c r="F144" s="121"/>
      <c r="G144" s="121">
        <v>165429406</v>
      </c>
      <c r="H144" s="121"/>
      <c r="I144" s="121"/>
      <c r="J144" s="121"/>
      <c r="K144" s="18">
        <f t="shared" si="4"/>
        <v>3</v>
      </c>
      <c r="L144" s="18">
        <f t="shared" si="5"/>
        <v>165429406</v>
      </c>
    </row>
    <row r="145" spans="1:12" x14ac:dyDescent="0.35">
      <c r="A145" s="155" t="s">
        <v>565</v>
      </c>
      <c r="B145" s="155" t="s">
        <v>566</v>
      </c>
      <c r="C145" s="121">
        <v>12</v>
      </c>
      <c r="D145" s="121">
        <v>3</v>
      </c>
      <c r="E145" s="121"/>
      <c r="F145" s="121"/>
      <c r="G145" s="121">
        <v>1701289834</v>
      </c>
      <c r="H145" s="121">
        <v>7700895437</v>
      </c>
      <c r="I145" s="121"/>
      <c r="J145" s="121"/>
      <c r="K145" s="18">
        <f t="shared" si="4"/>
        <v>15</v>
      </c>
      <c r="L145" s="18">
        <f t="shared" si="5"/>
        <v>9402185271</v>
      </c>
    </row>
    <row r="146" spans="1:12" x14ac:dyDescent="0.35">
      <c r="A146" s="155" t="s">
        <v>567</v>
      </c>
      <c r="B146" s="155" t="s">
        <v>568</v>
      </c>
      <c r="C146" s="121">
        <v>5</v>
      </c>
      <c r="D146" s="121"/>
      <c r="E146" s="121"/>
      <c r="F146" s="121"/>
      <c r="G146" s="121">
        <v>20183360</v>
      </c>
      <c r="H146" s="121"/>
      <c r="I146" s="121"/>
      <c r="J146" s="121"/>
      <c r="K146" s="18">
        <f t="shared" si="4"/>
        <v>5</v>
      </c>
      <c r="L146" s="18">
        <f t="shared" si="5"/>
        <v>20183360</v>
      </c>
    </row>
    <row r="147" spans="1:12" x14ac:dyDescent="0.35">
      <c r="A147" s="155" t="s">
        <v>569</v>
      </c>
      <c r="B147" s="155" t="s">
        <v>570</v>
      </c>
      <c r="C147" s="121">
        <v>6</v>
      </c>
      <c r="D147" s="121">
        <v>3</v>
      </c>
      <c r="E147" s="121"/>
      <c r="F147" s="121"/>
      <c r="G147" s="121">
        <v>647925274</v>
      </c>
      <c r="H147" s="121">
        <v>8135306298</v>
      </c>
      <c r="I147" s="121"/>
      <c r="J147" s="121"/>
      <c r="K147" s="18">
        <f t="shared" si="4"/>
        <v>9</v>
      </c>
      <c r="L147" s="18">
        <f t="shared" si="5"/>
        <v>8783231572</v>
      </c>
    </row>
    <row r="148" spans="1:12" x14ac:dyDescent="0.35">
      <c r="A148" s="155" t="s">
        <v>571</v>
      </c>
      <c r="B148" s="155" t="s">
        <v>572</v>
      </c>
      <c r="C148" s="121">
        <v>21</v>
      </c>
      <c r="D148" s="121"/>
      <c r="E148" s="121"/>
      <c r="F148" s="121"/>
      <c r="G148" s="121">
        <v>250811554</v>
      </c>
      <c r="H148" s="121"/>
      <c r="I148" s="121"/>
      <c r="J148" s="121"/>
      <c r="K148" s="18">
        <f t="shared" si="4"/>
        <v>21</v>
      </c>
      <c r="L148" s="18">
        <f t="shared" si="5"/>
        <v>250811554</v>
      </c>
    </row>
    <row r="149" spans="1:12" x14ac:dyDescent="0.35">
      <c r="A149" s="155" t="s">
        <v>573</v>
      </c>
      <c r="B149" s="155" t="s">
        <v>574</v>
      </c>
      <c r="C149" s="121">
        <v>10</v>
      </c>
      <c r="D149" s="121"/>
      <c r="E149" s="121">
        <v>1</v>
      </c>
      <c r="F149" s="121">
        <v>1</v>
      </c>
      <c r="G149" s="121">
        <v>1211342743</v>
      </c>
      <c r="H149" s="121"/>
      <c r="I149" s="121">
        <v>7038675000</v>
      </c>
      <c r="J149" s="121">
        <v>242846940448</v>
      </c>
      <c r="K149" s="18">
        <f t="shared" si="4"/>
        <v>12</v>
      </c>
      <c r="L149" s="18">
        <f t="shared" si="5"/>
        <v>251096958191</v>
      </c>
    </row>
    <row r="150" spans="1:12" x14ac:dyDescent="0.35">
      <c r="A150" s="155" t="s">
        <v>575</v>
      </c>
      <c r="B150" s="155" t="s">
        <v>576</v>
      </c>
      <c r="C150" s="121">
        <v>12</v>
      </c>
      <c r="D150" s="121">
        <v>2</v>
      </c>
      <c r="E150" s="121">
        <v>3</v>
      </c>
      <c r="F150" s="121"/>
      <c r="G150" s="121">
        <v>2476842801</v>
      </c>
      <c r="H150" s="121">
        <v>1932451207</v>
      </c>
      <c r="I150" s="121">
        <v>41494582025</v>
      </c>
      <c r="J150" s="121"/>
      <c r="K150" s="18">
        <f t="shared" si="4"/>
        <v>17</v>
      </c>
      <c r="L150" s="18">
        <f t="shared" si="5"/>
        <v>45903876033</v>
      </c>
    </row>
    <row r="151" spans="1:12" x14ac:dyDescent="0.35">
      <c r="A151" s="155" t="s">
        <v>577</v>
      </c>
      <c r="B151" s="155" t="s">
        <v>578</v>
      </c>
      <c r="C151" s="121">
        <v>1</v>
      </c>
      <c r="D151" s="121"/>
      <c r="E151" s="121"/>
      <c r="F151" s="121"/>
      <c r="G151" s="121">
        <v>1000000</v>
      </c>
      <c r="H151" s="121"/>
      <c r="I151" s="121"/>
      <c r="J151" s="121"/>
      <c r="K151" s="18">
        <f t="shared" si="4"/>
        <v>1</v>
      </c>
      <c r="L151" s="18">
        <f t="shared" si="5"/>
        <v>1000000</v>
      </c>
    </row>
    <row r="152" spans="1:12" x14ac:dyDescent="0.35">
      <c r="A152" s="155" t="s">
        <v>579</v>
      </c>
      <c r="B152" s="155" t="s">
        <v>580</v>
      </c>
      <c r="C152" s="121"/>
      <c r="D152" s="121">
        <v>1</v>
      </c>
      <c r="E152" s="121">
        <v>1</v>
      </c>
      <c r="F152" s="121"/>
      <c r="G152" s="121"/>
      <c r="H152" s="121">
        <v>4289942000</v>
      </c>
      <c r="I152" s="121">
        <v>28061488961</v>
      </c>
      <c r="J152" s="121"/>
      <c r="K152" s="18">
        <f t="shared" si="4"/>
        <v>2</v>
      </c>
      <c r="L152" s="18">
        <f t="shared" si="5"/>
        <v>32351430961</v>
      </c>
    </row>
    <row r="153" spans="1:12" x14ac:dyDescent="0.35">
      <c r="A153" s="155" t="s">
        <v>581</v>
      </c>
      <c r="B153" s="155" t="s">
        <v>582</v>
      </c>
      <c r="C153" s="121">
        <v>4</v>
      </c>
      <c r="D153" s="121"/>
      <c r="E153" s="121">
        <v>1</v>
      </c>
      <c r="F153" s="121"/>
      <c r="G153" s="121">
        <v>126437391</v>
      </c>
      <c r="H153" s="121"/>
      <c r="I153" s="121">
        <v>32369961003</v>
      </c>
      <c r="J153" s="121"/>
      <c r="K153" s="18">
        <f t="shared" si="4"/>
        <v>5</v>
      </c>
      <c r="L153" s="18">
        <f t="shared" si="5"/>
        <v>32496398394</v>
      </c>
    </row>
    <row r="154" spans="1:12" x14ac:dyDescent="0.35">
      <c r="A154" s="155" t="s">
        <v>583</v>
      </c>
      <c r="B154" s="155" t="s">
        <v>584</v>
      </c>
      <c r="C154" s="121">
        <v>16</v>
      </c>
      <c r="D154" s="121">
        <v>7</v>
      </c>
      <c r="E154" s="121"/>
      <c r="F154" s="121">
        <v>1</v>
      </c>
      <c r="G154" s="121">
        <v>2367407740</v>
      </c>
      <c r="H154" s="121">
        <v>17926990273</v>
      </c>
      <c r="I154" s="121"/>
      <c r="J154" s="121">
        <v>58266480000</v>
      </c>
      <c r="K154" s="18">
        <f t="shared" si="4"/>
        <v>24</v>
      </c>
      <c r="L154" s="18">
        <f t="shared" si="5"/>
        <v>78560878013</v>
      </c>
    </row>
    <row r="155" spans="1:12" x14ac:dyDescent="0.35">
      <c r="A155" s="155" t="s">
        <v>585</v>
      </c>
      <c r="B155" s="155" t="s">
        <v>586</v>
      </c>
      <c r="C155" s="121">
        <v>22</v>
      </c>
      <c r="D155" s="121">
        <v>4</v>
      </c>
      <c r="E155" s="121">
        <v>1</v>
      </c>
      <c r="F155" s="121">
        <v>3</v>
      </c>
      <c r="G155" s="121">
        <v>1231708651</v>
      </c>
      <c r="H155" s="121">
        <v>11565170671</v>
      </c>
      <c r="I155" s="121">
        <v>34873192862</v>
      </c>
      <c r="J155" s="121">
        <v>1379627816000</v>
      </c>
      <c r="K155" s="18">
        <f t="shared" si="4"/>
        <v>30</v>
      </c>
      <c r="L155" s="18">
        <f t="shared" si="5"/>
        <v>1427297888184</v>
      </c>
    </row>
    <row r="156" spans="1:12" x14ac:dyDescent="0.35">
      <c r="A156" s="155" t="s">
        <v>587</v>
      </c>
      <c r="B156" s="155" t="s">
        <v>588</v>
      </c>
      <c r="C156" s="121">
        <v>27</v>
      </c>
      <c r="D156" s="121">
        <v>9</v>
      </c>
      <c r="E156" s="121"/>
      <c r="F156" s="121"/>
      <c r="G156" s="121">
        <v>3123718330</v>
      </c>
      <c r="H156" s="121">
        <v>19113960688</v>
      </c>
      <c r="I156" s="121"/>
      <c r="J156" s="121"/>
      <c r="K156" s="18">
        <f t="shared" si="4"/>
        <v>36</v>
      </c>
      <c r="L156" s="18">
        <f t="shared" si="5"/>
        <v>22237679018</v>
      </c>
    </row>
    <row r="157" spans="1:12" x14ac:dyDescent="0.35">
      <c r="A157" s="155" t="s">
        <v>589</v>
      </c>
      <c r="B157" s="155" t="s">
        <v>590</v>
      </c>
      <c r="C157" s="121">
        <v>5</v>
      </c>
      <c r="D157" s="121"/>
      <c r="E157" s="121"/>
      <c r="F157" s="121"/>
      <c r="G157" s="121">
        <v>95927081</v>
      </c>
      <c r="H157" s="121"/>
      <c r="I157" s="121"/>
      <c r="J157" s="121"/>
      <c r="K157" s="18">
        <f t="shared" si="4"/>
        <v>5</v>
      </c>
      <c r="L157" s="18">
        <f t="shared" si="5"/>
        <v>95927081</v>
      </c>
    </row>
    <row r="158" spans="1:12" x14ac:dyDescent="0.35">
      <c r="A158" s="155" t="s">
        <v>591</v>
      </c>
      <c r="B158" s="155" t="s">
        <v>592</v>
      </c>
      <c r="C158" s="121">
        <v>8</v>
      </c>
      <c r="D158" s="121">
        <v>3</v>
      </c>
      <c r="E158" s="121"/>
      <c r="F158" s="121"/>
      <c r="G158" s="121">
        <v>705541011</v>
      </c>
      <c r="H158" s="121">
        <v>10923309315</v>
      </c>
      <c r="I158" s="121"/>
      <c r="J158" s="121"/>
      <c r="K158" s="18">
        <f t="shared" si="4"/>
        <v>11</v>
      </c>
      <c r="L158" s="18">
        <f t="shared" si="5"/>
        <v>11628850326</v>
      </c>
    </row>
    <row r="159" spans="1:12" x14ac:dyDescent="0.35">
      <c r="A159" s="155" t="s">
        <v>593</v>
      </c>
      <c r="B159" s="155" t="s">
        <v>594</v>
      </c>
      <c r="C159" s="121">
        <v>3</v>
      </c>
      <c r="D159" s="121">
        <v>1</v>
      </c>
      <c r="E159" s="121"/>
      <c r="F159" s="121"/>
      <c r="G159" s="121">
        <v>305321913</v>
      </c>
      <c r="H159" s="121">
        <v>667422000</v>
      </c>
      <c r="I159" s="121"/>
      <c r="J159" s="121"/>
      <c r="K159" s="18">
        <f t="shared" si="4"/>
        <v>4</v>
      </c>
      <c r="L159" s="18">
        <f t="shared" si="5"/>
        <v>972743913</v>
      </c>
    </row>
    <row r="160" spans="1:12" x14ac:dyDescent="0.35">
      <c r="A160" s="155" t="s">
        <v>595</v>
      </c>
      <c r="B160" s="155" t="s">
        <v>596</v>
      </c>
      <c r="C160" s="121">
        <v>5</v>
      </c>
      <c r="D160" s="121"/>
      <c r="E160" s="121"/>
      <c r="F160" s="121"/>
      <c r="G160" s="121">
        <v>436791000</v>
      </c>
      <c r="H160" s="121"/>
      <c r="I160" s="121"/>
      <c r="J160" s="121"/>
      <c r="K160" s="18">
        <f t="shared" si="4"/>
        <v>5</v>
      </c>
      <c r="L160" s="18">
        <f t="shared" si="5"/>
        <v>436791000</v>
      </c>
    </row>
    <row r="161" spans="1:12" x14ac:dyDescent="0.35">
      <c r="A161" s="155" t="s">
        <v>597</v>
      </c>
      <c r="B161" s="155" t="s">
        <v>598</v>
      </c>
      <c r="C161" s="121">
        <v>14</v>
      </c>
      <c r="D161" s="121">
        <v>2</v>
      </c>
      <c r="E161" s="121"/>
      <c r="F161" s="121"/>
      <c r="G161" s="121">
        <v>842766147</v>
      </c>
      <c r="H161" s="121">
        <v>3980451613</v>
      </c>
      <c r="I161" s="121"/>
      <c r="J161" s="121"/>
      <c r="K161" s="18">
        <f t="shared" si="4"/>
        <v>16</v>
      </c>
      <c r="L161" s="18">
        <f t="shared" si="5"/>
        <v>4823217760</v>
      </c>
    </row>
    <row r="162" spans="1:12" x14ac:dyDescent="0.35">
      <c r="A162" s="155" t="s">
        <v>599</v>
      </c>
      <c r="B162" s="155" t="s">
        <v>600</v>
      </c>
      <c r="C162" s="121">
        <v>10</v>
      </c>
      <c r="D162" s="121">
        <v>6</v>
      </c>
      <c r="E162" s="121">
        <v>1</v>
      </c>
      <c r="F162" s="121"/>
      <c r="G162" s="121">
        <v>677944914</v>
      </c>
      <c r="H162" s="121">
        <v>14481140714</v>
      </c>
      <c r="I162" s="121">
        <v>11238581941</v>
      </c>
      <c r="J162" s="121"/>
      <c r="K162" s="18">
        <f t="shared" si="4"/>
        <v>17</v>
      </c>
      <c r="L162" s="18">
        <f t="shared" si="5"/>
        <v>26397667569</v>
      </c>
    </row>
    <row r="163" spans="1:12" x14ac:dyDescent="0.35">
      <c r="A163" s="155" t="s">
        <v>601</v>
      </c>
      <c r="B163" s="155" t="s">
        <v>602</v>
      </c>
      <c r="C163" s="121">
        <v>4</v>
      </c>
      <c r="D163" s="121"/>
      <c r="E163" s="121"/>
      <c r="F163" s="121"/>
      <c r="G163" s="121">
        <v>24300000</v>
      </c>
      <c r="H163" s="121"/>
      <c r="I163" s="121"/>
      <c r="J163" s="121"/>
      <c r="K163" s="18">
        <f t="shared" si="4"/>
        <v>4</v>
      </c>
      <c r="L163" s="18">
        <f t="shared" si="5"/>
        <v>24300000</v>
      </c>
    </row>
    <row r="164" spans="1:12" x14ac:dyDescent="0.35">
      <c r="A164" s="155" t="s">
        <v>603</v>
      </c>
      <c r="B164" s="155" t="s">
        <v>604</v>
      </c>
      <c r="C164" s="121">
        <v>3</v>
      </c>
      <c r="D164" s="121"/>
      <c r="E164" s="121"/>
      <c r="F164" s="121"/>
      <c r="G164" s="121">
        <v>28700000</v>
      </c>
      <c r="H164" s="121"/>
      <c r="I164" s="121"/>
      <c r="J164" s="121"/>
      <c r="K164" s="18">
        <f t="shared" si="4"/>
        <v>3</v>
      </c>
      <c r="L164" s="18">
        <f t="shared" si="5"/>
        <v>28700000</v>
      </c>
    </row>
    <row r="165" spans="1:12" x14ac:dyDescent="0.35">
      <c r="A165" s="155" t="s">
        <v>605</v>
      </c>
      <c r="B165" s="155" t="s">
        <v>606</v>
      </c>
      <c r="C165" s="121">
        <v>65</v>
      </c>
      <c r="D165" s="121">
        <v>13</v>
      </c>
      <c r="E165" s="121"/>
      <c r="F165" s="121"/>
      <c r="G165" s="121">
        <v>4880708941</v>
      </c>
      <c r="H165" s="121">
        <v>26405299827</v>
      </c>
      <c r="I165" s="121"/>
      <c r="J165" s="121"/>
      <c r="K165" s="18">
        <f t="shared" si="4"/>
        <v>78</v>
      </c>
      <c r="L165" s="18">
        <f t="shared" si="5"/>
        <v>31286008768</v>
      </c>
    </row>
    <row r="166" spans="1:12" x14ac:dyDescent="0.35">
      <c r="A166" s="155" t="s">
        <v>607</v>
      </c>
      <c r="B166" s="155" t="s">
        <v>608</v>
      </c>
      <c r="C166" s="121">
        <v>11</v>
      </c>
      <c r="D166" s="121"/>
      <c r="E166" s="121">
        <v>1</v>
      </c>
      <c r="F166" s="121"/>
      <c r="G166" s="121">
        <v>1393130204</v>
      </c>
      <c r="H166" s="121"/>
      <c r="I166" s="121">
        <v>24520415198</v>
      </c>
      <c r="J166" s="121"/>
      <c r="K166" s="18">
        <f t="shared" si="4"/>
        <v>12</v>
      </c>
      <c r="L166" s="18">
        <f t="shared" si="5"/>
        <v>25913545402</v>
      </c>
    </row>
    <row r="167" spans="1:12" x14ac:dyDescent="0.35">
      <c r="A167" s="155" t="s">
        <v>609</v>
      </c>
      <c r="B167" s="155" t="s">
        <v>610</v>
      </c>
      <c r="C167" s="121">
        <v>9</v>
      </c>
      <c r="D167" s="121">
        <v>1</v>
      </c>
      <c r="E167" s="121"/>
      <c r="F167" s="121"/>
      <c r="G167" s="121">
        <v>805500135</v>
      </c>
      <c r="H167" s="121">
        <v>1966761528</v>
      </c>
      <c r="I167" s="121"/>
      <c r="J167" s="121"/>
      <c r="K167" s="18">
        <f t="shared" si="4"/>
        <v>10</v>
      </c>
      <c r="L167" s="18">
        <f t="shared" si="5"/>
        <v>2772261663</v>
      </c>
    </row>
    <row r="168" spans="1:12" x14ac:dyDescent="0.35">
      <c r="A168" s="155" t="s">
        <v>611</v>
      </c>
      <c r="B168" s="155" t="s">
        <v>612</v>
      </c>
      <c r="C168" s="121">
        <v>6</v>
      </c>
      <c r="D168" s="121"/>
      <c r="E168" s="121"/>
      <c r="F168" s="121"/>
      <c r="G168" s="121">
        <v>677876327</v>
      </c>
      <c r="H168" s="121"/>
      <c r="I168" s="121"/>
      <c r="J168" s="121"/>
      <c r="K168" s="18">
        <f t="shared" si="4"/>
        <v>6</v>
      </c>
      <c r="L168" s="18">
        <f t="shared" si="5"/>
        <v>677876327</v>
      </c>
    </row>
    <row r="169" spans="1:12" x14ac:dyDescent="0.35">
      <c r="A169" s="155" t="s">
        <v>613</v>
      </c>
      <c r="B169" s="155" t="s">
        <v>614</v>
      </c>
      <c r="C169" s="121">
        <v>7</v>
      </c>
      <c r="D169" s="121">
        <v>6</v>
      </c>
      <c r="E169" s="121"/>
      <c r="F169" s="121"/>
      <c r="G169" s="121">
        <v>1456973886</v>
      </c>
      <c r="H169" s="121">
        <v>11461335903</v>
      </c>
      <c r="I169" s="121"/>
      <c r="J169" s="121"/>
      <c r="K169" s="18">
        <f t="shared" si="4"/>
        <v>13</v>
      </c>
      <c r="L169" s="18">
        <f t="shared" si="5"/>
        <v>12918309789</v>
      </c>
    </row>
    <row r="170" spans="1:12" x14ac:dyDescent="0.35">
      <c r="A170" s="155" t="s">
        <v>615</v>
      </c>
      <c r="B170" s="155" t="s">
        <v>616</v>
      </c>
      <c r="C170" s="121">
        <v>11</v>
      </c>
      <c r="D170" s="121">
        <v>2</v>
      </c>
      <c r="E170" s="121"/>
      <c r="F170" s="121"/>
      <c r="G170" s="121">
        <v>1039753073</v>
      </c>
      <c r="H170" s="121">
        <v>2425449675</v>
      </c>
      <c r="I170" s="121"/>
      <c r="J170" s="121"/>
      <c r="K170" s="18">
        <f t="shared" si="4"/>
        <v>13</v>
      </c>
      <c r="L170" s="18">
        <f t="shared" si="5"/>
        <v>3465202748</v>
      </c>
    </row>
    <row r="171" spans="1:12" x14ac:dyDescent="0.35">
      <c r="A171" s="155" t="s">
        <v>617</v>
      </c>
      <c r="B171" s="155" t="s">
        <v>618</v>
      </c>
      <c r="C171" s="121">
        <v>10</v>
      </c>
      <c r="D171" s="121"/>
      <c r="E171" s="121"/>
      <c r="F171" s="121"/>
      <c r="G171" s="121">
        <v>466547161</v>
      </c>
      <c r="H171" s="121"/>
      <c r="I171" s="121"/>
      <c r="J171" s="121"/>
      <c r="K171" s="18">
        <f t="shared" si="4"/>
        <v>10</v>
      </c>
      <c r="L171" s="18">
        <f t="shared" si="5"/>
        <v>466547161</v>
      </c>
    </row>
    <row r="172" spans="1:12" x14ac:dyDescent="0.35">
      <c r="A172" s="155" t="s">
        <v>619</v>
      </c>
      <c r="B172" s="155" t="s">
        <v>620</v>
      </c>
      <c r="C172" s="121">
        <v>42</v>
      </c>
      <c r="D172" s="121">
        <v>5</v>
      </c>
      <c r="E172" s="121"/>
      <c r="F172" s="121"/>
      <c r="G172" s="121">
        <v>4074327055</v>
      </c>
      <c r="H172" s="121">
        <v>14229218218</v>
      </c>
      <c r="I172" s="121"/>
      <c r="J172" s="121"/>
      <c r="K172" s="18">
        <f t="shared" si="4"/>
        <v>47</v>
      </c>
      <c r="L172" s="18">
        <f t="shared" si="5"/>
        <v>18303545273</v>
      </c>
    </row>
    <row r="173" spans="1:12" x14ac:dyDescent="0.35">
      <c r="A173" s="155" t="s">
        <v>621</v>
      </c>
      <c r="B173" s="155" t="s">
        <v>622</v>
      </c>
      <c r="C173" s="121">
        <v>2</v>
      </c>
      <c r="D173" s="121">
        <v>2</v>
      </c>
      <c r="E173" s="121"/>
      <c r="F173" s="121"/>
      <c r="G173" s="121">
        <v>529547244</v>
      </c>
      <c r="H173" s="121">
        <v>3359830431</v>
      </c>
      <c r="I173" s="121"/>
      <c r="J173" s="121"/>
      <c r="K173" s="18">
        <f t="shared" si="4"/>
        <v>4</v>
      </c>
      <c r="L173" s="18">
        <f t="shared" si="5"/>
        <v>3889377675</v>
      </c>
    </row>
    <row r="174" spans="1:12" x14ac:dyDescent="0.35">
      <c r="A174" s="155" t="s">
        <v>623</v>
      </c>
      <c r="B174" s="155" t="s">
        <v>1372</v>
      </c>
      <c r="C174" s="121">
        <v>18</v>
      </c>
      <c r="D174" s="121">
        <v>6</v>
      </c>
      <c r="E174" s="121">
        <v>1</v>
      </c>
      <c r="F174" s="121"/>
      <c r="G174" s="121">
        <v>825805139</v>
      </c>
      <c r="H174" s="121">
        <v>11478967902</v>
      </c>
      <c r="I174" s="121">
        <v>26877744624</v>
      </c>
      <c r="J174" s="121"/>
      <c r="K174" s="18">
        <f t="shared" si="4"/>
        <v>25</v>
      </c>
      <c r="L174" s="18">
        <f t="shared" si="5"/>
        <v>39182517665</v>
      </c>
    </row>
    <row r="175" spans="1:12" x14ac:dyDescent="0.35">
      <c r="A175" s="155" t="s">
        <v>624</v>
      </c>
      <c r="B175" s="155" t="s">
        <v>625</v>
      </c>
      <c r="C175" s="121">
        <v>62</v>
      </c>
      <c r="D175" s="121">
        <v>21</v>
      </c>
      <c r="E175" s="121">
        <v>1</v>
      </c>
      <c r="F175" s="121">
        <v>1</v>
      </c>
      <c r="G175" s="121">
        <v>3810667093</v>
      </c>
      <c r="H175" s="121">
        <v>53588779315</v>
      </c>
      <c r="I175" s="121">
        <v>27297221084</v>
      </c>
      <c r="J175" s="121">
        <v>80657191000</v>
      </c>
      <c r="K175" s="18">
        <f t="shared" si="4"/>
        <v>85</v>
      </c>
      <c r="L175" s="18">
        <f t="shared" si="5"/>
        <v>165353858492</v>
      </c>
    </row>
    <row r="176" spans="1:12" x14ac:dyDescent="0.35">
      <c r="A176" s="155" t="s">
        <v>626</v>
      </c>
      <c r="B176" s="155" t="s">
        <v>627</v>
      </c>
      <c r="C176" s="121">
        <v>2</v>
      </c>
      <c r="D176" s="121"/>
      <c r="E176" s="121"/>
      <c r="F176" s="121"/>
      <c r="G176" s="121">
        <v>29000000</v>
      </c>
      <c r="H176" s="121"/>
      <c r="I176" s="121"/>
      <c r="J176" s="121"/>
      <c r="K176" s="18">
        <f t="shared" si="4"/>
        <v>2</v>
      </c>
      <c r="L176" s="18">
        <f t="shared" si="5"/>
        <v>29000000</v>
      </c>
    </row>
    <row r="177" spans="1:12" x14ac:dyDescent="0.35">
      <c r="A177" s="155" t="s">
        <v>628</v>
      </c>
      <c r="B177" s="155" t="s">
        <v>629</v>
      </c>
      <c r="C177" s="121">
        <v>1</v>
      </c>
      <c r="D177" s="121">
        <v>1</v>
      </c>
      <c r="E177" s="121"/>
      <c r="F177" s="121"/>
      <c r="G177" s="121">
        <v>1000000</v>
      </c>
      <c r="H177" s="121">
        <v>3618554759</v>
      </c>
      <c r="I177" s="121"/>
      <c r="J177" s="121"/>
      <c r="K177" s="18">
        <f t="shared" si="4"/>
        <v>2</v>
      </c>
      <c r="L177" s="18">
        <f t="shared" si="5"/>
        <v>3619554759</v>
      </c>
    </row>
    <row r="178" spans="1:12" x14ac:dyDescent="0.35">
      <c r="A178" s="155" t="s">
        <v>630</v>
      </c>
      <c r="B178" s="155" t="s">
        <v>631</v>
      </c>
      <c r="C178" s="121">
        <v>4</v>
      </c>
      <c r="D178" s="121"/>
      <c r="E178" s="121"/>
      <c r="F178" s="121"/>
      <c r="G178" s="121">
        <v>599000000</v>
      </c>
      <c r="H178" s="121"/>
      <c r="I178" s="121"/>
      <c r="J178" s="121"/>
      <c r="K178" s="18">
        <f t="shared" si="4"/>
        <v>4</v>
      </c>
      <c r="L178" s="18">
        <f t="shared" si="5"/>
        <v>599000000</v>
      </c>
    </row>
    <row r="179" spans="1:12" x14ac:dyDescent="0.35">
      <c r="A179" s="155" t="s">
        <v>632</v>
      </c>
      <c r="B179" s="155" t="s">
        <v>633</v>
      </c>
      <c r="C179" s="121">
        <v>4</v>
      </c>
      <c r="D179" s="121">
        <v>2</v>
      </c>
      <c r="E179" s="121"/>
      <c r="F179" s="121">
        <v>1</v>
      </c>
      <c r="G179" s="121">
        <v>520245864</v>
      </c>
      <c r="H179" s="121">
        <v>4133958299</v>
      </c>
      <c r="I179" s="121"/>
      <c r="J179" s="121">
        <v>1015250682000</v>
      </c>
      <c r="K179" s="18">
        <f t="shared" si="4"/>
        <v>7</v>
      </c>
      <c r="L179" s="18">
        <f t="shared" si="5"/>
        <v>1019904886163</v>
      </c>
    </row>
    <row r="180" spans="1:12" x14ac:dyDescent="0.35">
      <c r="A180" s="155" t="s">
        <v>634</v>
      </c>
      <c r="B180" s="155" t="s">
        <v>635</v>
      </c>
      <c r="C180" s="121">
        <v>15</v>
      </c>
      <c r="D180" s="121"/>
      <c r="E180" s="121"/>
      <c r="F180" s="121"/>
      <c r="G180" s="121">
        <v>509228446</v>
      </c>
      <c r="H180" s="121"/>
      <c r="I180" s="121"/>
      <c r="J180" s="121"/>
      <c r="K180" s="18">
        <f t="shared" si="4"/>
        <v>15</v>
      </c>
      <c r="L180" s="18">
        <f t="shared" si="5"/>
        <v>509228446</v>
      </c>
    </row>
    <row r="181" spans="1:12" x14ac:dyDescent="0.35">
      <c r="A181" s="155" t="s">
        <v>636</v>
      </c>
      <c r="B181" s="155" t="s">
        <v>637</v>
      </c>
      <c r="C181" s="121">
        <v>2</v>
      </c>
      <c r="D181" s="121">
        <v>1</v>
      </c>
      <c r="E181" s="121"/>
      <c r="F181" s="121"/>
      <c r="G181" s="121">
        <v>101380609</v>
      </c>
      <c r="H181" s="121">
        <v>3136050900</v>
      </c>
      <c r="I181" s="121"/>
      <c r="J181" s="121"/>
      <c r="K181" s="18">
        <f t="shared" si="4"/>
        <v>3</v>
      </c>
      <c r="L181" s="18">
        <f t="shared" si="5"/>
        <v>3237431509</v>
      </c>
    </row>
    <row r="182" spans="1:12" x14ac:dyDescent="0.35">
      <c r="A182" s="155" t="s">
        <v>638</v>
      </c>
      <c r="B182" s="155" t="s">
        <v>1227</v>
      </c>
      <c r="C182" s="121">
        <v>653</v>
      </c>
      <c r="D182" s="121">
        <v>52</v>
      </c>
      <c r="E182" s="121">
        <v>2</v>
      </c>
      <c r="F182" s="121"/>
      <c r="G182" s="121">
        <v>27544969627</v>
      </c>
      <c r="H182" s="121">
        <v>88254798717</v>
      </c>
      <c r="I182" s="121">
        <v>40327739902</v>
      </c>
      <c r="J182" s="121"/>
      <c r="K182" s="18">
        <f t="shared" si="4"/>
        <v>707</v>
      </c>
      <c r="L182" s="18">
        <f t="shared" si="5"/>
        <v>156127508246</v>
      </c>
    </row>
    <row r="183" spans="1:12" x14ac:dyDescent="0.35">
      <c r="A183" s="155" t="s">
        <v>639</v>
      </c>
      <c r="B183" s="155" t="s">
        <v>640</v>
      </c>
      <c r="C183" s="121">
        <v>98</v>
      </c>
      <c r="D183" s="121">
        <v>8</v>
      </c>
      <c r="E183" s="121">
        <v>1</v>
      </c>
      <c r="F183" s="121"/>
      <c r="G183" s="121">
        <v>4046985457</v>
      </c>
      <c r="H183" s="121">
        <v>13921131306</v>
      </c>
      <c r="I183" s="121">
        <v>28140875647</v>
      </c>
      <c r="J183" s="121"/>
      <c r="K183" s="18">
        <f t="shared" si="4"/>
        <v>107</v>
      </c>
      <c r="L183" s="18">
        <f t="shared" si="5"/>
        <v>46108992410</v>
      </c>
    </row>
    <row r="184" spans="1:12" x14ac:dyDescent="0.35">
      <c r="A184" s="155" t="s">
        <v>1373</v>
      </c>
      <c r="B184" s="155" t="s">
        <v>1374</v>
      </c>
      <c r="C184" s="121">
        <v>261</v>
      </c>
      <c r="D184" s="121">
        <v>10</v>
      </c>
      <c r="E184" s="121">
        <v>2</v>
      </c>
      <c r="F184" s="121"/>
      <c r="G184" s="121">
        <v>7650286408</v>
      </c>
      <c r="H184" s="121">
        <v>15959368761</v>
      </c>
      <c r="I184" s="121">
        <v>33132155673</v>
      </c>
      <c r="J184" s="121"/>
      <c r="K184" s="18">
        <f t="shared" si="4"/>
        <v>273</v>
      </c>
      <c r="L184" s="18">
        <f t="shared" si="5"/>
        <v>56741810842</v>
      </c>
    </row>
    <row r="185" spans="1:12" x14ac:dyDescent="0.35">
      <c r="A185" s="155" t="s">
        <v>1375</v>
      </c>
      <c r="B185" s="155" t="s">
        <v>1376</v>
      </c>
      <c r="C185" s="121">
        <v>130</v>
      </c>
      <c r="D185" s="121">
        <v>4</v>
      </c>
      <c r="E185" s="121"/>
      <c r="F185" s="121"/>
      <c r="G185" s="121">
        <v>4777978935</v>
      </c>
      <c r="H185" s="121">
        <v>4039509853</v>
      </c>
      <c r="I185" s="121"/>
      <c r="J185" s="121"/>
      <c r="K185" s="18">
        <f t="shared" si="4"/>
        <v>134</v>
      </c>
      <c r="L185" s="18">
        <f t="shared" si="5"/>
        <v>8817488788</v>
      </c>
    </row>
    <row r="186" spans="1:12" x14ac:dyDescent="0.35">
      <c r="A186" s="155" t="s">
        <v>641</v>
      </c>
      <c r="B186" s="155" t="s">
        <v>642</v>
      </c>
      <c r="C186" s="121">
        <v>9</v>
      </c>
      <c r="D186" s="121"/>
      <c r="E186" s="121"/>
      <c r="F186" s="121"/>
      <c r="G186" s="121">
        <v>153121000</v>
      </c>
      <c r="H186" s="121"/>
      <c r="I186" s="121"/>
      <c r="J186" s="121"/>
      <c r="K186" s="18">
        <f t="shared" si="4"/>
        <v>9</v>
      </c>
      <c r="L186" s="18">
        <f t="shared" si="5"/>
        <v>153121000</v>
      </c>
    </row>
    <row r="187" spans="1:12" x14ac:dyDescent="0.35">
      <c r="A187" s="155" t="s">
        <v>643</v>
      </c>
      <c r="B187" s="155" t="s">
        <v>644</v>
      </c>
      <c r="C187" s="121">
        <v>31</v>
      </c>
      <c r="D187" s="121">
        <v>1</v>
      </c>
      <c r="E187" s="121"/>
      <c r="F187" s="121"/>
      <c r="G187" s="121">
        <v>2875614592</v>
      </c>
      <c r="H187" s="121">
        <v>4352217647</v>
      </c>
      <c r="I187" s="121"/>
      <c r="J187" s="121"/>
      <c r="K187" s="18">
        <f t="shared" si="4"/>
        <v>32</v>
      </c>
      <c r="L187" s="18">
        <f t="shared" si="5"/>
        <v>7227832239</v>
      </c>
    </row>
    <row r="188" spans="1:12" x14ac:dyDescent="0.35">
      <c r="A188" s="155" t="s">
        <v>645</v>
      </c>
      <c r="B188" s="155" t="s">
        <v>646</v>
      </c>
      <c r="C188" s="121">
        <v>32</v>
      </c>
      <c r="D188" s="121">
        <v>2</v>
      </c>
      <c r="E188" s="121"/>
      <c r="F188" s="121"/>
      <c r="G188" s="121">
        <v>912115167</v>
      </c>
      <c r="H188" s="121">
        <v>3843448869</v>
      </c>
      <c r="I188" s="121"/>
      <c r="J188" s="121"/>
      <c r="K188" s="18">
        <f t="shared" si="4"/>
        <v>34</v>
      </c>
      <c r="L188" s="18">
        <f t="shared" si="5"/>
        <v>4755564036</v>
      </c>
    </row>
    <row r="189" spans="1:12" x14ac:dyDescent="0.35">
      <c r="A189" s="155" t="s">
        <v>647</v>
      </c>
      <c r="B189" s="155" t="s">
        <v>648</v>
      </c>
      <c r="C189" s="121">
        <v>227</v>
      </c>
      <c r="D189" s="121">
        <v>16</v>
      </c>
      <c r="E189" s="121">
        <v>1</v>
      </c>
      <c r="F189" s="121"/>
      <c r="G189" s="121">
        <v>11161887599</v>
      </c>
      <c r="H189" s="121">
        <v>30438080328</v>
      </c>
      <c r="I189" s="121">
        <v>26204456993</v>
      </c>
      <c r="J189" s="121"/>
      <c r="K189" s="18">
        <f t="shared" si="4"/>
        <v>244</v>
      </c>
      <c r="L189" s="18">
        <f t="shared" si="5"/>
        <v>67804424920</v>
      </c>
    </row>
    <row r="190" spans="1:12" x14ac:dyDescent="0.35">
      <c r="A190" s="155" t="s">
        <v>649</v>
      </c>
      <c r="B190" s="155" t="s">
        <v>650</v>
      </c>
      <c r="C190" s="121">
        <v>241</v>
      </c>
      <c r="D190" s="121">
        <v>44</v>
      </c>
      <c r="E190" s="121">
        <v>13</v>
      </c>
      <c r="F190" s="121">
        <v>2</v>
      </c>
      <c r="G190" s="121">
        <v>12706283026</v>
      </c>
      <c r="H190" s="121">
        <v>91092244754</v>
      </c>
      <c r="I190" s="121">
        <v>252793314759</v>
      </c>
      <c r="J190" s="121">
        <v>461389925000</v>
      </c>
      <c r="K190" s="18">
        <f t="shared" si="4"/>
        <v>300</v>
      </c>
      <c r="L190" s="18">
        <f t="shared" si="5"/>
        <v>817981767539</v>
      </c>
    </row>
    <row r="191" spans="1:12" x14ac:dyDescent="0.35">
      <c r="A191" s="155" t="s">
        <v>651</v>
      </c>
      <c r="B191" s="155" t="s">
        <v>652</v>
      </c>
      <c r="C191" s="121">
        <v>200</v>
      </c>
      <c r="D191" s="121">
        <v>5</v>
      </c>
      <c r="E191" s="121"/>
      <c r="F191" s="121"/>
      <c r="G191" s="121">
        <v>6709955169</v>
      </c>
      <c r="H191" s="121">
        <v>9517024231</v>
      </c>
      <c r="I191" s="121"/>
      <c r="J191" s="121"/>
      <c r="K191" s="18">
        <f t="shared" si="4"/>
        <v>205</v>
      </c>
      <c r="L191" s="18">
        <f t="shared" si="5"/>
        <v>16226979400</v>
      </c>
    </row>
    <row r="192" spans="1:12" x14ac:dyDescent="0.35">
      <c r="A192" s="155" t="s">
        <v>653</v>
      </c>
      <c r="B192" s="155" t="s">
        <v>654</v>
      </c>
      <c r="C192" s="121">
        <v>696</v>
      </c>
      <c r="D192" s="121">
        <v>63</v>
      </c>
      <c r="E192" s="121">
        <v>2</v>
      </c>
      <c r="F192" s="121"/>
      <c r="G192" s="121">
        <v>38384245815</v>
      </c>
      <c r="H192" s="121">
        <v>113049860622</v>
      </c>
      <c r="I192" s="121">
        <v>27171850745</v>
      </c>
      <c r="J192" s="121"/>
      <c r="K192" s="18">
        <f t="shared" si="4"/>
        <v>761</v>
      </c>
      <c r="L192" s="18">
        <f t="shared" si="5"/>
        <v>178605957182</v>
      </c>
    </row>
    <row r="193" spans="1:12" x14ac:dyDescent="0.35">
      <c r="A193" s="155" t="s">
        <v>655</v>
      </c>
      <c r="B193" s="155" t="s">
        <v>656</v>
      </c>
      <c r="C193" s="121">
        <v>94</v>
      </c>
      <c r="D193" s="121">
        <v>6</v>
      </c>
      <c r="E193" s="121"/>
      <c r="F193" s="121"/>
      <c r="G193" s="121">
        <v>5302092369</v>
      </c>
      <c r="H193" s="121">
        <v>8702857529</v>
      </c>
      <c r="I193" s="121"/>
      <c r="J193" s="121"/>
      <c r="K193" s="18">
        <f t="shared" si="4"/>
        <v>100</v>
      </c>
      <c r="L193" s="18">
        <f t="shared" si="5"/>
        <v>14004949898</v>
      </c>
    </row>
    <row r="194" spans="1:12" x14ac:dyDescent="0.35">
      <c r="A194" s="155" t="s">
        <v>657</v>
      </c>
      <c r="B194" s="155" t="s">
        <v>658</v>
      </c>
      <c r="C194" s="121">
        <v>148</v>
      </c>
      <c r="D194" s="121">
        <v>6</v>
      </c>
      <c r="E194" s="121">
        <v>1</v>
      </c>
      <c r="F194" s="121"/>
      <c r="G194" s="121">
        <v>6082347957</v>
      </c>
      <c r="H194" s="121">
        <v>8503142470</v>
      </c>
      <c r="I194" s="121">
        <v>13346019000</v>
      </c>
      <c r="J194" s="121"/>
      <c r="K194" s="18">
        <f t="shared" si="4"/>
        <v>155</v>
      </c>
      <c r="L194" s="18">
        <f t="shared" si="5"/>
        <v>27931509427</v>
      </c>
    </row>
    <row r="195" spans="1:12" x14ac:dyDescent="0.35">
      <c r="A195" s="155" t="s">
        <v>659</v>
      </c>
      <c r="B195" s="155" t="s">
        <v>660</v>
      </c>
      <c r="C195" s="121">
        <v>18</v>
      </c>
      <c r="D195" s="121">
        <v>8</v>
      </c>
      <c r="E195" s="121">
        <v>3</v>
      </c>
      <c r="F195" s="121"/>
      <c r="G195" s="121">
        <v>1214555184</v>
      </c>
      <c r="H195" s="121">
        <v>15363640294</v>
      </c>
      <c r="I195" s="121">
        <v>45187822787</v>
      </c>
      <c r="J195" s="121"/>
      <c r="K195" s="18">
        <f t="shared" si="4"/>
        <v>29</v>
      </c>
      <c r="L195" s="18">
        <f t="shared" si="5"/>
        <v>61766018265</v>
      </c>
    </row>
    <row r="196" spans="1:12" x14ac:dyDescent="0.35">
      <c r="A196" s="155" t="s">
        <v>661</v>
      </c>
      <c r="B196" s="155" t="s">
        <v>662</v>
      </c>
      <c r="C196" s="121">
        <v>87</v>
      </c>
      <c r="D196" s="121">
        <v>4</v>
      </c>
      <c r="E196" s="121">
        <v>1</v>
      </c>
      <c r="F196" s="121"/>
      <c r="G196" s="121">
        <v>4710559877</v>
      </c>
      <c r="H196" s="121">
        <v>8254459870</v>
      </c>
      <c r="I196" s="121">
        <v>6913881000</v>
      </c>
      <c r="J196" s="121"/>
      <c r="K196" s="18">
        <f t="shared" si="4"/>
        <v>92</v>
      </c>
      <c r="L196" s="18">
        <f t="shared" si="5"/>
        <v>19878900747</v>
      </c>
    </row>
    <row r="197" spans="1:12" x14ac:dyDescent="0.35">
      <c r="A197" s="155" t="s">
        <v>663</v>
      </c>
      <c r="B197" s="155" t="s">
        <v>1228</v>
      </c>
      <c r="C197" s="121">
        <v>57</v>
      </c>
      <c r="D197" s="121">
        <v>9</v>
      </c>
      <c r="E197" s="121">
        <v>1</v>
      </c>
      <c r="F197" s="121"/>
      <c r="G197" s="121">
        <v>2825170909</v>
      </c>
      <c r="H197" s="121">
        <v>15541560701</v>
      </c>
      <c r="I197" s="121">
        <v>7093828768</v>
      </c>
      <c r="J197" s="121"/>
      <c r="K197" s="18">
        <f t="shared" si="4"/>
        <v>67</v>
      </c>
      <c r="L197" s="18">
        <f t="shared" si="5"/>
        <v>25460560378</v>
      </c>
    </row>
    <row r="198" spans="1:12" x14ac:dyDescent="0.35">
      <c r="A198" s="155" t="s">
        <v>664</v>
      </c>
      <c r="B198" s="155" t="s">
        <v>665</v>
      </c>
      <c r="C198" s="121">
        <v>156</v>
      </c>
      <c r="D198" s="121">
        <v>26</v>
      </c>
      <c r="E198" s="121">
        <v>20</v>
      </c>
      <c r="F198" s="121">
        <v>23</v>
      </c>
      <c r="G198" s="121">
        <v>9018034086</v>
      </c>
      <c r="H198" s="121">
        <v>66308194447</v>
      </c>
      <c r="I198" s="121">
        <v>386099630214</v>
      </c>
      <c r="J198" s="121">
        <v>28893780400081</v>
      </c>
      <c r="K198" s="18">
        <f t="shared" ref="K198:K261" si="6">+SUM(C198:F198)</f>
        <v>225</v>
      </c>
      <c r="L198" s="18">
        <f t="shared" ref="L198:L261" si="7">+SUM(G198:J198)</f>
        <v>29355206258828</v>
      </c>
    </row>
    <row r="199" spans="1:12" x14ac:dyDescent="0.35">
      <c r="A199" s="155" t="s">
        <v>666</v>
      </c>
      <c r="B199" s="155" t="s">
        <v>667</v>
      </c>
      <c r="C199" s="121">
        <v>5</v>
      </c>
      <c r="D199" s="121">
        <v>2</v>
      </c>
      <c r="E199" s="121">
        <v>3</v>
      </c>
      <c r="F199" s="121">
        <v>3</v>
      </c>
      <c r="G199" s="121">
        <v>330319724</v>
      </c>
      <c r="H199" s="121">
        <v>3394680419</v>
      </c>
      <c r="I199" s="121">
        <v>56119234000</v>
      </c>
      <c r="J199" s="121">
        <v>25487395433354</v>
      </c>
      <c r="K199" s="18">
        <f t="shared" si="6"/>
        <v>13</v>
      </c>
      <c r="L199" s="18">
        <f t="shared" si="7"/>
        <v>25547239667497</v>
      </c>
    </row>
    <row r="200" spans="1:12" x14ac:dyDescent="0.35">
      <c r="A200" s="155" t="s">
        <v>668</v>
      </c>
      <c r="B200" s="155" t="s">
        <v>669</v>
      </c>
      <c r="C200" s="121">
        <v>2</v>
      </c>
      <c r="D200" s="121"/>
      <c r="E200" s="121"/>
      <c r="F200" s="121">
        <v>1</v>
      </c>
      <c r="G200" s="121">
        <v>13000000</v>
      </c>
      <c r="H200" s="121"/>
      <c r="I200" s="121"/>
      <c r="J200" s="121">
        <v>2139277714822</v>
      </c>
      <c r="K200" s="18">
        <f t="shared" si="6"/>
        <v>3</v>
      </c>
      <c r="L200" s="18">
        <f t="shared" si="7"/>
        <v>2139290714822</v>
      </c>
    </row>
    <row r="201" spans="1:12" x14ac:dyDescent="0.35">
      <c r="A201" s="155" t="s">
        <v>670</v>
      </c>
      <c r="B201" s="155" t="s">
        <v>671</v>
      </c>
      <c r="C201" s="121">
        <v>17</v>
      </c>
      <c r="D201" s="121">
        <v>6</v>
      </c>
      <c r="E201" s="121">
        <v>6</v>
      </c>
      <c r="F201" s="121">
        <v>2</v>
      </c>
      <c r="G201" s="121">
        <v>325231741</v>
      </c>
      <c r="H201" s="121">
        <v>14044307675</v>
      </c>
      <c r="I201" s="121">
        <v>122144053943</v>
      </c>
      <c r="J201" s="121">
        <v>271124744502</v>
      </c>
      <c r="K201" s="18">
        <f t="shared" si="6"/>
        <v>31</v>
      </c>
      <c r="L201" s="18">
        <f t="shared" si="7"/>
        <v>407638337861</v>
      </c>
    </row>
    <row r="202" spans="1:12" x14ac:dyDescent="0.35">
      <c r="A202" s="155" t="s">
        <v>672</v>
      </c>
      <c r="B202" s="155" t="s">
        <v>1377</v>
      </c>
      <c r="C202" s="121">
        <v>8</v>
      </c>
      <c r="D202" s="121">
        <v>2</v>
      </c>
      <c r="E202" s="121"/>
      <c r="F202" s="121"/>
      <c r="G202" s="121">
        <v>38630000</v>
      </c>
      <c r="H202" s="121">
        <v>2718921151</v>
      </c>
      <c r="I202" s="121"/>
      <c r="J202" s="121"/>
      <c r="K202" s="18">
        <f t="shared" si="6"/>
        <v>10</v>
      </c>
      <c r="L202" s="18">
        <f t="shared" si="7"/>
        <v>2757551151</v>
      </c>
    </row>
    <row r="203" spans="1:12" x14ac:dyDescent="0.35">
      <c r="A203" s="155" t="s">
        <v>673</v>
      </c>
      <c r="B203" s="155" t="s">
        <v>674</v>
      </c>
      <c r="C203" s="121">
        <v>7</v>
      </c>
      <c r="D203" s="121"/>
      <c r="E203" s="121"/>
      <c r="F203" s="121"/>
      <c r="G203" s="121">
        <v>680490769</v>
      </c>
      <c r="H203" s="121"/>
      <c r="I203" s="121"/>
      <c r="J203" s="121"/>
      <c r="K203" s="18">
        <f t="shared" si="6"/>
        <v>7</v>
      </c>
      <c r="L203" s="18">
        <f t="shared" si="7"/>
        <v>680490769</v>
      </c>
    </row>
    <row r="204" spans="1:12" x14ac:dyDescent="0.35">
      <c r="A204" s="155" t="s">
        <v>675</v>
      </c>
      <c r="B204" s="155" t="s">
        <v>154</v>
      </c>
      <c r="C204" s="121">
        <v>43</v>
      </c>
      <c r="D204" s="121">
        <v>26</v>
      </c>
      <c r="E204" s="121">
        <v>2</v>
      </c>
      <c r="F204" s="121"/>
      <c r="G204" s="121">
        <v>5349221887</v>
      </c>
      <c r="H204" s="121">
        <v>44252286319</v>
      </c>
      <c r="I204" s="121">
        <v>38601893290</v>
      </c>
      <c r="J204" s="121"/>
      <c r="K204" s="18">
        <f t="shared" si="6"/>
        <v>71</v>
      </c>
      <c r="L204" s="18">
        <f t="shared" si="7"/>
        <v>88203401496</v>
      </c>
    </row>
    <row r="205" spans="1:12" x14ac:dyDescent="0.35">
      <c r="A205" s="155" t="s">
        <v>676</v>
      </c>
      <c r="B205" s="155" t="s">
        <v>156</v>
      </c>
      <c r="C205" s="121">
        <v>27</v>
      </c>
      <c r="D205" s="121">
        <v>6</v>
      </c>
      <c r="E205" s="121"/>
      <c r="F205" s="121">
        <v>1</v>
      </c>
      <c r="G205" s="121">
        <v>3131549191</v>
      </c>
      <c r="H205" s="121">
        <v>14190581753</v>
      </c>
      <c r="I205" s="121"/>
      <c r="J205" s="121">
        <v>2935076655299</v>
      </c>
      <c r="K205" s="18">
        <f t="shared" si="6"/>
        <v>34</v>
      </c>
      <c r="L205" s="18">
        <f t="shared" si="7"/>
        <v>2952398786243</v>
      </c>
    </row>
    <row r="206" spans="1:12" x14ac:dyDescent="0.35">
      <c r="A206" s="155" t="s">
        <v>677</v>
      </c>
      <c r="B206" s="155" t="s">
        <v>678</v>
      </c>
      <c r="C206" s="121">
        <v>65</v>
      </c>
      <c r="D206" s="121">
        <v>14</v>
      </c>
      <c r="E206" s="121">
        <v>3</v>
      </c>
      <c r="F206" s="121">
        <v>1</v>
      </c>
      <c r="G206" s="121">
        <v>3247166706</v>
      </c>
      <c r="H206" s="121">
        <v>28075854507</v>
      </c>
      <c r="I206" s="121">
        <v>56392200155</v>
      </c>
      <c r="J206" s="121">
        <v>453416242345</v>
      </c>
      <c r="K206" s="18">
        <f t="shared" si="6"/>
        <v>83</v>
      </c>
      <c r="L206" s="18">
        <f t="shared" si="7"/>
        <v>541131463713</v>
      </c>
    </row>
    <row r="207" spans="1:12" x14ac:dyDescent="0.35">
      <c r="A207" s="155" t="s">
        <v>679</v>
      </c>
      <c r="B207" s="155" t="s">
        <v>680</v>
      </c>
      <c r="C207" s="121">
        <v>2</v>
      </c>
      <c r="D207" s="121">
        <v>1</v>
      </c>
      <c r="E207" s="121"/>
      <c r="F207" s="121"/>
      <c r="G207" s="121">
        <v>201000000</v>
      </c>
      <c r="H207" s="121">
        <v>2689792847</v>
      </c>
      <c r="I207" s="121"/>
      <c r="J207" s="121"/>
      <c r="K207" s="18">
        <f t="shared" si="6"/>
        <v>3</v>
      </c>
      <c r="L207" s="18">
        <f t="shared" si="7"/>
        <v>2890792847</v>
      </c>
    </row>
    <row r="208" spans="1:12" x14ac:dyDescent="0.35">
      <c r="A208" s="155" t="s">
        <v>681</v>
      </c>
      <c r="B208" s="155" t="s">
        <v>682</v>
      </c>
      <c r="C208" s="121">
        <v>18</v>
      </c>
      <c r="D208" s="121">
        <v>2</v>
      </c>
      <c r="E208" s="121">
        <v>3</v>
      </c>
      <c r="F208" s="121"/>
      <c r="G208" s="121">
        <v>1224800032</v>
      </c>
      <c r="H208" s="121">
        <v>2831386901</v>
      </c>
      <c r="I208" s="121">
        <v>40547670883</v>
      </c>
      <c r="J208" s="121"/>
      <c r="K208" s="18">
        <f t="shared" si="6"/>
        <v>23</v>
      </c>
      <c r="L208" s="18">
        <f t="shared" si="7"/>
        <v>44603857816</v>
      </c>
    </row>
    <row r="209" spans="1:12" x14ac:dyDescent="0.35">
      <c r="A209" s="155" t="s">
        <v>683</v>
      </c>
      <c r="B209" s="155" t="s">
        <v>684</v>
      </c>
      <c r="C209" s="121">
        <v>6</v>
      </c>
      <c r="D209" s="121"/>
      <c r="E209" s="121">
        <v>2</v>
      </c>
      <c r="F209" s="121"/>
      <c r="G209" s="121">
        <v>304942000</v>
      </c>
      <c r="H209" s="121"/>
      <c r="I209" s="121">
        <v>32083878972</v>
      </c>
      <c r="J209" s="121"/>
      <c r="K209" s="18">
        <f t="shared" si="6"/>
        <v>8</v>
      </c>
      <c r="L209" s="18">
        <f t="shared" si="7"/>
        <v>32388820972</v>
      </c>
    </row>
    <row r="210" spans="1:12" x14ac:dyDescent="0.35">
      <c r="A210" s="155" t="s">
        <v>685</v>
      </c>
      <c r="B210" s="155" t="s">
        <v>686</v>
      </c>
      <c r="C210" s="121">
        <v>333</v>
      </c>
      <c r="D210" s="121">
        <v>5</v>
      </c>
      <c r="E210" s="121"/>
      <c r="F210" s="121"/>
      <c r="G210" s="121">
        <v>5373933356</v>
      </c>
      <c r="H210" s="121">
        <v>7573677194</v>
      </c>
      <c r="I210" s="121"/>
      <c r="J210" s="121"/>
      <c r="K210" s="18">
        <f t="shared" si="6"/>
        <v>338</v>
      </c>
      <c r="L210" s="18">
        <f t="shared" si="7"/>
        <v>12947610550</v>
      </c>
    </row>
    <row r="211" spans="1:12" x14ac:dyDescent="0.35">
      <c r="A211" s="155" t="s">
        <v>687</v>
      </c>
      <c r="B211" s="155" t="s">
        <v>160</v>
      </c>
      <c r="C211" s="121">
        <v>36</v>
      </c>
      <c r="D211" s="121">
        <v>5</v>
      </c>
      <c r="E211" s="121"/>
      <c r="F211" s="121"/>
      <c r="G211" s="121">
        <v>4814420175</v>
      </c>
      <c r="H211" s="121">
        <v>7713181765</v>
      </c>
      <c r="I211" s="121"/>
      <c r="J211" s="121"/>
      <c r="K211" s="18">
        <f t="shared" si="6"/>
        <v>41</v>
      </c>
      <c r="L211" s="18">
        <f t="shared" si="7"/>
        <v>12527601940</v>
      </c>
    </row>
    <row r="212" spans="1:12" x14ac:dyDescent="0.35">
      <c r="A212" s="155" t="s">
        <v>688</v>
      </c>
      <c r="B212" s="155" t="s">
        <v>689</v>
      </c>
      <c r="C212" s="121">
        <v>1634</v>
      </c>
      <c r="D212" s="121">
        <v>287</v>
      </c>
      <c r="E212" s="121">
        <v>147</v>
      </c>
      <c r="F212" s="121">
        <v>62</v>
      </c>
      <c r="G212" s="121">
        <v>90339877135</v>
      </c>
      <c r="H212" s="121">
        <v>711400287470</v>
      </c>
      <c r="I212" s="121">
        <v>2548689167660</v>
      </c>
      <c r="J212" s="121">
        <v>10273827953396</v>
      </c>
      <c r="K212" s="18">
        <f t="shared" si="6"/>
        <v>2130</v>
      </c>
      <c r="L212" s="18">
        <f t="shared" si="7"/>
        <v>13624257285661</v>
      </c>
    </row>
    <row r="213" spans="1:12" x14ac:dyDescent="0.35">
      <c r="A213" s="155" t="s">
        <v>690</v>
      </c>
      <c r="B213" s="155" t="s">
        <v>691</v>
      </c>
      <c r="C213" s="121">
        <v>217</v>
      </c>
      <c r="D213" s="121">
        <v>60</v>
      </c>
      <c r="E213" s="121">
        <v>26</v>
      </c>
      <c r="F213" s="121">
        <v>5</v>
      </c>
      <c r="G213" s="121">
        <v>18076838061</v>
      </c>
      <c r="H213" s="121">
        <v>126182545069</v>
      </c>
      <c r="I213" s="121">
        <v>374330356458</v>
      </c>
      <c r="J213" s="121">
        <v>844801186698</v>
      </c>
      <c r="K213" s="18">
        <f t="shared" si="6"/>
        <v>308</v>
      </c>
      <c r="L213" s="18">
        <f t="shared" si="7"/>
        <v>1363390926286</v>
      </c>
    </row>
    <row r="214" spans="1:12" x14ac:dyDescent="0.35">
      <c r="A214" s="155" t="s">
        <v>692</v>
      </c>
      <c r="B214" s="155" t="s">
        <v>693</v>
      </c>
      <c r="C214" s="121">
        <v>72</v>
      </c>
      <c r="D214" s="121">
        <v>33</v>
      </c>
      <c r="E214" s="121">
        <v>12</v>
      </c>
      <c r="F214" s="121">
        <v>18</v>
      </c>
      <c r="G214" s="121">
        <v>8609892429</v>
      </c>
      <c r="H214" s="121">
        <v>65167065546</v>
      </c>
      <c r="I214" s="121">
        <v>186315890945</v>
      </c>
      <c r="J214" s="121">
        <v>12221091657474</v>
      </c>
      <c r="K214" s="18">
        <f t="shared" si="6"/>
        <v>135</v>
      </c>
      <c r="L214" s="18">
        <f t="shared" si="7"/>
        <v>12481184506394</v>
      </c>
    </row>
    <row r="215" spans="1:12" x14ac:dyDescent="0.35">
      <c r="A215" s="155" t="s">
        <v>694</v>
      </c>
      <c r="B215" s="155" t="s">
        <v>695</v>
      </c>
      <c r="C215" s="121">
        <v>70</v>
      </c>
      <c r="D215" s="121">
        <v>23</v>
      </c>
      <c r="E215" s="121">
        <v>7</v>
      </c>
      <c r="F215" s="121">
        <v>4</v>
      </c>
      <c r="G215" s="121">
        <v>8241104006</v>
      </c>
      <c r="H215" s="121">
        <v>58861361683</v>
      </c>
      <c r="I215" s="121">
        <v>121575834808</v>
      </c>
      <c r="J215" s="121">
        <v>287651461030</v>
      </c>
      <c r="K215" s="18">
        <f t="shared" si="6"/>
        <v>104</v>
      </c>
      <c r="L215" s="18">
        <f t="shared" si="7"/>
        <v>476329761527</v>
      </c>
    </row>
    <row r="216" spans="1:12" x14ac:dyDescent="0.35">
      <c r="A216" s="155" t="s">
        <v>696</v>
      </c>
      <c r="B216" s="155" t="s">
        <v>697</v>
      </c>
      <c r="C216" s="121">
        <v>1194</v>
      </c>
      <c r="D216" s="121">
        <v>386</v>
      </c>
      <c r="E216" s="121">
        <v>78</v>
      </c>
      <c r="F216" s="121">
        <v>16</v>
      </c>
      <c r="G216" s="121">
        <v>112526753160</v>
      </c>
      <c r="H216" s="121">
        <v>853415347390</v>
      </c>
      <c r="I216" s="121">
        <v>1111589861730</v>
      </c>
      <c r="J216" s="121">
        <v>6554300307755</v>
      </c>
      <c r="K216" s="18">
        <f t="shared" si="6"/>
        <v>1674</v>
      </c>
      <c r="L216" s="18">
        <f t="shared" si="7"/>
        <v>8631832270035</v>
      </c>
    </row>
    <row r="217" spans="1:12" x14ac:dyDescent="0.35">
      <c r="A217" s="155" t="s">
        <v>698</v>
      </c>
      <c r="B217" s="155" t="s">
        <v>699</v>
      </c>
      <c r="C217" s="121">
        <v>23</v>
      </c>
      <c r="D217" s="121">
        <v>1</v>
      </c>
      <c r="E217" s="121">
        <v>1</v>
      </c>
      <c r="F217" s="121"/>
      <c r="G217" s="121">
        <v>2431531609</v>
      </c>
      <c r="H217" s="121">
        <v>2268920000</v>
      </c>
      <c r="I217" s="121">
        <v>12855066957</v>
      </c>
      <c r="J217" s="121"/>
      <c r="K217" s="18">
        <f t="shared" si="6"/>
        <v>25</v>
      </c>
      <c r="L217" s="18">
        <f t="shared" si="7"/>
        <v>17555518566</v>
      </c>
    </row>
    <row r="218" spans="1:12" x14ac:dyDescent="0.35">
      <c r="A218" s="155" t="s">
        <v>700</v>
      </c>
      <c r="B218" s="155" t="s">
        <v>701</v>
      </c>
      <c r="C218" s="121">
        <v>108</v>
      </c>
      <c r="D218" s="121">
        <v>36</v>
      </c>
      <c r="E218" s="121">
        <v>7</v>
      </c>
      <c r="F218" s="121">
        <v>1</v>
      </c>
      <c r="G218" s="121">
        <v>9151821234</v>
      </c>
      <c r="H218" s="121">
        <v>92586557138</v>
      </c>
      <c r="I218" s="121">
        <v>86931394119</v>
      </c>
      <c r="J218" s="121">
        <v>56658435000</v>
      </c>
      <c r="K218" s="18">
        <f t="shared" si="6"/>
        <v>152</v>
      </c>
      <c r="L218" s="18">
        <f t="shared" si="7"/>
        <v>245328207491</v>
      </c>
    </row>
    <row r="219" spans="1:12" x14ac:dyDescent="0.35">
      <c r="A219" s="155" t="s">
        <v>702</v>
      </c>
      <c r="B219" s="155" t="s">
        <v>703</v>
      </c>
      <c r="C219" s="121">
        <v>739</v>
      </c>
      <c r="D219" s="121">
        <v>78</v>
      </c>
      <c r="E219" s="121">
        <v>9</v>
      </c>
      <c r="F219" s="121">
        <v>5</v>
      </c>
      <c r="G219" s="121">
        <v>45770562147</v>
      </c>
      <c r="H219" s="121">
        <v>166495806508</v>
      </c>
      <c r="I219" s="121">
        <v>117485555093</v>
      </c>
      <c r="J219" s="121">
        <v>456889202057</v>
      </c>
      <c r="K219" s="18">
        <f t="shared" si="6"/>
        <v>831</v>
      </c>
      <c r="L219" s="18">
        <f t="shared" si="7"/>
        <v>786641125805</v>
      </c>
    </row>
    <row r="220" spans="1:12" x14ac:dyDescent="0.35">
      <c r="A220" s="155" t="s">
        <v>704</v>
      </c>
      <c r="B220" s="155" t="s">
        <v>705</v>
      </c>
      <c r="C220" s="121">
        <v>376</v>
      </c>
      <c r="D220" s="121">
        <v>31</v>
      </c>
      <c r="E220" s="121">
        <v>1</v>
      </c>
      <c r="F220" s="121">
        <v>1</v>
      </c>
      <c r="G220" s="121">
        <v>19021981793</v>
      </c>
      <c r="H220" s="121">
        <v>65839232115</v>
      </c>
      <c r="I220" s="121">
        <v>10609556000</v>
      </c>
      <c r="J220" s="121">
        <v>39524284666</v>
      </c>
      <c r="K220" s="18">
        <f t="shared" si="6"/>
        <v>409</v>
      </c>
      <c r="L220" s="18">
        <f t="shared" si="7"/>
        <v>134995054574</v>
      </c>
    </row>
    <row r="221" spans="1:12" x14ac:dyDescent="0.35">
      <c r="A221" s="155" t="s">
        <v>706</v>
      </c>
      <c r="B221" s="155" t="s">
        <v>707</v>
      </c>
      <c r="C221" s="121">
        <v>155</v>
      </c>
      <c r="D221" s="121">
        <v>14</v>
      </c>
      <c r="E221" s="121">
        <v>1</v>
      </c>
      <c r="F221" s="121"/>
      <c r="G221" s="121">
        <v>9628132989</v>
      </c>
      <c r="H221" s="121">
        <v>26934810944</v>
      </c>
      <c r="I221" s="121">
        <v>12553847886</v>
      </c>
      <c r="J221" s="121"/>
      <c r="K221" s="18">
        <f t="shared" si="6"/>
        <v>170</v>
      </c>
      <c r="L221" s="18">
        <f t="shared" si="7"/>
        <v>49116791819</v>
      </c>
    </row>
    <row r="222" spans="1:12" x14ac:dyDescent="0.35">
      <c r="A222" s="155" t="s">
        <v>708</v>
      </c>
      <c r="B222" s="155" t="s">
        <v>709</v>
      </c>
      <c r="C222" s="121">
        <v>1353</v>
      </c>
      <c r="D222" s="121">
        <v>85</v>
      </c>
      <c r="E222" s="121">
        <v>2</v>
      </c>
      <c r="F222" s="121"/>
      <c r="G222" s="121">
        <v>58017859385</v>
      </c>
      <c r="H222" s="121">
        <v>142349847145</v>
      </c>
      <c r="I222" s="121">
        <v>17794995676</v>
      </c>
      <c r="J222" s="121"/>
      <c r="K222" s="18">
        <f t="shared" si="6"/>
        <v>1440</v>
      </c>
      <c r="L222" s="18">
        <f t="shared" si="7"/>
        <v>218162702206</v>
      </c>
    </row>
    <row r="223" spans="1:12" x14ac:dyDescent="0.35">
      <c r="A223" s="155" t="s">
        <v>710</v>
      </c>
      <c r="B223" s="155" t="s">
        <v>711</v>
      </c>
      <c r="C223" s="121">
        <v>545</v>
      </c>
      <c r="D223" s="121">
        <v>93</v>
      </c>
      <c r="E223" s="121">
        <v>23</v>
      </c>
      <c r="F223" s="121">
        <v>3</v>
      </c>
      <c r="G223" s="121">
        <v>41655738868</v>
      </c>
      <c r="H223" s="121">
        <v>203741974458</v>
      </c>
      <c r="I223" s="121">
        <v>322790282729</v>
      </c>
      <c r="J223" s="121">
        <v>213526821686</v>
      </c>
      <c r="K223" s="18">
        <f t="shared" si="6"/>
        <v>664</v>
      </c>
      <c r="L223" s="18">
        <f t="shared" si="7"/>
        <v>781714817741</v>
      </c>
    </row>
    <row r="224" spans="1:12" x14ac:dyDescent="0.35">
      <c r="A224" s="155" t="s">
        <v>712</v>
      </c>
      <c r="B224" s="155" t="s">
        <v>713</v>
      </c>
      <c r="C224" s="121">
        <v>72</v>
      </c>
      <c r="D224" s="121">
        <v>11</v>
      </c>
      <c r="E224" s="121">
        <v>8</v>
      </c>
      <c r="F224" s="121">
        <v>11</v>
      </c>
      <c r="G224" s="121">
        <v>5135986044</v>
      </c>
      <c r="H224" s="121">
        <v>22680936698</v>
      </c>
      <c r="I224" s="121">
        <v>173466800346</v>
      </c>
      <c r="J224" s="121">
        <v>2079821324190</v>
      </c>
      <c r="K224" s="18">
        <f t="shared" si="6"/>
        <v>102</v>
      </c>
      <c r="L224" s="18">
        <f t="shared" si="7"/>
        <v>2281105047278</v>
      </c>
    </row>
    <row r="225" spans="1:12" x14ac:dyDescent="0.35">
      <c r="A225" s="155" t="s">
        <v>714</v>
      </c>
      <c r="B225" s="155" t="s">
        <v>715</v>
      </c>
      <c r="C225" s="121">
        <v>473</v>
      </c>
      <c r="D225" s="121">
        <v>15</v>
      </c>
      <c r="E225" s="121">
        <v>3</v>
      </c>
      <c r="F225" s="121"/>
      <c r="G225" s="121">
        <v>19790686882</v>
      </c>
      <c r="H225" s="121">
        <v>32487453336</v>
      </c>
      <c r="I225" s="121">
        <v>32595578013</v>
      </c>
      <c r="J225" s="121"/>
      <c r="K225" s="18">
        <f t="shared" si="6"/>
        <v>491</v>
      </c>
      <c r="L225" s="18">
        <f t="shared" si="7"/>
        <v>84873718231</v>
      </c>
    </row>
    <row r="226" spans="1:12" x14ac:dyDescent="0.35">
      <c r="A226" s="155" t="s">
        <v>716</v>
      </c>
      <c r="B226" s="155" t="s">
        <v>717</v>
      </c>
      <c r="C226" s="121">
        <v>1930</v>
      </c>
      <c r="D226" s="121">
        <v>55</v>
      </c>
      <c r="E226" s="121">
        <v>10</v>
      </c>
      <c r="F226" s="121"/>
      <c r="G226" s="121">
        <v>56869071706</v>
      </c>
      <c r="H226" s="121">
        <v>102142091856</v>
      </c>
      <c r="I226" s="121">
        <v>135191534464</v>
      </c>
      <c r="J226" s="121"/>
      <c r="K226" s="18">
        <f t="shared" si="6"/>
        <v>1995</v>
      </c>
      <c r="L226" s="18">
        <f t="shared" si="7"/>
        <v>294202698026</v>
      </c>
    </row>
    <row r="227" spans="1:12" x14ac:dyDescent="0.35">
      <c r="A227" s="155" t="s">
        <v>718</v>
      </c>
      <c r="B227" s="155" t="s">
        <v>719</v>
      </c>
      <c r="C227" s="121">
        <v>1424</v>
      </c>
      <c r="D227" s="121">
        <v>234</v>
      </c>
      <c r="E227" s="121">
        <v>30</v>
      </c>
      <c r="F227" s="121">
        <v>11</v>
      </c>
      <c r="G227" s="121">
        <v>86474070024</v>
      </c>
      <c r="H227" s="121">
        <v>481453720138</v>
      </c>
      <c r="I227" s="121">
        <v>449394870686</v>
      </c>
      <c r="J227" s="121">
        <v>985302038500</v>
      </c>
      <c r="K227" s="18">
        <f t="shared" si="6"/>
        <v>1699</v>
      </c>
      <c r="L227" s="18">
        <f t="shared" si="7"/>
        <v>2002624699348</v>
      </c>
    </row>
    <row r="228" spans="1:12" x14ac:dyDescent="0.35">
      <c r="A228" s="155" t="s">
        <v>720</v>
      </c>
      <c r="B228" s="155" t="s">
        <v>721</v>
      </c>
      <c r="C228" s="121">
        <v>730</v>
      </c>
      <c r="D228" s="121">
        <v>70</v>
      </c>
      <c r="E228" s="121">
        <v>14</v>
      </c>
      <c r="F228" s="121">
        <v>4</v>
      </c>
      <c r="G228" s="121">
        <v>27392443148</v>
      </c>
      <c r="H228" s="121">
        <v>159626204522</v>
      </c>
      <c r="I228" s="121">
        <v>135194089464</v>
      </c>
      <c r="J228" s="121">
        <v>391453080574</v>
      </c>
      <c r="K228" s="18">
        <f t="shared" si="6"/>
        <v>818</v>
      </c>
      <c r="L228" s="18">
        <f t="shared" si="7"/>
        <v>713665817708</v>
      </c>
    </row>
    <row r="229" spans="1:12" x14ac:dyDescent="0.35">
      <c r="A229" s="155" t="s">
        <v>722</v>
      </c>
      <c r="B229" s="155" t="s">
        <v>723</v>
      </c>
      <c r="C229" s="121">
        <v>764</v>
      </c>
      <c r="D229" s="121">
        <v>7</v>
      </c>
      <c r="E229" s="121">
        <v>1</v>
      </c>
      <c r="F229" s="121"/>
      <c r="G229" s="121">
        <v>8967790183</v>
      </c>
      <c r="H229" s="121">
        <v>11930790188</v>
      </c>
      <c r="I229" s="121">
        <v>8415796354</v>
      </c>
      <c r="J229" s="121"/>
      <c r="K229" s="18">
        <f t="shared" si="6"/>
        <v>772</v>
      </c>
      <c r="L229" s="18">
        <f t="shared" si="7"/>
        <v>29314376725</v>
      </c>
    </row>
    <row r="230" spans="1:12" x14ac:dyDescent="0.35">
      <c r="A230" s="155" t="s">
        <v>724</v>
      </c>
      <c r="B230" s="155" t="s">
        <v>725</v>
      </c>
      <c r="C230" s="121">
        <v>243</v>
      </c>
      <c r="D230" s="121">
        <v>41</v>
      </c>
      <c r="E230" s="121">
        <v>4</v>
      </c>
      <c r="F230" s="121">
        <v>2</v>
      </c>
      <c r="G230" s="121">
        <v>17262527364</v>
      </c>
      <c r="H230" s="121">
        <v>84701858194</v>
      </c>
      <c r="I230" s="121">
        <v>71071595658</v>
      </c>
      <c r="J230" s="121">
        <v>600263060636</v>
      </c>
      <c r="K230" s="18">
        <f t="shared" si="6"/>
        <v>290</v>
      </c>
      <c r="L230" s="18">
        <f t="shared" si="7"/>
        <v>773299041852</v>
      </c>
    </row>
    <row r="231" spans="1:12" x14ac:dyDescent="0.35">
      <c r="A231" s="155" t="s">
        <v>726</v>
      </c>
      <c r="B231" s="155" t="s">
        <v>1378</v>
      </c>
      <c r="C231" s="121">
        <v>429</v>
      </c>
      <c r="D231" s="121">
        <v>65</v>
      </c>
      <c r="E231" s="121">
        <v>18</v>
      </c>
      <c r="F231" s="121">
        <v>6</v>
      </c>
      <c r="G231" s="121">
        <v>25647166142</v>
      </c>
      <c r="H231" s="121">
        <v>146179514195</v>
      </c>
      <c r="I231" s="121">
        <v>237761639358</v>
      </c>
      <c r="J231" s="121">
        <v>891012667402</v>
      </c>
      <c r="K231" s="18">
        <f t="shared" si="6"/>
        <v>518</v>
      </c>
      <c r="L231" s="18">
        <f t="shared" si="7"/>
        <v>1300600987097</v>
      </c>
    </row>
    <row r="232" spans="1:12" x14ac:dyDescent="0.35">
      <c r="A232" s="155" t="s">
        <v>727</v>
      </c>
      <c r="B232" s="155" t="s">
        <v>728</v>
      </c>
      <c r="C232" s="121">
        <v>686</v>
      </c>
      <c r="D232" s="121">
        <v>78</v>
      </c>
      <c r="E232" s="121">
        <v>20</v>
      </c>
      <c r="F232" s="121">
        <v>5</v>
      </c>
      <c r="G232" s="121">
        <v>48523691526</v>
      </c>
      <c r="H232" s="121">
        <v>162453847643</v>
      </c>
      <c r="I232" s="121">
        <v>249603496667</v>
      </c>
      <c r="J232" s="121">
        <v>1335602634330</v>
      </c>
      <c r="K232" s="18">
        <f t="shared" si="6"/>
        <v>789</v>
      </c>
      <c r="L232" s="18">
        <f t="shared" si="7"/>
        <v>1796183670166</v>
      </c>
    </row>
    <row r="233" spans="1:12" x14ac:dyDescent="0.35">
      <c r="A233" s="155" t="s">
        <v>729</v>
      </c>
      <c r="B233" s="155" t="s">
        <v>730</v>
      </c>
      <c r="C233" s="121">
        <v>154</v>
      </c>
      <c r="D233" s="121">
        <v>25</v>
      </c>
      <c r="E233" s="121">
        <v>4</v>
      </c>
      <c r="F233" s="121">
        <v>5</v>
      </c>
      <c r="G233" s="121">
        <v>9811641407</v>
      </c>
      <c r="H233" s="121">
        <v>40572431461</v>
      </c>
      <c r="I233" s="121">
        <v>55202084585</v>
      </c>
      <c r="J233" s="121">
        <v>1486225180698</v>
      </c>
      <c r="K233" s="18">
        <f t="shared" si="6"/>
        <v>188</v>
      </c>
      <c r="L233" s="18">
        <f t="shared" si="7"/>
        <v>1591811338151</v>
      </c>
    </row>
    <row r="234" spans="1:12" x14ac:dyDescent="0.35">
      <c r="A234" s="155" t="s">
        <v>731</v>
      </c>
      <c r="B234" s="155" t="s">
        <v>732</v>
      </c>
      <c r="C234" s="121">
        <v>238</v>
      </c>
      <c r="D234" s="121">
        <v>50</v>
      </c>
      <c r="E234" s="121">
        <v>14</v>
      </c>
      <c r="F234" s="121">
        <v>4</v>
      </c>
      <c r="G234" s="121">
        <v>18930439043</v>
      </c>
      <c r="H234" s="121">
        <v>118478780325</v>
      </c>
      <c r="I234" s="121">
        <v>231164081591</v>
      </c>
      <c r="J234" s="121">
        <v>678807979751</v>
      </c>
      <c r="K234" s="18">
        <f t="shared" si="6"/>
        <v>306</v>
      </c>
      <c r="L234" s="18">
        <f t="shared" si="7"/>
        <v>1047381280710</v>
      </c>
    </row>
    <row r="235" spans="1:12" x14ac:dyDescent="0.35">
      <c r="A235" s="155" t="s">
        <v>733</v>
      </c>
      <c r="B235" s="155" t="s">
        <v>734</v>
      </c>
      <c r="C235" s="121">
        <v>412</v>
      </c>
      <c r="D235" s="121">
        <v>33</v>
      </c>
      <c r="E235" s="121">
        <v>2</v>
      </c>
      <c r="F235" s="121">
        <v>2</v>
      </c>
      <c r="G235" s="121">
        <v>19285430441</v>
      </c>
      <c r="H235" s="121">
        <v>58931180771</v>
      </c>
      <c r="I235" s="121">
        <v>43045532572</v>
      </c>
      <c r="J235" s="121">
        <v>132185434897</v>
      </c>
      <c r="K235" s="18">
        <f t="shared" si="6"/>
        <v>449</v>
      </c>
      <c r="L235" s="18">
        <f t="shared" si="7"/>
        <v>253447578681</v>
      </c>
    </row>
    <row r="236" spans="1:12" x14ac:dyDescent="0.35">
      <c r="A236" s="155" t="s">
        <v>735</v>
      </c>
      <c r="B236" s="155" t="s">
        <v>736</v>
      </c>
      <c r="C236" s="121">
        <v>75</v>
      </c>
      <c r="D236" s="121">
        <v>17</v>
      </c>
      <c r="E236" s="121">
        <v>3</v>
      </c>
      <c r="F236" s="121">
        <v>2</v>
      </c>
      <c r="G236" s="121">
        <v>4525946611</v>
      </c>
      <c r="H236" s="121">
        <v>24293836873</v>
      </c>
      <c r="I236" s="121">
        <v>49326558460</v>
      </c>
      <c r="J236" s="121">
        <v>97539573474</v>
      </c>
      <c r="K236" s="18">
        <f t="shared" si="6"/>
        <v>97</v>
      </c>
      <c r="L236" s="18">
        <f t="shared" si="7"/>
        <v>175685915418</v>
      </c>
    </row>
    <row r="237" spans="1:12" x14ac:dyDescent="0.35">
      <c r="A237" s="155" t="s">
        <v>737</v>
      </c>
      <c r="B237" s="155" t="s">
        <v>738</v>
      </c>
      <c r="C237" s="121">
        <v>86</v>
      </c>
      <c r="D237" s="121">
        <v>13</v>
      </c>
      <c r="E237" s="121">
        <v>1</v>
      </c>
      <c r="F237" s="121">
        <v>2</v>
      </c>
      <c r="G237" s="121">
        <v>5510834731</v>
      </c>
      <c r="H237" s="121">
        <v>40425539270</v>
      </c>
      <c r="I237" s="121">
        <v>7933888304</v>
      </c>
      <c r="J237" s="121">
        <v>142827310587</v>
      </c>
      <c r="K237" s="18">
        <f t="shared" si="6"/>
        <v>102</v>
      </c>
      <c r="L237" s="18">
        <f t="shared" si="7"/>
        <v>196697572892</v>
      </c>
    </row>
    <row r="238" spans="1:12" x14ac:dyDescent="0.35">
      <c r="A238" s="155" t="s">
        <v>739</v>
      </c>
      <c r="B238" s="155" t="s">
        <v>740</v>
      </c>
      <c r="C238" s="121">
        <v>584</v>
      </c>
      <c r="D238" s="121">
        <v>119</v>
      </c>
      <c r="E238" s="121">
        <v>39</v>
      </c>
      <c r="F238" s="121">
        <v>9</v>
      </c>
      <c r="G238" s="121">
        <v>43841330839</v>
      </c>
      <c r="H238" s="121">
        <v>258662193728</v>
      </c>
      <c r="I238" s="121">
        <v>634138049735</v>
      </c>
      <c r="J238" s="121">
        <v>480426713040</v>
      </c>
      <c r="K238" s="18">
        <f t="shared" si="6"/>
        <v>751</v>
      </c>
      <c r="L238" s="18">
        <f t="shared" si="7"/>
        <v>1417068287342</v>
      </c>
    </row>
    <row r="239" spans="1:12" x14ac:dyDescent="0.35">
      <c r="A239" s="155" t="s">
        <v>741</v>
      </c>
      <c r="B239" s="155" t="s">
        <v>742</v>
      </c>
      <c r="C239" s="121">
        <v>195</v>
      </c>
      <c r="D239" s="121">
        <v>43</v>
      </c>
      <c r="E239" s="121">
        <v>5</v>
      </c>
      <c r="F239" s="121">
        <v>2</v>
      </c>
      <c r="G239" s="121">
        <v>18481453593</v>
      </c>
      <c r="H239" s="121">
        <v>92279559603</v>
      </c>
      <c r="I239" s="121">
        <v>96585756484</v>
      </c>
      <c r="J239" s="121">
        <v>171003257176</v>
      </c>
      <c r="K239" s="18">
        <f t="shared" si="6"/>
        <v>245</v>
      </c>
      <c r="L239" s="18">
        <f t="shared" si="7"/>
        <v>378350026856</v>
      </c>
    </row>
    <row r="240" spans="1:12" x14ac:dyDescent="0.35">
      <c r="A240" s="155" t="s">
        <v>743</v>
      </c>
      <c r="B240" s="155" t="s">
        <v>744</v>
      </c>
      <c r="C240" s="121">
        <v>80</v>
      </c>
      <c r="D240" s="121">
        <v>23</v>
      </c>
      <c r="E240" s="121">
        <v>7</v>
      </c>
      <c r="F240" s="121">
        <v>1</v>
      </c>
      <c r="G240" s="121">
        <v>6906959369</v>
      </c>
      <c r="H240" s="121">
        <v>51225649297</v>
      </c>
      <c r="I240" s="121">
        <v>123846545982</v>
      </c>
      <c r="J240" s="121">
        <v>42715421355</v>
      </c>
      <c r="K240" s="18">
        <f t="shared" si="6"/>
        <v>111</v>
      </c>
      <c r="L240" s="18">
        <f t="shared" si="7"/>
        <v>224694576003</v>
      </c>
    </row>
    <row r="241" spans="1:12" x14ac:dyDescent="0.35">
      <c r="A241" s="155" t="s">
        <v>745</v>
      </c>
      <c r="B241" s="155" t="s">
        <v>746</v>
      </c>
      <c r="C241" s="121">
        <v>202</v>
      </c>
      <c r="D241" s="121">
        <v>46</v>
      </c>
      <c r="E241" s="121">
        <v>12</v>
      </c>
      <c r="F241" s="121"/>
      <c r="G241" s="121">
        <v>16438812916</v>
      </c>
      <c r="H241" s="121">
        <v>101010662789</v>
      </c>
      <c r="I241" s="121">
        <v>146141285907</v>
      </c>
      <c r="J241" s="121"/>
      <c r="K241" s="18">
        <f t="shared" si="6"/>
        <v>260</v>
      </c>
      <c r="L241" s="18">
        <f t="shared" si="7"/>
        <v>263590761612</v>
      </c>
    </row>
    <row r="242" spans="1:12" x14ac:dyDescent="0.35">
      <c r="A242" s="155" t="s">
        <v>747</v>
      </c>
      <c r="B242" s="155" t="s">
        <v>748</v>
      </c>
      <c r="C242" s="121">
        <v>68</v>
      </c>
      <c r="D242" s="121">
        <v>20</v>
      </c>
      <c r="E242" s="121">
        <v>1</v>
      </c>
      <c r="F242" s="121"/>
      <c r="G242" s="121">
        <v>6099651900</v>
      </c>
      <c r="H242" s="121">
        <v>37925130000</v>
      </c>
      <c r="I242" s="121">
        <v>25236145143</v>
      </c>
      <c r="J242" s="121"/>
      <c r="K242" s="18">
        <f t="shared" si="6"/>
        <v>89</v>
      </c>
      <c r="L242" s="18">
        <f t="shared" si="7"/>
        <v>69260927043</v>
      </c>
    </row>
    <row r="243" spans="1:12" x14ac:dyDescent="0.35">
      <c r="A243" s="155" t="s">
        <v>749</v>
      </c>
      <c r="B243" s="155" t="s">
        <v>750</v>
      </c>
      <c r="C243" s="121">
        <v>351</v>
      </c>
      <c r="D243" s="121">
        <v>131</v>
      </c>
      <c r="E243" s="121">
        <v>31</v>
      </c>
      <c r="F243" s="121">
        <v>5</v>
      </c>
      <c r="G243" s="121">
        <v>42696559579</v>
      </c>
      <c r="H243" s="121">
        <v>309669411555</v>
      </c>
      <c r="I243" s="121">
        <v>453678722670</v>
      </c>
      <c r="J243" s="121">
        <v>451324055300</v>
      </c>
      <c r="K243" s="18">
        <f t="shared" si="6"/>
        <v>518</v>
      </c>
      <c r="L243" s="18">
        <f t="shared" si="7"/>
        <v>1257368749104</v>
      </c>
    </row>
    <row r="244" spans="1:12" x14ac:dyDescent="0.35">
      <c r="A244" s="155" t="s">
        <v>751</v>
      </c>
      <c r="B244" s="155" t="s">
        <v>752</v>
      </c>
      <c r="C244" s="121">
        <v>137</v>
      </c>
      <c r="D244" s="121">
        <v>25</v>
      </c>
      <c r="E244" s="121">
        <v>8</v>
      </c>
      <c r="F244" s="121">
        <v>2</v>
      </c>
      <c r="G244" s="121">
        <v>7199345550</v>
      </c>
      <c r="H244" s="121">
        <v>68184481031</v>
      </c>
      <c r="I244" s="121">
        <v>139210931869</v>
      </c>
      <c r="J244" s="121">
        <v>237517955629</v>
      </c>
      <c r="K244" s="18">
        <f t="shared" si="6"/>
        <v>172</v>
      </c>
      <c r="L244" s="18">
        <f t="shared" si="7"/>
        <v>452112714079</v>
      </c>
    </row>
    <row r="245" spans="1:12" x14ac:dyDescent="0.35">
      <c r="A245" s="155" t="s">
        <v>753</v>
      </c>
      <c r="B245" s="155" t="s">
        <v>754</v>
      </c>
      <c r="C245" s="121">
        <v>249</v>
      </c>
      <c r="D245" s="121">
        <v>110</v>
      </c>
      <c r="E245" s="121">
        <v>13</v>
      </c>
      <c r="F245" s="121"/>
      <c r="G245" s="121">
        <v>43445131581</v>
      </c>
      <c r="H245" s="121">
        <v>226322358185</v>
      </c>
      <c r="I245" s="121">
        <v>258045586278</v>
      </c>
      <c r="J245" s="121"/>
      <c r="K245" s="18">
        <f t="shared" si="6"/>
        <v>372</v>
      </c>
      <c r="L245" s="18">
        <f t="shared" si="7"/>
        <v>527813076044</v>
      </c>
    </row>
    <row r="246" spans="1:12" x14ac:dyDescent="0.35">
      <c r="A246" s="155" t="s">
        <v>755</v>
      </c>
      <c r="B246" s="155" t="s">
        <v>756</v>
      </c>
      <c r="C246" s="121">
        <v>603</v>
      </c>
      <c r="D246" s="121">
        <v>167</v>
      </c>
      <c r="E246" s="121">
        <v>37</v>
      </c>
      <c r="F246" s="121">
        <v>5</v>
      </c>
      <c r="G246" s="121">
        <v>54007024994</v>
      </c>
      <c r="H246" s="121">
        <v>400944035121</v>
      </c>
      <c r="I246" s="121">
        <v>498455503698</v>
      </c>
      <c r="J246" s="121">
        <v>494355813380</v>
      </c>
      <c r="K246" s="18">
        <f t="shared" si="6"/>
        <v>812</v>
      </c>
      <c r="L246" s="18">
        <f t="shared" si="7"/>
        <v>1447762377193</v>
      </c>
    </row>
    <row r="247" spans="1:12" x14ac:dyDescent="0.35">
      <c r="A247" s="155" t="s">
        <v>757</v>
      </c>
      <c r="B247" s="155" t="s">
        <v>758</v>
      </c>
      <c r="C247" s="121">
        <v>159</v>
      </c>
      <c r="D247" s="121">
        <v>39</v>
      </c>
      <c r="E247" s="121">
        <v>13</v>
      </c>
      <c r="F247" s="121">
        <v>5</v>
      </c>
      <c r="G247" s="121">
        <v>12093020010</v>
      </c>
      <c r="H247" s="121">
        <v>85913778438</v>
      </c>
      <c r="I247" s="121">
        <v>270172591251</v>
      </c>
      <c r="J247" s="121">
        <v>475759379368</v>
      </c>
      <c r="K247" s="18">
        <f t="shared" si="6"/>
        <v>216</v>
      </c>
      <c r="L247" s="18">
        <f t="shared" si="7"/>
        <v>843938769067</v>
      </c>
    </row>
    <row r="248" spans="1:12" x14ac:dyDescent="0.35">
      <c r="A248" s="155" t="s">
        <v>759</v>
      </c>
      <c r="B248" s="155" t="s">
        <v>760</v>
      </c>
      <c r="C248" s="121">
        <v>173</v>
      </c>
      <c r="D248" s="121">
        <v>17</v>
      </c>
      <c r="E248" s="121">
        <v>4</v>
      </c>
      <c r="F248" s="121">
        <v>1</v>
      </c>
      <c r="G248" s="121">
        <v>7075668775</v>
      </c>
      <c r="H248" s="121">
        <v>37204928048</v>
      </c>
      <c r="I248" s="121">
        <v>89133289893</v>
      </c>
      <c r="J248" s="121">
        <v>40415132805</v>
      </c>
      <c r="K248" s="18">
        <f t="shared" si="6"/>
        <v>195</v>
      </c>
      <c r="L248" s="18">
        <f t="shared" si="7"/>
        <v>173829019521</v>
      </c>
    </row>
    <row r="249" spans="1:12" x14ac:dyDescent="0.35">
      <c r="A249" s="155" t="s">
        <v>761</v>
      </c>
      <c r="B249" s="155" t="s">
        <v>762</v>
      </c>
      <c r="C249" s="121">
        <v>348</v>
      </c>
      <c r="D249" s="121">
        <v>67</v>
      </c>
      <c r="E249" s="121">
        <v>14</v>
      </c>
      <c r="F249" s="121">
        <v>3</v>
      </c>
      <c r="G249" s="121">
        <v>27324110462</v>
      </c>
      <c r="H249" s="121">
        <v>113851601033</v>
      </c>
      <c r="I249" s="121">
        <v>247399555857</v>
      </c>
      <c r="J249" s="121">
        <v>209482319081</v>
      </c>
      <c r="K249" s="18">
        <f t="shared" si="6"/>
        <v>432</v>
      </c>
      <c r="L249" s="18">
        <f t="shared" si="7"/>
        <v>598057586433</v>
      </c>
    </row>
    <row r="250" spans="1:12" x14ac:dyDescent="0.35">
      <c r="A250" s="155" t="s">
        <v>763</v>
      </c>
      <c r="B250" s="155" t="s">
        <v>764</v>
      </c>
      <c r="C250" s="121">
        <v>692</v>
      </c>
      <c r="D250" s="121">
        <v>179</v>
      </c>
      <c r="E250" s="121">
        <v>49</v>
      </c>
      <c r="F250" s="121">
        <v>8</v>
      </c>
      <c r="G250" s="121">
        <v>58209387315</v>
      </c>
      <c r="H250" s="121">
        <v>369496569770</v>
      </c>
      <c r="I250" s="121">
        <v>712908180952</v>
      </c>
      <c r="J250" s="121">
        <v>1626513356781</v>
      </c>
      <c r="K250" s="18">
        <f t="shared" si="6"/>
        <v>928</v>
      </c>
      <c r="L250" s="18">
        <f t="shared" si="7"/>
        <v>2767127494818</v>
      </c>
    </row>
    <row r="251" spans="1:12" x14ac:dyDescent="0.35">
      <c r="A251" s="155" t="s">
        <v>765</v>
      </c>
      <c r="B251" s="155" t="s">
        <v>1229</v>
      </c>
      <c r="C251" s="121">
        <v>8889</v>
      </c>
      <c r="D251" s="121">
        <v>80</v>
      </c>
      <c r="E251" s="121">
        <v>10</v>
      </c>
      <c r="F251" s="121">
        <v>2</v>
      </c>
      <c r="G251" s="121">
        <v>91701932771</v>
      </c>
      <c r="H251" s="121">
        <v>162439844862</v>
      </c>
      <c r="I251" s="121">
        <v>121982390959</v>
      </c>
      <c r="J251" s="121">
        <v>244364569088</v>
      </c>
      <c r="K251" s="18">
        <f t="shared" si="6"/>
        <v>8981</v>
      </c>
      <c r="L251" s="18">
        <f t="shared" si="7"/>
        <v>620488737680</v>
      </c>
    </row>
    <row r="252" spans="1:12" x14ac:dyDescent="0.35">
      <c r="A252" s="155" t="s">
        <v>766</v>
      </c>
      <c r="B252" s="155" t="s">
        <v>1230</v>
      </c>
      <c r="C252" s="121">
        <v>3758</v>
      </c>
      <c r="D252" s="121">
        <v>82</v>
      </c>
      <c r="E252" s="121">
        <v>9</v>
      </c>
      <c r="F252" s="121">
        <v>1</v>
      </c>
      <c r="G252" s="121">
        <v>69099842842</v>
      </c>
      <c r="H252" s="121">
        <v>148108939329</v>
      </c>
      <c r="I252" s="121">
        <v>121781793042</v>
      </c>
      <c r="J252" s="121">
        <v>435470183000</v>
      </c>
      <c r="K252" s="18">
        <f t="shared" si="6"/>
        <v>3850</v>
      </c>
      <c r="L252" s="18">
        <f t="shared" si="7"/>
        <v>774460758213</v>
      </c>
    </row>
    <row r="253" spans="1:12" x14ac:dyDescent="0.35">
      <c r="A253" s="155" t="s">
        <v>767</v>
      </c>
      <c r="B253" s="155" t="s">
        <v>768</v>
      </c>
      <c r="C253" s="121">
        <v>1017</v>
      </c>
      <c r="D253" s="121">
        <v>21</v>
      </c>
      <c r="E253" s="121">
        <v>2</v>
      </c>
      <c r="F253" s="121"/>
      <c r="G253" s="121">
        <v>17177436164</v>
      </c>
      <c r="H253" s="121">
        <v>32091177535</v>
      </c>
      <c r="I253" s="121">
        <v>13720967193</v>
      </c>
      <c r="J253" s="121"/>
      <c r="K253" s="18">
        <f t="shared" si="6"/>
        <v>1040</v>
      </c>
      <c r="L253" s="18">
        <f t="shared" si="7"/>
        <v>62989580892</v>
      </c>
    </row>
    <row r="254" spans="1:12" x14ac:dyDescent="0.35">
      <c r="A254" s="155" t="s">
        <v>769</v>
      </c>
      <c r="B254" s="155" t="s">
        <v>770</v>
      </c>
      <c r="C254" s="121">
        <v>325</v>
      </c>
      <c r="D254" s="121">
        <v>22</v>
      </c>
      <c r="E254" s="121">
        <v>1</v>
      </c>
      <c r="F254" s="121">
        <v>1</v>
      </c>
      <c r="G254" s="121">
        <v>9097906930</v>
      </c>
      <c r="H254" s="121">
        <v>38229142105</v>
      </c>
      <c r="I254" s="121">
        <v>13184386000</v>
      </c>
      <c r="J254" s="121">
        <v>48236517000</v>
      </c>
      <c r="K254" s="18">
        <f t="shared" si="6"/>
        <v>349</v>
      </c>
      <c r="L254" s="18">
        <f t="shared" si="7"/>
        <v>108747952035</v>
      </c>
    </row>
    <row r="255" spans="1:12" x14ac:dyDescent="0.35">
      <c r="A255" s="155" t="s">
        <v>771</v>
      </c>
      <c r="B255" s="155" t="s">
        <v>772</v>
      </c>
      <c r="C255" s="121">
        <v>1392</v>
      </c>
      <c r="D255" s="121">
        <v>41</v>
      </c>
      <c r="E255" s="121">
        <v>3</v>
      </c>
      <c r="F255" s="121">
        <v>1</v>
      </c>
      <c r="G255" s="121">
        <v>36006717184</v>
      </c>
      <c r="H255" s="121">
        <v>78490254690</v>
      </c>
      <c r="I255" s="121">
        <v>24934775098</v>
      </c>
      <c r="J255" s="121">
        <v>176075151209</v>
      </c>
      <c r="K255" s="18">
        <f t="shared" si="6"/>
        <v>1437</v>
      </c>
      <c r="L255" s="18">
        <f t="shared" si="7"/>
        <v>315506898181</v>
      </c>
    </row>
    <row r="256" spans="1:12" x14ac:dyDescent="0.35">
      <c r="A256" s="155" t="s">
        <v>773</v>
      </c>
      <c r="B256" s="155" t="s">
        <v>774</v>
      </c>
      <c r="C256" s="121">
        <v>1328</v>
      </c>
      <c r="D256" s="121">
        <v>9</v>
      </c>
      <c r="E256" s="121"/>
      <c r="F256" s="121"/>
      <c r="G256" s="121">
        <v>10350064391</v>
      </c>
      <c r="H256" s="121">
        <v>16207317098</v>
      </c>
      <c r="I256" s="121"/>
      <c r="J256" s="121"/>
      <c r="K256" s="18">
        <f t="shared" si="6"/>
        <v>1337</v>
      </c>
      <c r="L256" s="18">
        <f t="shared" si="7"/>
        <v>26557381489</v>
      </c>
    </row>
    <row r="257" spans="1:12" x14ac:dyDescent="0.35">
      <c r="A257" s="155" t="s">
        <v>775</v>
      </c>
      <c r="B257" s="155" t="s">
        <v>776</v>
      </c>
      <c r="C257" s="121">
        <v>997</v>
      </c>
      <c r="D257" s="121">
        <v>32</v>
      </c>
      <c r="E257" s="121">
        <v>2</v>
      </c>
      <c r="F257" s="121"/>
      <c r="G257" s="121">
        <v>20335718485</v>
      </c>
      <c r="H257" s="121">
        <v>52803750422</v>
      </c>
      <c r="I257" s="121">
        <v>18707991010</v>
      </c>
      <c r="J257" s="121"/>
      <c r="K257" s="18">
        <f t="shared" si="6"/>
        <v>1031</v>
      </c>
      <c r="L257" s="18">
        <f t="shared" si="7"/>
        <v>91847459917</v>
      </c>
    </row>
    <row r="258" spans="1:12" x14ac:dyDescent="0.35">
      <c r="A258" s="155" t="s">
        <v>777</v>
      </c>
      <c r="B258" s="155" t="s">
        <v>778</v>
      </c>
      <c r="C258" s="121">
        <v>139</v>
      </c>
      <c r="D258" s="121">
        <v>102</v>
      </c>
      <c r="E258" s="121">
        <v>35</v>
      </c>
      <c r="F258" s="121">
        <v>4</v>
      </c>
      <c r="G258" s="121">
        <v>15474946244</v>
      </c>
      <c r="H258" s="121">
        <v>228623320986</v>
      </c>
      <c r="I258" s="121">
        <v>456215782777</v>
      </c>
      <c r="J258" s="121">
        <v>1884075977172</v>
      </c>
      <c r="K258" s="18">
        <f t="shared" si="6"/>
        <v>280</v>
      </c>
      <c r="L258" s="18">
        <f t="shared" si="7"/>
        <v>2584390027179</v>
      </c>
    </row>
    <row r="259" spans="1:12" x14ac:dyDescent="0.35">
      <c r="A259" s="155" t="s">
        <v>779</v>
      </c>
      <c r="B259" s="155" t="s">
        <v>780</v>
      </c>
      <c r="C259" s="121">
        <v>219</v>
      </c>
      <c r="D259" s="121">
        <v>22</v>
      </c>
      <c r="E259" s="121">
        <v>4</v>
      </c>
      <c r="F259" s="121"/>
      <c r="G259" s="121">
        <v>8915588517</v>
      </c>
      <c r="H259" s="121">
        <v>42552683993</v>
      </c>
      <c r="I259" s="121">
        <v>33371686829</v>
      </c>
      <c r="J259" s="121"/>
      <c r="K259" s="18">
        <f t="shared" si="6"/>
        <v>245</v>
      </c>
      <c r="L259" s="18">
        <f t="shared" si="7"/>
        <v>84839959339</v>
      </c>
    </row>
    <row r="260" spans="1:12" x14ac:dyDescent="0.35">
      <c r="A260" s="155" t="s">
        <v>781</v>
      </c>
      <c r="B260" s="155" t="s">
        <v>782</v>
      </c>
      <c r="C260" s="121">
        <v>1660</v>
      </c>
      <c r="D260" s="121">
        <v>74</v>
      </c>
      <c r="E260" s="121">
        <v>14</v>
      </c>
      <c r="F260" s="121"/>
      <c r="G260" s="121">
        <v>44013518562</v>
      </c>
      <c r="H260" s="121">
        <v>161334119291</v>
      </c>
      <c r="I260" s="121">
        <v>170537256100</v>
      </c>
      <c r="J260" s="121"/>
      <c r="K260" s="18">
        <f t="shared" si="6"/>
        <v>1748</v>
      </c>
      <c r="L260" s="18">
        <f t="shared" si="7"/>
        <v>375884893953</v>
      </c>
    </row>
    <row r="261" spans="1:12" x14ac:dyDescent="0.35">
      <c r="A261" s="155" t="s">
        <v>783</v>
      </c>
      <c r="B261" s="155" t="s">
        <v>784</v>
      </c>
      <c r="C261" s="121">
        <v>110</v>
      </c>
      <c r="D261" s="121">
        <v>9</v>
      </c>
      <c r="E261" s="121">
        <v>1</v>
      </c>
      <c r="F261" s="121"/>
      <c r="G261" s="121">
        <v>5158031450</v>
      </c>
      <c r="H261" s="121">
        <v>14262330876</v>
      </c>
      <c r="I261" s="121">
        <v>23261680000</v>
      </c>
      <c r="J261" s="121"/>
      <c r="K261" s="18">
        <f t="shared" si="6"/>
        <v>120</v>
      </c>
      <c r="L261" s="18">
        <f t="shared" si="7"/>
        <v>42682042326</v>
      </c>
    </row>
    <row r="262" spans="1:12" x14ac:dyDescent="0.35">
      <c r="A262" s="155" t="s">
        <v>785</v>
      </c>
      <c r="B262" s="155" t="s">
        <v>786</v>
      </c>
      <c r="C262" s="121">
        <v>472</v>
      </c>
      <c r="D262" s="121">
        <v>32</v>
      </c>
      <c r="E262" s="121">
        <v>6</v>
      </c>
      <c r="F262" s="121"/>
      <c r="G262" s="121">
        <v>15394217662</v>
      </c>
      <c r="H262" s="121">
        <v>75712465757</v>
      </c>
      <c r="I262" s="121">
        <v>76668133813</v>
      </c>
      <c r="J262" s="121"/>
      <c r="K262" s="18">
        <f t="shared" ref="K262:K325" si="8">+SUM(C262:F262)</f>
        <v>510</v>
      </c>
      <c r="L262" s="18">
        <f t="shared" ref="L262:L325" si="9">+SUM(G262:J262)</f>
        <v>167774817232</v>
      </c>
    </row>
    <row r="263" spans="1:12" x14ac:dyDescent="0.35">
      <c r="A263" s="155" t="s">
        <v>787</v>
      </c>
      <c r="B263" s="155" t="s">
        <v>788</v>
      </c>
      <c r="C263" s="121">
        <v>2158</v>
      </c>
      <c r="D263" s="121">
        <v>165</v>
      </c>
      <c r="E263" s="121">
        <v>25</v>
      </c>
      <c r="F263" s="121">
        <v>1</v>
      </c>
      <c r="G263" s="121">
        <v>90544475425</v>
      </c>
      <c r="H263" s="121">
        <v>307180275604</v>
      </c>
      <c r="I263" s="121">
        <v>315314931380</v>
      </c>
      <c r="J263" s="121">
        <v>472140609000</v>
      </c>
      <c r="K263" s="18">
        <f t="shared" si="8"/>
        <v>2349</v>
      </c>
      <c r="L263" s="18">
        <f t="shared" si="9"/>
        <v>1185180291409</v>
      </c>
    </row>
    <row r="264" spans="1:12" x14ac:dyDescent="0.35">
      <c r="A264" s="155" t="s">
        <v>789</v>
      </c>
      <c r="B264" s="155" t="s">
        <v>1231</v>
      </c>
      <c r="C264" s="121">
        <v>40</v>
      </c>
      <c r="D264" s="121">
        <v>3</v>
      </c>
      <c r="E264" s="121"/>
      <c r="F264" s="121"/>
      <c r="G264" s="121">
        <v>2735367419</v>
      </c>
      <c r="H264" s="121">
        <v>4123532268</v>
      </c>
      <c r="I264" s="121"/>
      <c r="J264" s="121"/>
      <c r="K264" s="18">
        <f t="shared" si="8"/>
        <v>43</v>
      </c>
      <c r="L264" s="18">
        <f t="shared" si="9"/>
        <v>6858899687</v>
      </c>
    </row>
    <row r="265" spans="1:12" x14ac:dyDescent="0.35">
      <c r="A265" s="155" t="s">
        <v>790</v>
      </c>
      <c r="B265" s="155" t="s">
        <v>1232</v>
      </c>
      <c r="C265" s="121">
        <v>479</v>
      </c>
      <c r="D265" s="121">
        <v>25</v>
      </c>
      <c r="E265" s="121">
        <v>13</v>
      </c>
      <c r="F265" s="121">
        <v>2</v>
      </c>
      <c r="G265" s="121">
        <v>17315141296</v>
      </c>
      <c r="H265" s="121">
        <v>58921683464</v>
      </c>
      <c r="I265" s="121">
        <v>240582577802</v>
      </c>
      <c r="J265" s="121">
        <v>257691371003</v>
      </c>
      <c r="K265" s="18">
        <f t="shared" si="8"/>
        <v>519</v>
      </c>
      <c r="L265" s="18">
        <f t="shared" si="9"/>
        <v>574510773565</v>
      </c>
    </row>
    <row r="266" spans="1:12" x14ac:dyDescent="0.35">
      <c r="A266" s="155" t="s">
        <v>791</v>
      </c>
      <c r="B266" s="155" t="s">
        <v>1233</v>
      </c>
      <c r="C266" s="121">
        <v>502</v>
      </c>
      <c r="D266" s="121">
        <v>12</v>
      </c>
      <c r="E266" s="121">
        <v>2</v>
      </c>
      <c r="F266" s="121">
        <v>1</v>
      </c>
      <c r="G266" s="121">
        <v>14610035501</v>
      </c>
      <c r="H266" s="121">
        <v>33396978090</v>
      </c>
      <c r="I266" s="121">
        <v>17802710445</v>
      </c>
      <c r="J266" s="121">
        <v>75292190783</v>
      </c>
      <c r="K266" s="18">
        <f t="shared" si="8"/>
        <v>517</v>
      </c>
      <c r="L266" s="18">
        <f t="shared" si="9"/>
        <v>141101914819</v>
      </c>
    </row>
    <row r="267" spans="1:12" x14ac:dyDescent="0.35">
      <c r="A267" s="155" t="s">
        <v>792</v>
      </c>
      <c r="B267" s="155" t="s">
        <v>793</v>
      </c>
      <c r="C267" s="121">
        <v>1604</v>
      </c>
      <c r="D267" s="121">
        <v>49</v>
      </c>
      <c r="E267" s="121">
        <v>2</v>
      </c>
      <c r="F267" s="121"/>
      <c r="G267" s="121">
        <v>31423604507</v>
      </c>
      <c r="H267" s="121">
        <v>80958869760</v>
      </c>
      <c r="I267" s="121">
        <v>33329009658</v>
      </c>
      <c r="J267" s="121"/>
      <c r="K267" s="18">
        <f t="shared" si="8"/>
        <v>1655</v>
      </c>
      <c r="L267" s="18">
        <f t="shared" si="9"/>
        <v>145711483925</v>
      </c>
    </row>
    <row r="268" spans="1:12" x14ac:dyDescent="0.35">
      <c r="A268" s="155" t="s">
        <v>794</v>
      </c>
      <c r="B268" s="155" t="s">
        <v>795</v>
      </c>
      <c r="C268" s="121">
        <v>1469</v>
      </c>
      <c r="D268" s="121">
        <v>32</v>
      </c>
      <c r="E268" s="121">
        <v>8</v>
      </c>
      <c r="F268" s="121"/>
      <c r="G268" s="121">
        <v>23492148507</v>
      </c>
      <c r="H268" s="121">
        <v>62863343326</v>
      </c>
      <c r="I268" s="121">
        <v>63163431736</v>
      </c>
      <c r="J268" s="121"/>
      <c r="K268" s="18">
        <f t="shared" si="8"/>
        <v>1509</v>
      </c>
      <c r="L268" s="18">
        <f t="shared" si="9"/>
        <v>149518923569</v>
      </c>
    </row>
    <row r="269" spans="1:12" x14ac:dyDescent="0.35">
      <c r="A269" s="155" t="s">
        <v>796</v>
      </c>
      <c r="B269" s="155" t="s">
        <v>1234</v>
      </c>
      <c r="C269" s="121">
        <v>227</v>
      </c>
      <c r="D269" s="121">
        <v>25</v>
      </c>
      <c r="E269" s="121">
        <v>3</v>
      </c>
      <c r="F269" s="121"/>
      <c r="G269" s="121">
        <v>9547420586</v>
      </c>
      <c r="H269" s="121">
        <v>49022592333</v>
      </c>
      <c r="I269" s="121">
        <v>29769224600</v>
      </c>
      <c r="J269" s="121"/>
      <c r="K269" s="18">
        <f t="shared" si="8"/>
        <v>255</v>
      </c>
      <c r="L269" s="18">
        <f t="shared" si="9"/>
        <v>88339237519</v>
      </c>
    </row>
    <row r="270" spans="1:12" x14ac:dyDescent="0.35">
      <c r="A270" s="155" t="s">
        <v>797</v>
      </c>
      <c r="B270" s="155" t="s">
        <v>798</v>
      </c>
      <c r="C270" s="121">
        <v>156</v>
      </c>
      <c r="D270" s="121">
        <v>6</v>
      </c>
      <c r="E270" s="121">
        <v>1</v>
      </c>
      <c r="F270" s="121"/>
      <c r="G270" s="121">
        <v>4182559623</v>
      </c>
      <c r="H270" s="121">
        <v>8715275581</v>
      </c>
      <c r="I270" s="121">
        <v>9888690000</v>
      </c>
      <c r="J270" s="121"/>
      <c r="K270" s="18">
        <f t="shared" si="8"/>
        <v>163</v>
      </c>
      <c r="L270" s="18">
        <f t="shared" si="9"/>
        <v>22786525204</v>
      </c>
    </row>
    <row r="271" spans="1:12" x14ac:dyDescent="0.35">
      <c r="A271" s="155" t="s">
        <v>799</v>
      </c>
      <c r="B271" s="155" t="s">
        <v>800</v>
      </c>
      <c r="C271" s="121">
        <v>4778</v>
      </c>
      <c r="D271" s="121">
        <v>107</v>
      </c>
      <c r="E271" s="121">
        <v>13</v>
      </c>
      <c r="F271" s="121">
        <v>6</v>
      </c>
      <c r="G271" s="121">
        <v>79608177865</v>
      </c>
      <c r="H271" s="121">
        <v>222559063195</v>
      </c>
      <c r="I271" s="121">
        <v>196882525141</v>
      </c>
      <c r="J271" s="121">
        <v>512456173170</v>
      </c>
      <c r="K271" s="18">
        <f t="shared" si="8"/>
        <v>4904</v>
      </c>
      <c r="L271" s="18">
        <f t="shared" si="9"/>
        <v>1011505939371</v>
      </c>
    </row>
    <row r="272" spans="1:12" x14ac:dyDescent="0.35">
      <c r="A272" s="155" t="s">
        <v>801</v>
      </c>
      <c r="B272" s="155" t="s">
        <v>1235</v>
      </c>
      <c r="C272" s="121">
        <v>816</v>
      </c>
      <c r="D272" s="121">
        <v>34</v>
      </c>
      <c r="E272" s="121">
        <v>5</v>
      </c>
      <c r="F272" s="121">
        <v>2</v>
      </c>
      <c r="G272" s="121">
        <v>18261966844</v>
      </c>
      <c r="H272" s="121">
        <v>72908597402</v>
      </c>
      <c r="I272" s="121">
        <v>69387917160</v>
      </c>
      <c r="J272" s="121">
        <v>228334860790</v>
      </c>
      <c r="K272" s="18">
        <f t="shared" si="8"/>
        <v>857</v>
      </c>
      <c r="L272" s="18">
        <f t="shared" si="9"/>
        <v>388893342196</v>
      </c>
    </row>
    <row r="273" spans="1:12" x14ac:dyDescent="0.35">
      <c r="A273" s="155" t="s">
        <v>802</v>
      </c>
      <c r="B273" s="155" t="s">
        <v>803</v>
      </c>
      <c r="C273" s="121">
        <v>3505</v>
      </c>
      <c r="D273" s="121">
        <v>120</v>
      </c>
      <c r="E273" s="121">
        <v>10</v>
      </c>
      <c r="F273" s="121">
        <v>6</v>
      </c>
      <c r="G273" s="121">
        <v>87498001970</v>
      </c>
      <c r="H273" s="121">
        <v>239677033948</v>
      </c>
      <c r="I273" s="121">
        <v>138242481844</v>
      </c>
      <c r="J273" s="121">
        <v>599213526354</v>
      </c>
      <c r="K273" s="18">
        <f t="shared" si="8"/>
        <v>3641</v>
      </c>
      <c r="L273" s="18">
        <f t="shared" si="9"/>
        <v>1064631044116</v>
      </c>
    </row>
    <row r="274" spans="1:12" x14ac:dyDescent="0.35">
      <c r="A274" s="155" t="s">
        <v>804</v>
      </c>
      <c r="B274" s="155" t="s">
        <v>805</v>
      </c>
      <c r="C274" s="121">
        <v>1431</v>
      </c>
      <c r="D274" s="121">
        <v>101</v>
      </c>
      <c r="E274" s="121">
        <v>8</v>
      </c>
      <c r="F274" s="121">
        <v>3</v>
      </c>
      <c r="G274" s="121">
        <v>53868093722</v>
      </c>
      <c r="H274" s="121">
        <v>196184982703</v>
      </c>
      <c r="I274" s="121">
        <v>109821251873</v>
      </c>
      <c r="J274" s="121">
        <v>146930500000</v>
      </c>
      <c r="K274" s="18">
        <f t="shared" si="8"/>
        <v>1543</v>
      </c>
      <c r="L274" s="18">
        <f t="shared" si="9"/>
        <v>506804828298</v>
      </c>
    </row>
    <row r="275" spans="1:12" x14ac:dyDescent="0.35">
      <c r="A275" s="155" t="s">
        <v>806</v>
      </c>
      <c r="B275" s="155" t="s">
        <v>807</v>
      </c>
      <c r="C275" s="121">
        <v>328</v>
      </c>
      <c r="D275" s="121">
        <v>11</v>
      </c>
      <c r="E275" s="121">
        <v>1</v>
      </c>
      <c r="F275" s="121"/>
      <c r="G275" s="121">
        <v>9638275078</v>
      </c>
      <c r="H275" s="121">
        <v>25697445589</v>
      </c>
      <c r="I275" s="121">
        <v>11312478000</v>
      </c>
      <c r="J275" s="121"/>
      <c r="K275" s="18">
        <f t="shared" si="8"/>
        <v>340</v>
      </c>
      <c r="L275" s="18">
        <f t="shared" si="9"/>
        <v>46648198667</v>
      </c>
    </row>
    <row r="276" spans="1:12" x14ac:dyDescent="0.35">
      <c r="A276" s="155" t="s">
        <v>808</v>
      </c>
      <c r="B276" s="155" t="s">
        <v>809</v>
      </c>
      <c r="C276" s="121">
        <v>77</v>
      </c>
      <c r="D276" s="121">
        <v>1</v>
      </c>
      <c r="E276" s="121"/>
      <c r="F276" s="121"/>
      <c r="G276" s="121">
        <v>764104158</v>
      </c>
      <c r="H276" s="121">
        <v>1029083000</v>
      </c>
      <c r="I276" s="121"/>
      <c r="J276" s="121"/>
      <c r="K276" s="18">
        <f t="shared" si="8"/>
        <v>78</v>
      </c>
      <c r="L276" s="18">
        <f t="shared" si="9"/>
        <v>1793187158</v>
      </c>
    </row>
    <row r="277" spans="1:12" x14ac:dyDescent="0.35">
      <c r="A277" s="155" t="s">
        <v>810</v>
      </c>
      <c r="B277" s="155" t="s">
        <v>811</v>
      </c>
      <c r="C277" s="121">
        <v>192</v>
      </c>
      <c r="D277" s="121">
        <v>1</v>
      </c>
      <c r="E277" s="121"/>
      <c r="F277" s="121"/>
      <c r="G277" s="121">
        <v>3713605385</v>
      </c>
      <c r="H277" s="121">
        <v>1643000000</v>
      </c>
      <c r="I277" s="121"/>
      <c r="J277" s="121"/>
      <c r="K277" s="18">
        <f t="shared" si="8"/>
        <v>193</v>
      </c>
      <c r="L277" s="18">
        <f t="shared" si="9"/>
        <v>5356605385</v>
      </c>
    </row>
    <row r="278" spans="1:12" x14ac:dyDescent="0.35">
      <c r="A278" s="155" t="s">
        <v>812</v>
      </c>
      <c r="B278" s="155" t="s">
        <v>813</v>
      </c>
      <c r="C278" s="121">
        <v>47</v>
      </c>
      <c r="D278" s="121"/>
      <c r="E278" s="121"/>
      <c r="F278" s="121"/>
      <c r="G278" s="121">
        <v>604145937</v>
      </c>
      <c r="H278" s="121"/>
      <c r="I278" s="121"/>
      <c r="J278" s="121"/>
      <c r="K278" s="18">
        <f t="shared" si="8"/>
        <v>47</v>
      </c>
      <c r="L278" s="18">
        <f t="shared" si="9"/>
        <v>604145937</v>
      </c>
    </row>
    <row r="279" spans="1:12" x14ac:dyDescent="0.35">
      <c r="A279" s="155" t="s">
        <v>814</v>
      </c>
      <c r="B279" s="155" t="s">
        <v>1236</v>
      </c>
      <c r="C279" s="121">
        <v>1425</v>
      </c>
      <c r="D279" s="121">
        <v>26</v>
      </c>
      <c r="E279" s="121">
        <v>6</v>
      </c>
      <c r="F279" s="121"/>
      <c r="G279" s="121">
        <v>33678583889</v>
      </c>
      <c r="H279" s="121">
        <v>54239860947</v>
      </c>
      <c r="I279" s="121">
        <v>80765900179</v>
      </c>
      <c r="J279" s="121"/>
      <c r="K279" s="18">
        <f t="shared" si="8"/>
        <v>1457</v>
      </c>
      <c r="L279" s="18">
        <f t="shared" si="9"/>
        <v>168684345015</v>
      </c>
    </row>
    <row r="280" spans="1:12" x14ac:dyDescent="0.35">
      <c r="A280" s="155" t="s">
        <v>815</v>
      </c>
      <c r="B280" s="155" t="s">
        <v>816</v>
      </c>
      <c r="C280" s="121">
        <v>33</v>
      </c>
      <c r="D280" s="121"/>
      <c r="E280" s="121"/>
      <c r="F280" s="121"/>
      <c r="G280" s="121">
        <v>401063912</v>
      </c>
      <c r="H280" s="121"/>
      <c r="I280" s="121"/>
      <c r="J280" s="121"/>
      <c r="K280" s="18">
        <f t="shared" si="8"/>
        <v>33</v>
      </c>
      <c r="L280" s="18">
        <f t="shared" si="9"/>
        <v>401063912</v>
      </c>
    </row>
    <row r="281" spans="1:12" x14ac:dyDescent="0.35">
      <c r="A281" s="155" t="s">
        <v>817</v>
      </c>
      <c r="B281" s="155" t="s">
        <v>1237</v>
      </c>
      <c r="C281" s="121">
        <v>1007</v>
      </c>
      <c r="D281" s="121">
        <v>39</v>
      </c>
      <c r="E281" s="121">
        <v>6</v>
      </c>
      <c r="F281" s="121">
        <v>1</v>
      </c>
      <c r="G281" s="121">
        <v>26933481401</v>
      </c>
      <c r="H281" s="121">
        <v>68465054547</v>
      </c>
      <c r="I281" s="121">
        <v>70932347546</v>
      </c>
      <c r="J281" s="121">
        <v>491970000000</v>
      </c>
      <c r="K281" s="18">
        <f t="shared" si="8"/>
        <v>1053</v>
      </c>
      <c r="L281" s="18">
        <f t="shared" si="9"/>
        <v>658300883494</v>
      </c>
    </row>
    <row r="282" spans="1:12" x14ac:dyDescent="0.35">
      <c r="A282" s="155" t="s">
        <v>818</v>
      </c>
      <c r="B282" s="155" t="s">
        <v>819</v>
      </c>
      <c r="C282" s="121"/>
      <c r="D282" s="121">
        <v>1</v>
      </c>
      <c r="E282" s="121"/>
      <c r="F282" s="121">
        <v>1</v>
      </c>
      <c r="G282" s="121"/>
      <c r="H282" s="121">
        <v>1140827000</v>
      </c>
      <c r="I282" s="121"/>
      <c r="J282" s="121">
        <v>6016882549539</v>
      </c>
      <c r="K282" s="18">
        <f t="shared" si="8"/>
        <v>2</v>
      </c>
      <c r="L282" s="18">
        <f t="shared" si="9"/>
        <v>6018023376539</v>
      </c>
    </row>
    <row r="283" spans="1:12" x14ac:dyDescent="0.35">
      <c r="A283" s="155" t="s">
        <v>820</v>
      </c>
      <c r="B283" s="155" t="s">
        <v>1238</v>
      </c>
      <c r="C283" s="121">
        <v>2</v>
      </c>
      <c r="D283" s="121">
        <v>1</v>
      </c>
      <c r="E283" s="121">
        <v>1</v>
      </c>
      <c r="F283" s="121"/>
      <c r="G283" s="121">
        <v>6000000</v>
      </c>
      <c r="H283" s="121">
        <v>1964570334</v>
      </c>
      <c r="I283" s="121">
        <v>9107010000</v>
      </c>
      <c r="J283" s="121"/>
      <c r="K283" s="18">
        <f t="shared" si="8"/>
        <v>4</v>
      </c>
      <c r="L283" s="18">
        <f t="shared" si="9"/>
        <v>11077580334</v>
      </c>
    </row>
    <row r="284" spans="1:12" x14ac:dyDescent="0.35">
      <c r="A284" s="155" t="s">
        <v>821</v>
      </c>
      <c r="B284" s="155" t="s">
        <v>822</v>
      </c>
      <c r="C284" s="121">
        <v>395</v>
      </c>
      <c r="D284" s="121">
        <v>113</v>
      </c>
      <c r="E284" s="121">
        <v>24</v>
      </c>
      <c r="F284" s="121">
        <v>2</v>
      </c>
      <c r="G284" s="121">
        <v>35180774288</v>
      </c>
      <c r="H284" s="121">
        <v>256536126448</v>
      </c>
      <c r="I284" s="121">
        <v>385708929385</v>
      </c>
      <c r="J284" s="121">
        <v>139554373000</v>
      </c>
      <c r="K284" s="18">
        <f t="shared" si="8"/>
        <v>534</v>
      </c>
      <c r="L284" s="18">
        <f t="shared" si="9"/>
        <v>816980203121</v>
      </c>
    </row>
    <row r="285" spans="1:12" x14ac:dyDescent="0.35">
      <c r="A285" s="155" t="s">
        <v>823</v>
      </c>
      <c r="B285" s="155" t="s">
        <v>824</v>
      </c>
      <c r="C285" s="121">
        <v>96</v>
      </c>
      <c r="D285" s="121">
        <v>10</v>
      </c>
      <c r="E285" s="121"/>
      <c r="F285" s="121"/>
      <c r="G285" s="121">
        <v>5418913054</v>
      </c>
      <c r="H285" s="121">
        <v>17600306605</v>
      </c>
      <c r="I285" s="121"/>
      <c r="J285" s="121"/>
      <c r="K285" s="18">
        <f t="shared" si="8"/>
        <v>106</v>
      </c>
      <c r="L285" s="18">
        <f t="shared" si="9"/>
        <v>23019219659</v>
      </c>
    </row>
    <row r="286" spans="1:12" x14ac:dyDescent="0.35">
      <c r="A286" s="155" t="s">
        <v>825</v>
      </c>
      <c r="B286" s="155" t="s">
        <v>826</v>
      </c>
      <c r="C286" s="121">
        <v>1009</v>
      </c>
      <c r="D286" s="121">
        <v>249</v>
      </c>
      <c r="E286" s="121">
        <v>48</v>
      </c>
      <c r="F286" s="121">
        <v>8</v>
      </c>
      <c r="G286" s="121">
        <v>68889918589</v>
      </c>
      <c r="H286" s="121">
        <v>557608591783</v>
      </c>
      <c r="I286" s="121">
        <v>636705946819</v>
      </c>
      <c r="J286" s="121">
        <v>1569677581871</v>
      </c>
      <c r="K286" s="18">
        <f t="shared" si="8"/>
        <v>1314</v>
      </c>
      <c r="L286" s="18">
        <f t="shared" si="9"/>
        <v>2832882039062</v>
      </c>
    </row>
    <row r="287" spans="1:12" x14ac:dyDescent="0.35">
      <c r="A287" s="155" t="s">
        <v>827</v>
      </c>
      <c r="B287" s="155" t="s">
        <v>828</v>
      </c>
      <c r="C287" s="121">
        <v>7</v>
      </c>
      <c r="D287" s="121">
        <v>1</v>
      </c>
      <c r="E287" s="121"/>
      <c r="F287" s="121">
        <v>1</v>
      </c>
      <c r="G287" s="121">
        <v>1435684511</v>
      </c>
      <c r="H287" s="121">
        <v>1631672507</v>
      </c>
      <c r="I287" s="121"/>
      <c r="J287" s="121">
        <v>468307136000</v>
      </c>
      <c r="K287" s="18">
        <f t="shared" si="8"/>
        <v>9</v>
      </c>
      <c r="L287" s="18">
        <f t="shared" si="9"/>
        <v>471374493018</v>
      </c>
    </row>
    <row r="288" spans="1:12" x14ac:dyDescent="0.35">
      <c r="A288" s="155" t="s">
        <v>829</v>
      </c>
      <c r="B288" s="155" t="s">
        <v>1239</v>
      </c>
      <c r="C288" s="121">
        <v>8</v>
      </c>
      <c r="D288" s="121">
        <v>3</v>
      </c>
      <c r="E288" s="121"/>
      <c r="F288" s="121"/>
      <c r="G288" s="121">
        <v>148700001</v>
      </c>
      <c r="H288" s="121">
        <v>4081013279</v>
      </c>
      <c r="I288" s="121"/>
      <c r="J288" s="121"/>
      <c r="K288" s="18">
        <f t="shared" si="8"/>
        <v>11</v>
      </c>
      <c r="L288" s="18">
        <f t="shared" si="9"/>
        <v>4229713280</v>
      </c>
    </row>
    <row r="289" spans="1:12" x14ac:dyDescent="0.35">
      <c r="A289" s="155" t="s">
        <v>830</v>
      </c>
      <c r="B289" s="155" t="s">
        <v>1240</v>
      </c>
      <c r="C289" s="121">
        <v>4</v>
      </c>
      <c r="D289" s="121">
        <v>1</v>
      </c>
      <c r="E289" s="121"/>
      <c r="F289" s="121"/>
      <c r="G289" s="121">
        <v>713692246</v>
      </c>
      <c r="H289" s="121">
        <v>2234279000</v>
      </c>
      <c r="I289" s="121"/>
      <c r="J289" s="121"/>
      <c r="K289" s="18">
        <f t="shared" si="8"/>
        <v>5</v>
      </c>
      <c r="L289" s="18">
        <f t="shared" si="9"/>
        <v>2947971246</v>
      </c>
    </row>
    <row r="290" spans="1:12" x14ac:dyDescent="0.35">
      <c r="A290" s="155" t="s">
        <v>831</v>
      </c>
      <c r="B290" s="155" t="s">
        <v>832</v>
      </c>
      <c r="C290" s="121">
        <v>9</v>
      </c>
      <c r="D290" s="121"/>
      <c r="E290" s="121"/>
      <c r="F290" s="121"/>
      <c r="G290" s="121">
        <v>708097929</v>
      </c>
      <c r="H290" s="121"/>
      <c r="I290" s="121"/>
      <c r="J290" s="121"/>
      <c r="K290" s="18">
        <f t="shared" si="8"/>
        <v>9</v>
      </c>
      <c r="L290" s="18">
        <f t="shared" si="9"/>
        <v>708097929</v>
      </c>
    </row>
    <row r="291" spans="1:12" x14ac:dyDescent="0.35">
      <c r="A291" s="155" t="s">
        <v>833</v>
      </c>
      <c r="B291" s="155" t="s">
        <v>834</v>
      </c>
      <c r="C291" s="121">
        <v>1</v>
      </c>
      <c r="D291" s="121"/>
      <c r="E291" s="121"/>
      <c r="F291" s="121"/>
      <c r="G291" s="121">
        <v>15450000</v>
      </c>
      <c r="H291" s="121"/>
      <c r="I291" s="121"/>
      <c r="J291" s="121"/>
      <c r="K291" s="18">
        <f t="shared" si="8"/>
        <v>1</v>
      </c>
      <c r="L291" s="18">
        <f t="shared" si="9"/>
        <v>15450000</v>
      </c>
    </row>
    <row r="292" spans="1:12" x14ac:dyDescent="0.35">
      <c r="A292" s="155" t="s">
        <v>835</v>
      </c>
      <c r="B292" s="155" t="s">
        <v>1241</v>
      </c>
      <c r="C292" s="121">
        <v>7</v>
      </c>
      <c r="D292" s="121">
        <v>7</v>
      </c>
      <c r="E292" s="121">
        <v>2</v>
      </c>
      <c r="F292" s="121"/>
      <c r="G292" s="121">
        <v>958186097</v>
      </c>
      <c r="H292" s="121">
        <v>19212388598</v>
      </c>
      <c r="I292" s="121">
        <v>59656680000</v>
      </c>
      <c r="J292" s="121"/>
      <c r="K292" s="18">
        <f t="shared" si="8"/>
        <v>16</v>
      </c>
      <c r="L292" s="18">
        <f t="shared" si="9"/>
        <v>79827254695</v>
      </c>
    </row>
    <row r="293" spans="1:12" x14ac:dyDescent="0.35">
      <c r="A293" s="155" t="s">
        <v>836</v>
      </c>
      <c r="B293" s="155" t="s">
        <v>1242</v>
      </c>
      <c r="C293" s="121">
        <v>1</v>
      </c>
      <c r="D293" s="121"/>
      <c r="E293" s="121"/>
      <c r="F293" s="121"/>
      <c r="G293" s="121">
        <v>3000000</v>
      </c>
      <c r="H293" s="121"/>
      <c r="I293" s="121"/>
      <c r="J293" s="121"/>
      <c r="K293" s="18">
        <f t="shared" si="8"/>
        <v>1</v>
      </c>
      <c r="L293" s="18">
        <f t="shared" si="9"/>
        <v>3000000</v>
      </c>
    </row>
    <row r="294" spans="1:12" x14ac:dyDescent="0.35">
      <c r="A294" s="155" t="s">
        <v>837</v>
      </c>
      <c r="B294" s="155" t="s">
        <v>1243</v>
      </c>
      <c r="C294" s="121">
        <v>8</v>
      </c>
      <c r="D294" s="121">
        <v>7</v>
      </c>
      <c r="E294" s="121">
        <v>3</v>
      </c>
      <c r="F294" s="121"/>
      <c r="G294" s="121">
        <v>1444934699</v>
      </c>
      <c r="H294" s="121">
        <v>22516798494</v>
      </c>
      <c r="I294" s="121">
        <v>46821204716</v>
      </c>
      <c r="J294" s="121"/>
      <c r="K294" s="18">
        <f t="shared" si="8"/>
        <v>18</v>
      </c>
      <c r="L294" s="18">
        <f t="shared" si="9"/>
        <v>70782937909</v>
      </c>
    </row>
    <row r="295" spans="1:12" x14ac:dyDescent="0.35">
      <c r="A295" s="155" t="s">
        <v>838</v>
      </c>
      <c r="B295" s="155" t="s">
        <v>1244</v>
      </c>
      <c r="C295" s="121">
        <v>2</v>
      </c>
      <c r="D295" s="121"/>
      <c r="E295" s="121"/>
      <c r="F295" s="121"/>
      <c r="G295" s="121">
        <v>149974117</v>
      </c>
      <c r="H295" s="121"/>
      <c r="I295" s="121"/>
      <c r="J295" s="121"/>
      <c r="K295" s="18">
        <f t="shared" si="8"/>
        <v>2</v>
      </c>
      <c r="L295" s="18">
        <f t="shared" si="9"/>
        <v>149974117</v>
      </c>
    </row>
    <row r="296" spans="1:12" x14ac:dyDescent="0.35">
      <c r="A296" s="155" t="s">
        <v>839</v>
      </c>
      <c r="B296" s="155" t="s">
        <v>840</v>
      </c>
      <c r="C296" s="121">
        <v>47</v>
      </c>
      <c r="D296" s="121">
        <v>2</v>
      </c>
      <c r="E296" s="121">
        <v>1</v>
      </c>
      <c r="F296" s="121">
        <v>1</v>
      </c>
      <c r="G296" s="121">
        <v>528260859</v>
      </c>
      <c r="H296" s="121">
        <v>4578602186</v>
      </c>
      <c r="I296" s="121">
        <v>23090749145</v>
      </c>
      <c r="J296" s="121">
        <v>71857676000</v>
      </c>
      <c r="K296" s="18">
        <f t="shared" si="8"/>
        <v>51</v>
      </c>
      <c r="L296" s="18">
        <f t="shared" si="9"/>
        <v>100055288190</v>
      </c>
    </row>
    <row r="297" spans="1:12" x14ac:dyDescent="0.35">
      <c r="A297" s="155" t="s">
        <v>841</v>
      </c>
      <c r="B297" s="155" t="s">
        <v>842</v>
      </c>
      <c r="C297" s="121">
        <v>680</v>
      </c>
      <c r="D297" s="121">
        <v>21</v>
      </c>
      <c r="E297" s="121">
        <v>6</v>
      </c>
      <c r="F297" s="121">
        <v>1</v>
      </c>
      <c r="G297" s="121">
        <v>11204070530</v>
      </c>
      <c r="H297" s="121">
        <v>41192653538</v>
      </c>
      <c r="I297" s="121">
        <v>67703945681</v>
      </c>
      <c r="J297" s="121">
        <v>158168135000</v>
      </c>
      <c r="K297" s="18">
        <f t="shared" si="8"/>
        <v>708</v>
      </c>
      <c r="L297" s="18">
        <f t="shared" si="9"/>
        <v>278268804749</v>
      </c>
    </row>
    <row r="298" spans="1:12" x14ac:dyDescent="0.35">
      <c r="A298" s="155" t="s">
        <v>843</v>
      </c>
      <c r="B298" s="155" t="s">
        <v>844</v>
      </c>
      <c r="C298" s="121">
        <v>5</v>
      </c>
      <c r="D298" s="121">
        <v>2</v>
      </c>
      <c r="E298" s="121"/>
      <c r="F298" s="121"/>
      <c r="G298" s="121">
        <v>403045008</v>
      </c>
      <c r="H298" s="121">
        <v>5821446086</v>
      </c>
      <c r="I298" s="121"/>
      <c r="J298" s="121"/>
      <c r="K298" s="18">
        <f t="shared" si="8"/>
        <v>7</v>
      </c>
      <c r="L298" s="18">
        <f t="shared" si="9"/>
        <v>6224491094</v>
      </c>
    </row>
    <row r="299" spans="1:12" x14ac:dyDescent="0.35">
      <c r="A299" s="155" t="s">
        <v>845</v>
      </c>
      <c r="B299" s="155" t="s">
        <v>846</v>
      </c>
      <c r="C299" s="121">
        <v>5</v>
      </c>
      <c r="D299" s="121">
        <v>1</v>
      </c>
      <c r="E299" s="121"/>
      <c r="F299" s="121">
        <v>2</v>
      </c>
      <c r="G299" s="121">
        <v>140670603</v>
      </c>
      <c r="H299" s="121">
        <v>805161322</v>
      </c>
      <c r="I299" s="121"/>
      <c r="J299" s="121">
        <v>1470534622000</v>
      </c>
      <c r="K299" s="18">
        <f t="shared" si="8"/>
        <v>8</v>
      </c>
      <c r="L299" s="18">
        <f t="shared" si="9"/>
        <v>1471480453925</v>
      </c>
    </row>
    <row r="300" spans="1:12" x14ac:dyDescent="0.35">
      <c r="A300" s="155" t="s">
        <v>847</v>
      </c>
      <c r="B300" s="155" t="s">
        <v>848</v>
      </c>
      <c r="C300" s="121">
        <v>45</v>
      </c>
      <c r="D300" s="121">
        <v>10</v>
      </c>
      <c r="E300" s="121">
        <v>3</v>
      </c>
      <c r="F300" s="121"/>
      <c r="G300" s="121">
        <v>5532441497</v>
      </c>
      <c r="H300" s="121">
        <v>21272578727</v>
      </c>
      <c r="I300" s="121">
        <v>83034481926</v>
      </c>
      <c r="J300" s="121"/>
      <c r="K300" s="18">
        <f t="shared" si="8"/>
        <v>58</v>
      </c>
      <c r="L300" s="18">
        <f t="shared" si="9"/>
        <v>109839502150</v>
      </c>
    </row>
    <row r="301" spans="1:12" x14ac:dyDescent="0.35">
      <c r="A301" s="155" t="s">
        <v>849</v>
      </c>
      <c r="B301" s="155" t="s">
        <v>850</v>
      </c>
      <c r="C301" s="121">
        <v>241</v>
      </c>
      <c r="D301" s="121">
        <v>86</v>
      </c>
      <c r="E301" s="121">
        <v>16</v>
      </c>
      <c r="F301" s="121">
        <v>3</v>
      </c>
      <c r="G301" s="121">
        <v>16597144932</v>
      </c>
      <c r="H301" s="121">
        <v>167518127244</v>
      </c>
      <c r="I301" s="121">
        <v>267500814146</v>
      </c>
      <c r="J301" s="121">
        <v>247331675355</v>
      </c>
      <c r="K301" s="18">
        <f t="shared" si="8"/>
        <v>346</v>
      </c>
      <c r="L301" s="18">
        <f t="shared" si="9"/>
        <v>698947761677</v>
      </c>
    </row>
    <row r="302" spans="1:12" x14ac:dyDescent="0.35">
      <c r="A302" s="155" t="s">
        <v>851</v>
      </c>
      <c r="B302" s="155" t="s">
        <v>852</v>
      </c>
      <c r="C302" s="121">
        <v>77</v>
      </c>
      <c r="D302" s="121">
        <v>1</v>
      </c>
      <c r="E302" s="121"/>
      <c r="F302" s="121"/>
      <c r="G302" s="121">
        <v>914882757</v>
      </c>
      <c r="H302" s="121">
        <v>1915560677</v>
      </c>
      <c r="I302" s="121"/>
      <c r="J302" s="121"/>
      <c r="K302" s="18">
        <f t="shared" si="8"/>
        <v>78</v>
      </c>
      <c r="L302" s="18">
        <f t="shared" si="9"/>
        <v>2830443434</v>
      </c>
    </row>
    <row r="303" spans="1:12" x14ac:dyDescent="0.35">
      <c r="A303" s="155" t="s">
        <v>853</v>
      </c>
      <c r="B303" s="155" t="s">
        <v>854</v>
      </c>
      <c r="C303" s="121">
        <v>384</v>
      </c>
      <c r="D303" s="121">
        <v>6</v>
      </c>
      <c r="E303" s="121">
        <v>2</v>
      </c>
      <c r="F303" s="121"/>
      <c r="G303" s="121">
        <v>7140616794</v>
      </c>
      <c r="H303" s="121">
        <v>6730981313</v>
      </c>
      <c r="I303" s="121">
        <v>45178483385</v>
      </c>
      <c r="J303" s="121"/>
      <c r="K303" s="18">
        <f t="shared" si="8"/>
        <v>392</v>
      </c>
      <c r="L303" s="18">
        <f t="shared" si="9"/>
        <v>59050081492</v>
      </c>
    </row>
    <row r="304" spans="1:12" x14ac:dyDescent="0.35">
      <c r="A304" s="155" t="s">
        <v>855</v>
      </c>
      <c r="B304" s="155" t="s">
        <v>1245</v>
      </c>
      <c r="C304" s="121">
        <v>993</v>
      </c>
      <c r="D304" s="121">
        <v>124</v>
      </c>
      <c r="E304" s="121">
        <v>47</v>
      </c>
      <c r="F304" s="121">
        <v>7</v>
      </c>
      <c r="G304" s="121">
        <v>44482892944</v>
      </c>
      <c r="H304" s="121">
        <v>278815299070</v>
      </c>
      <c r="I304" s="121">
        <v>735968947454</v>
      </c>
      <c r="J304" s="121">
        <v>845339656113</v>
      </c>
      <c r="K304" s="18">
        <f t="shared" si="8"/>
        <v>1171</v>
      </c>
      <c r="L304" s="18">
        <f t="shared" si="9"/>
        <v>1904606795581</v>
      </c>
    </row>
    <row r="305" spans="1:12" x14ac:dyDescent="0.35">
      <c r="A305" s="155" t="s">
        <v>856</v>
      </c>
      <c r="B305" s="155" t="s">
        <v>857</v>
      </c>
      <c r="C305" s="121">
        <v>156</v>
      </c>
      <c r="D305" s="121">
        <v>15</v>
      </c>
      <c r="E305" s="121">
        <v>4</v>
      </c>
      <c r="F305" s="121"/>
      <c r="G305" s="121">
        <v>7963579465</v>
      </c>
      <c r="H305" s="121">
        <v>37247673668</v>
      </c>
      <c r="I305" s="121">
        <v>36327755814</v>
      </c>
      <c r="J305" s="121"/>
      <c r="K305" s="18">
        <f t="shared" si="8"/>
        <v>175</v>
      </c>
      <c r="L305" s="18">
        <f t="shared" si="9"/>
        <v>81539008947</v>
      </c>
    </row>
    <row r="306" spans="1:12" x14ac:dyDescent="0.35">
      <c r="A306" s="155" t="s">
        <v>858</v>
      </c>
      <c r="B306" s="155" t="s">
        <v>1246</v>
      </c>
      <c r="C306" s="121">
        <v>36</v>
      </c>
      <c r="D306" s="121">
        <v>7</v>
      </c>
      <c r="E306" s="121"/>
      <c r="F306" s="121"/>
      <c r="G306" s="121">
        <v>1838223377</v>
      </c>
      <c r="H306" s="121">
        <v>24792629523</v>
      </c>
      <c r="I306" s="121"/>
      <c r="J306" s="121"/>
      <c r="K306" s="18">
        <f t="shared" si="8"/>
        <v>43</v>
      </c>
      <c r="L306" s="18">
        <f t="shared" si="9"/>
        <v>26630852900</v>
      </c>
    </row>
    <row r="307" spans="1:12" x14ac:dyDescent="0.35">
      <c r="A307" s="155" t="s">
        <v>859</v>
      </c>
      <c r="B307" s="155" t="s">
        <v>860</v>
      </c>
      <c r="C307" s="121">
        <v>475</v>
      </c>
      <c r="D307" s="121">
        <v>8</v>
      </c>
      <c r="E307" s="121">
        <v>1</v>
      </c>
      <c r="F307" s="121"/>
      <c r="G307" s="121">
        <v>13046690952</v>
      </c>
      <c r="H307" s="121">
        <v>10979717571</v>
      </c>
      <c r="I307" s="121">
        <v>8378148168</v>
      </c>
      <c r="J307" s="121"/>
      <c r="K307" s="18">
        <f t="shared" si="8"/>
        <v>484</v>
      </c>
      <c r="L307" s="18">
        <f t="shared" si="9"/>
        <v>32404556691</v>
      </c>
    </row>
    <row r="308" spans="1:12" x14ac:dyDescent="0.35">
      <c r="A308" s="155" t="s">
        <v>861</v>
      </c>
      <c r="B308" s="155" t="s">
        <v>1247</v>
      </c>
      <c r="C308" s="121">
        <v>716</v>
      </c>
      <c r="D308" s="121">
        <v>42</v>
      </c>
      <c r="E308" s="121">
        <v>9</v>
      </c>
      <c r="F308" s="121"/>
      <c r="G308" s="121">
        <v>26930444526</v>
      </c>
      <c r="H308" s="121">
        <v>81705710400</v>
      </c>
      <c r="I308" s="121">
        <v>128342122373</v>
      </c>
      <c r="J308" s="121"/>
      <c r="K308" s="18">
        <f t="shared" si="8"/>
        <v>767</v>
      </c>
      <c r="L308" s="18">
        <f t="shared" si="9"/>
        <v>236978277299</v>
      </c>
    </row>
    <row r="309" spans="1:12" x14ac:dyDescent="0.35">
      <c r="A309" s="155" t="s">
        <v>862</v>
      </c>
      <c r="B309" s="155" t="s">
        <v>863</v>
      </c>
      <c r="C309" s="121">
        <v>5</v>
      </c>
      <c r="D309" s="121">
        <v>1</v>
      </c>
      <c r="E309" s="121"/>
      <c r="F309" s="121"/>
      <c r="G309" s="121">
        <v>53500000</v>
      </c>
      <c r="H309" s="121">
        <v>672775000</v>
      </c>
      <c r="I309" s="121"/>
      <c r="J309" s="121"/>
      <c r="K309" s="18">
        <f t="shared" si="8"/>
        <v>6</v>
      </c>
      <c r="L309" s="18">
        <f t="shared" si="9"/>
        <v>726275000</v>
      </c>
    </row>
    <row r="310" spans="1:12" x14ac:dyDescent="0.35">
      <c r="A310" s="155" t="s">
        <v>864</v>
      </c>
      <c r="B310" s="155" t="s">
        <v>1248</v>
      </c>
      <c r="C310" s="121">
        <v>208</v>
      </c>
      <c r="D310" s="121">
        <v>13</v>
      </c>
      <c r="E310" s="121">
        <v>2</v>
      </c>
      <c r="F310" s="121"/>
      <c r="G310" s="121">
        <v>5702503453</v>
      </c>
      <c r="H310" s="121">
        <v>21894395693</v>
      </c>
      <c r="I310" s="121">
        <v>28687800856</v>
      </c>
      <c r="J310" s="121"/>
      <c r="K310" s="18">
        <f t="shared" si="8"/>
        <v>223</v>
      </c>
      <c r="L310" s="18">
        <f t="shared" si="9"/>
        <v>56284700002</v>
      </c>
    </row>
    <row r="311" spans="1:12" x14ac:dyDescent="0.35">
      <c r="A311" s="155" t="s">
        <v>865</v>
      </c>
      <c r="B311" s="155" t="s">
        <v>866</v>
      </c>
      <c r="C311" s="121">
        <v>67</v>
      </c>
      <c r="D311" s="121">
        <v>5</v>
      </c>
      <c r="E311" s="121"/>
      <c r="F311" s="121"/>
      <c r="G311" s="121">
        <v>352367341</v>
      </c>
      <c r="H311" s="121">
        <v>11226338685</v>
      </c>
      <c r="I311" s="121"/>
      <c r="J311" s="121"/>
      <c r="K311" s="18">
        <f t="shared" si="8"/>
        <v>72</v>
      </c>
      <c r="L311" s="18">
        <f t="shared" si="9"/>
        <v>11578706026</v>
      </c>
    </row>
    <row r="312" spans="1:12" x14ac:dyDescent="0.35">
      <c r="A312" s="155" t="s">
        <v>867</v>
      </c>
      <c r="B312" s="155" t="s">
        <v>868</v>
      </c>
      <c r="C312" s="121">
        <v>4890</v>
      </c>
      <c r="D312" s="121">
        <v>125</v>
      </c>
      <c r="E312" s="121">
        <v>12</v>
      </c>
      <c r="F312" s="121">
        <v>1</v>
      </c>
      <c r="G312" s="121">
        <v>105234811211</v>
      </c>
      <c r="H312" s="121">
        <v>225834872329</v>
      </c>
      <c r="I312" s="121">
        <v>149251310625</v>
      </c>
      <c r="J312" s="121">
        <v>75963749332</v>
      </c>
      <c r="K312" s="18">
        <f t="shared" si="8"/>
        <v>5028</v>
      </c>
      <c r="L312" s="18">
        <f t="shared" si="9"/>
        <v>556284743497</v>
      </c>
    </row>
    <row r="313" spans="1:12" x14ac:dyDescent="0.35">
      <c r="A313" s="155" t="s">
        <v>869</v>
      </c>
      <c r="B313" s="155" t="s">
        <v>870</v>
      </c>
      <c r="C313" s="121">
        <v>416</v>
      </c>
      <c r="D313" s="121">
        <v>17</v>
      </c>
      <c r="E313" s="121">
        <v>4</v>
      </c>
      <c r="F313" s="121">
        <v>1</v>
      </c>
      <c r="G313" s="121">
        <v>13283094497</v>
      </c>
      <c r="H313" s="121">
        <v>27530373640</v>
      </c>
      <c r="I313" s="121">
        <v>81266429416</v>
      </c>
      <c r="J313" s="121">
        <v>40028497000</v>
      </c>
      <c r="K313" s="18">
        <f t="shared" si="8"/>
        <v>438</v>
      </c>
      <c r="L313" s="18">
        <f t="shared" si="9"/>
        <v>162108394553</v>
      </c>
    </row>
    <row r="314" spans="1:12" x14ac:dyDescent="0.35">
      <c r="A314" s="155" t="s">
        <v>871</v>
      </c>
      <c r="B314" s="155" t="s">
        <v>872</v>
      </c>
      <c r="C314" s="121">
        <v>2085</v>
      </c>
      <c r="D314" s="121">
        <v>10</v>
      </c>
      <c r="E314" s="121"/>
      <c r="F314" s="121"/>
      <c r="G314" s="121">
        <v>22194406733</v>
      </c>
      <c r="H314" s="121">
        <v>13900832172</v>
      </c>
      <c r="I314" s="121"/>
      <c r="J314" s="121"/>
      <c r="K314" s="18">
        <f t="shared" si="8"/>
        <v>2095</v>
      </c>
      <c r="L314" s="18">
        <f t="shared" si="9"/>
        <v>36095238905</v>
      </c>
    </row>
    <row r="315" spans="1:12" x14ac:dyDescent="0.35">
      <c r="A315" s="155" t="s">
        <v>873</v>
      </c>
      <c r="B315" s="155" t="s">
        <v>874</v>
      </c>
      <c r="C315" s="121">
        <v>2395</v>
      </c>
      <c r="D315" s="121">
        <v>8</v>
      </c>
      <c r="E315" s="121">
        <v>2</v>
      </c>
      <c r="F315" s="121"/>
      <c r="G315" s="121">
        <v>19114973805</v>
      </c>
      <c r="H315" s="121">
        <v>16800878555</v>
      </c>
      <c r="I315" s="121">
        <v>38547308523</v>
      </c>
      <c r="J315" s="121"/>
      <c r="K315" s="18">
        <f t="shared" si="8"/>
        <v>2405</v>
      </c>
      <c r="L315" s="18">
        <f t="shared" si="9"/>
        <v>74463160883</v>
      </c>
    </row>
    <row r="316" spans="1:12" x14ac:dyDescent="0.35">
      <c r="A316" s="155" t="s">
        <v>875</v>
      </c>
      <c r="B316" s="155" t="s">
        <v>876</v>
      </c>
      <c r="C316" s="121">
        <v>317</v>
      </c>
      <c r="D316" s="121">
        <v>9</v>
      </c>
      <c r="E316" s="121">
        <v>1</v>
      </c>
      <c r="F316" s="121"/>
      <c r="G316" s="121">
        <v>6339781143</v>
      </c>
      <c r="H316" s="121">
        <v>16276672500</v>
      </c>
      <c r="I316" s="121">
        <v>16117687736</v>
      </c>
      <c r="J316" s="121"/>
      <c r="K316" s="18">
        <f t="shared" si="8"/>
        <v>327</v>
      </c>
      <c r="L316" s="18">
        <f t="shared" si="9"/>
        <v>38734141379</v>
      </c>
    </row>
    <row r="317" spans="1:12" x14ac:dyDescent="0.35">
      <c r="A317" s="155" t="s">
        <v>877</v>
      </c>
      <c r="B317" s="155" t="s">
        <v>878</v>
      </c>
      <c r="C317" s="121">
        <v>103</v>
      </c>
      <c r="D317" s="121">
        <v>4</v>
      </c>
      <c r="E317" s="121"/>
      <c r="F317" s="121">
        <v>1</v>
      </c>
      <c r="G317" s="121">
        <v>3993870604</v>
      </c>
      <c r="H317" s="121">
        <v>9102792378</v>
      </c>
      <c r="I317" s="121"/>
      <c r="J317" s="121">
        <v>47602463000</v>
      </c>
      <c r="K317" s="18">
        <f t="shared" si="8"/>
        <v>108</v>
      </c>
      <c r="L317" s="18">
        <f t="shared" si="9"/>
        <v>60699125982</v>
      </c>
    </row>
    <row r="318" spans="1:12" x14ac:dyDescent="0.35">
      <c r="A318" s="155" t="s">
        <v>879</v>
      </c>
      <c r="B318" s="155" t="s">
        <v>880</v>
      </c>
      <c r="C318" s="121">
        <v>5121</v>
      </c>
      <c r="D318" s="121">
        <v>22</v>
      </c>
      <c r="E318" s="121">
        <v>1</v>
      </c>
      <c r="F318" s="121"/>
      <c r="G318" s="121">
        <v>35988644237</v>
      </c>
      <c r="H318" s="121">
        <v>47253790419</v>
      </c>
      <c r="I318" s="121">
        <v>7968890000</v>
      </c>
      <c r="J318" s="121"/>
      <c r="K318" s="18">
        <f t="shared" si="8"/>
        <v>5144</v>
      </c>
      <c r="L318" s="18">
        <f t="shared" si="9"/>
        <v>91211324656</v>
      </c>
    </row>
    <row r="319" spans="1:12" x14ac:dyDescent="0.35">
      <c r="A319" s="155" t="s">
        <v>881</v>
      </c>
      <c r="B319" s="155" t="s">
        <v>882</v>
      </c>
      <c r="C319" s="121">
        <v>45</v>
      </c>
      <c r="D319" s="121">
        <v>6</v>
      </c>
      <c r="E319" s="121"/>
      <c r="F319" s="121"/>
      <c r="G319" s="121">
        <v>2610317657</v>
      </c>
      <c r="H319" s="121">
        <v>9542853086</v>
      </c>
      <c r="I319" s="121"/>
      <c r="J319" s="121"/>
      <c r="K319" s="18">
        <f t="shared" si="8"/>
        <v>51</v>
      </c>
      <c r="L319" s="18">
        <f t="shared" si="9"/>
        <v>12153170743</v>
      </c>
    </row>
    <row r="320" spans="1:12" x14ac:dyDescent="0.35">
      <c r="A320" s="155" t="s">
        <v>883</v>
      </c>
      <c r="B320" s="155" t="s">
        <v>884</v>
      </c>
      <c r="C320" s="121">
        <v>26</v>
      </c>
      <c r="D320" s="121">
        <v>5</v>
      </c>
      <c r="E320" s="121">
        <v>1</v>
      </c>
      <c r="F320" s="121">
        <v>1</v>
      </c>
      <c r="G320" s="121">
        <v>409978384</v>
      </c>
      <c r="H320" s="121">
        <v>10944180576</v>
      </c>
      <c r="I320" s="121">
        <v>14122534149</v>
      </c>
      <c r="J320" s="121">
        <v>51330481126</v>
      </c>
      <c r="K320" s="18">
        <f t="shared" si="8"/>
        <v>33</v>
      </c>
      <c r="L320" s="18">
        <f t="shared" si="9"/>
        <v>76807174235</v>
      </c>
    </row>
    <row r="321" spans="1:12" x14ac:dyDescent="0.35">
      <c r="A321" s="155" t="s">
        <v>885</v>
      </c>
      <c r="B321" s="155" t="s">
        <v>886</v>
      </c>
      <c r="C321" s="121">
        <v>32</v>
      </c>
      <c r="D321" s="121">
        <v>3</v>
      </c>
      <c r="E321" s="121"/>
      <c r="F321" s="121"/>
      <c r="G321" s="121">
        <v>259414152</v>
      </c>
      <c r="H321" s="121">
        <v>3712824596</v>
      </c>
      <c r="I321" s="121"/>
      <c r="J321" s="121"/>
      <c r="K321" s="18">
        <f t="shared" si="8"/>
        <v>35</v>
      </c>
      <c r="L321" s="18">
        <f t="shared" si="9"/>
        <v>3972238748</v>
      </c>
    </row>
    <row r="322" spans="1:12" x14ac:dyDescent="0.35">
      <c r="A322" s="155" t="s">
        <v>887</v>
      </c>
      <c r="B322" s="155" t="s">
        <v>888</v>
      </c>
      <c r="C322" s="121">
        <v>102</v>
      </c>
      <c r="D322" s="121">
        <v>28</v>
      </c>
      <c r="E322" s="121"/>
      <c r="F322" s="121"/>
      <c r="G322" s="121">
        <v>8431058953</v>
      </c>
      <c r="H322" s="121">
        <v>54765855276</v>
      </c>
      <c r="I322" s="121"/>
      <c r="J322" s="121"/>
      <c r="K322" s="18">
        <f t="shared" si="8"/>
        <v>130</v>
      </c>
      <c r="L322" s="18">
        <f t="shared" si="9"/>
        <v>63196914229</v>
      </c>
    </row>
    <row r="323" spans="1:12" x14ac:dyDescent="0.35">
      <c r="A323" s="155" t="s">
        <v>889</v>
      </c>
      <c r="B323" s="155" t="s">
        <v>890</v>
      </c>
      <c r="C323" s="121">
        <v>184</v>
      </c>
      <c r="D323" s="121">
        <v>23</v>
      </c>
      <c r="E323" s="121">
        <v>2</v>
      </c>
      <c r="F323" s="121"/>
      <c r="G323" s="121">
        <v>12617594434</v>
      </c>
      <c r="H323" s="121">
        <v>35963636724</v>
      </c>
      <c r="I323" s="121">
        <v>14298414349</v>
      </c>
      <c r="J323" s="121"/>
      <c r="K323" s="18">
        <f t="shared" si="8"/>
        <v>209</v>
      </c>
      <c r="L323" s="18">
        <f t="shared" si="9"/>
        <v>62879645507</v>
      </c>
    </row>
    <row r="324" spans="1:12" x14ac:dyDescent="0.35">
      <c r="A324" s="155" t="s">
        <v>891</v>
      </c>
      <c r="B324" s="155" t="s">
        <v>1249</v>
      </c>
      <c r="C324" s="121">
        <v>15</v>
      </c>
      <c r="D324" s="121">
        <v>1</v>
      </c>
      <c r="E324" s="121"/>
      <c r="F324" s="121"/>
      <c r="G324" s="121">
        <v>2021704806</v>
      </c>
      <c r="H324" s="121">
        <v>1003418095</v>
      </c>
      <c r="I324" s="121"/>
      <c r="J324" s="121"/>
      <c r="K324" s="18">
        <f t="shared" si="8"/>
        <v>16</v>
      </c>
      <c r="L324" s="18">
        <f t="shared" si="9"/>
        <v>3025122901</v>
      </c>
    </row>
    <row r="325" spans="1:12" x14ac:dyDescent="0.35">
      <c r="A325" s="155" t="s">
        <v>892</v>
      </c>
      <c r="B325" s="155" t="s">
        <v>893</v>
      </c>
      <c r="C325" s="121">
        <v>4</v>
      </c>
      <c r="D325" s="121">
        <v>1</v>
      </c>
      <c r="E325" s="121"/>
      <c r="F325" s="121"/>
      <c r="G325" s="121">
        <v>98282839</v>
      </c>
      <c r="H325" s="121">
        <v>2941490481</v>
      </c>
      <c r="I325" s="121"/>
      <c r="J325" s="121"/>
      <c r="K325" s="18">
        <f t="shared" si="8"/>
        <v>5</v>
      </c>
      <c r="L325" s="18">
        <f t="shared" si="9"/>
        <v>3039773320</v>
      </c>
    </row>
    <row r="326" spans="1:12" x14ac:dyDescent="0.35">
      <c r="A326" s="155" t="s">
        <v>894</v>
      </c>
      <c r="B326" s="155" t="s">
        <v>895</v>
      </c>
      <c r="C326" s="121">
        <v>5</v>
      </c>
      <c r="D326" s="121"/>
      <c r="E326" s="121"/>
      <c r="F326" s="121"/>
      <c r="G326" s="121">
        <v>17600000</v>
      </c>
      <c r="H326" s="121"/>
      <c r="I326" s="121"/>
      <c r="J326" s="121"/>
      <c r="K326" s="18">
        <f t="shared" ref="K326:K389" si="10">+SUM(C326:F326)</f>
        <v>5</v>
      </c>
      <c r="L326" s="18">
        <f t="shared" ref="L326:L389" si="11">+SUM(G326:J326)</f>
        <v>17600000</v>
      </c>
    </row>
    <row r="327" spans="1:12" x14ac:dyDescent="0.35">
      <c r="A327" s="155" t="s">
        <v>896</v>
      </c>
      <c r="B327" s="155" t="s">
        <v>1250</v>
      </c>
      <c r="C327" s="121">
        <v>164</v>
      </c>
      <c r="D327" s="121">
        <v>8</v>
      </c>
      <c r="E327" s="121">
        <v>3</v>
      </c>
      <c r="F327" s="121">
        <v>1</v>
      </c>
      <c r="G327" s="121">
        <v>7238768626</v>
      </c>
      <c r="H327" s="121">
        <v>15639894403</v>
      </c>
      <c r="I327" s="121">
        <v>48755129279</v>
      </c>
      <c r="J327" s="121">
        <v>48700853000</v>
      </c>
      <c r="K327" s="18">
        <f t="shared" si="10"/>
        <v>176</v>
      </c>
      <c r="L327" s="18">
        <f t="shared" si="11"/>
        <v>120334645308</v>
      </c>
    </row>
    <row r="328" spans="1:12" x14ac:dyDescent="0.35">
      <c r="A328" s="155" t="s">
        <v>897</v>
      </c>
      <c r="B328" s="155" t="s">
        <v>898</v>
      </c>
      <c r="C328" s="121">
        <v>26</v>
      </c>
      <c r="D328" s="121">
        <v>13</v>
      </c>
      <c r="E328" s="121"/>
      <c r="F328" s="121"/>
      <c r="G328" s="121">
        <v>2284947265</v>
      </c>
      <c r="H328" s="121">
        <v>34246919451</v>
      </c>
      <c r="I328" s="121"/>
      <c r="J328" s="121"/>
      <c r="K328" s="18">
        <f t="shared" si="10"/>
        <v>39</v>
      </c>
      <c r="L328" s="18">
        <f t="shared" si="11"/>
        <v>36531866716</v>
      </c>
    </row>
    <row r="329" spans="1:12" x14ac:dyDescent="0.35">
      <c r="A329" s="155" t="s">
        <v>899</v>
      </c>
      <c r="B329" s="155" t="s">
        <v>900</v>
      </c>
      <c r="C329" s="121">
        <v>18</v>
      </c>
      <c r="D329" s="121">
        <v>2</v>
      </c>
      <c r="E329" s="121">
        <v>1</v>
      </c>
      <c r="F329" s="121">
        <v>2</v>
      </c>
      <c r="G329" s="121">
        <v>1777585000</v>
      </c>
      <c r="H329" s="121">
        <v>5100142547</v>
      </c>
      <c r="I329" s="121">
        <v>15415004000</v>
      </c>
      <c r="J329" s="121">
        <v>149256979616</v>
      </c>
      <c r="K329" s="18">
        <f t="shared" si="10"/>
        <v>23</v>
      </c>
      <c r="L329" s="18">
        <f t="shared" si="11"/>
        <v>171549711163</v>
      </c>
    </row>
    <row r="330" spans="1:12" x14ac:dyDescent="0.35">
      <c r="A330" s="155" t="s">
        <v>901</v>
      </c>
      <c r="B330" s="155" t="s">
        <v>902</v>
      </c>
      <c r="C330" s="121">
        <v>102</v>
      </c>
      <c r="D330" s="121">
        <v>15</v>
      </c>
      <c r="E330" s="121"/>
      <c r="F330" s="121">
        <v>3</v>
      </c>
      <c r="G330" s="121">
        <v>7200497678</v>
      </c>
      <c r="H330" s="121">
        <v>26034154493</v>
      </c>
      <c r="I330" s="121"/>
      <c r="J330" s="121">
        <v>5577611147000</v>
      </c>
      <c r="K330" s="18">
        <f t="shared" si="10"/>
        <v>120</v>
      </c>
      <c r="L330" s="18">
        <f t="shared" si="11"/>
        <v>5610845799171</v>
      </c>
    </row>
    <row r="331" spans="1:12" x14ac:dyDescent="0.35">
      <c r="A331" s="155" t="s">
        <v>903</v>
      </c>
      <c r="B331" s="155" t="s">
        <v>904</v>
      </c>
      <c r="C331" s="121">
        <v>90</v>
      </c>
      <c r="D331" s="121">
        <v>4</v>
      </c>
      <c r="E331" s="121">
        <v>1</v>
      </c>
      <c r="F331" s="121">
        <v>1</v>
      </c>
      <c r="G331" s="121">
        <v>2856844700</v>
      </c>
      <c r="H331" s="121">
        <v>7291614256</v>
      </c>
      <c r="I331" s="121">
        <v>18974906891</v>
      </c>
      <c r="J331" s="121">
        <v>127652034000</v>
      </c>
      <c r="K331" s="18">
        <f t="shared" si="10"/>
        <v>96</v>
      </c>
      <c r="L331" s="18">
        <f t="shared" si="11"/>
        <v>156775399847</v>
      </c>
    </row>
    <row r="332" spans="1:12" x14ac:dyDescent="0.35">
      <c r="A332" s="155" t="s">
        <v>905</v>
      </c>
      <c r="B332" s="155" t="s">
        <v>906</v>
      </c>
      <c r="C332" s="121">
        <v>12</v>
      </c>
      <c r="D332" s="121"/>
      <c r="E332" s="121"/>
      <c r="F332" s="121"/>
      <c r="G332" s="121">
        <v>144242000</v>
      </c>
      <c r="H332" s="121"/>
      <c r="I332" s="121"/>
      <c r="J332" s="121"/>
      <c r="K332" s="18">
        <f t="shared" si="10"/>
        <v>12</v>
      </c>
      <c r="L332" s="18">
        <f t="shared" si="11"/>
        <v>144242000</v>
      </c>
    </row>
    <row r="333" spans="1:12" x14ac:dyDescent="0.35">
      <c r="A333" s="155" t="s">
        <v>907</v>
      </c>
      <c r="B333" s="155" t="s">
        <v>908</v>
      </c>
      <c r="C333" s="121">
        <v>385</v>
      </c>
      <c r="D333" s="121">
        <v>20</v>
      </c>
      <c r="E333" s="121">
        <v>2</v>
      </c>
      <c r="F333" s="121">
        <v>3</v>
      </c>
      <c r="G333" s="121">
        <v>14037531108</v>
      </c>
      <c r="H333" s="121">
        <v>31292509925</v>
      </c>
      <c r="I333" s="121">
        <v>26352758904</v>
      </c>
      <c r="J333" s="121">
        <v>619201225110</v>
      </c>
      <c r="K333" s="18">
        <f t="shared" si="10"/>
        <v>410</v>
      </c>
      <c r="L333" s="18">
        <f t="shared" si="11"/>
        <v>690884025047</v>
      </c>
    </row>
    <row r="334" spans="1:12" x14ac:dyDescent="0.35">
      <c r="A334" s="155" t="s">
        <v>909</v>
      </c>
      <c r="B334" s="155" t="s">
        <v>910</v>
      </c>
      <c r="C334" s="121">
        <v>1381</v>
      </c>
      <c r="D334" s="121">
        <v>244</v>
      </c>
      <c r="E334" s="121">
        <v>50</v>
      </c>
      <c r="F334" s="121">
        <v>5</v>
      </c>
      <c r="G334" s="121">
        <v>112875209827</v>
      </c>
      <c r="H334" s="121">
        <v>506760028661</v>
      </c>
      <c r="I334" s="121">
        <v>661286529446</v>
      </c>
      <c r="J334" s="121">
        <v>552602095894</v>
      </c>
      <c r="K334" s="18">
        <f t="shared" si="10"/>
        <v>1680</v>
      </c>
      <c r="L334" s="18">
        <f t="shared" si="11"/>
        <v>1833523863828</v>
      </c>
    </row>
    <row r="335" spans="1:12" x14ac:dyDescent="0.35">
      <c r="A335" s="155" t="s">
        <v>911</v>
      </c>
      <c r="B335" s="155" t="s">
        <v>912</v>
      </c>
      <c r="C335" s="121">
        <v>572</v>
      </c>
      <c r="D335" s="121">
        <v>88</v>
      </c>
      <c r="E335" s="121">
        <v>7</v>
      </c>
      <c r="F335" s="121">
        <v>5</v>
      </c>
      <c r="G335" s="121">
        <v>48412228071</v>
      </c>
      <c r="H335" s="121">
        <v>169360671290</v>
      </c>
      <c r="I335" s="121">
        <v>102266880513</v>
      </c>
      <c r="J335" s="121">
        <v>316532620071</v>
      </c>
      <c r="K335" s="18">
        <f t="shared" si="10"/>
        <v>672</v>
      </c>
      <c r="L335" s="18">
        <f t="shared" si="11"/>
        <v>636572399945</v>
      </c>
    </row>
    <row r="336" spans="1:12" x14ac:dyDescent="0.35">
      <c r="A336" s="155" t="s">
        <v>913</v>
      </c>
      <c r="B336" s="155" t="s">
        <v>914</v>
      </c>
      <c r="C336" s="121">
        <v>267</v>
      </c>
      <c r="D336" s="121">
        <v>48</v>
      </c>
      <c r="E336" s="121">
        <v>9</v>
      </c>
      <c r="F336" s="121">
        <v>3</v>
      </c>
      <c r="G336" s="121">
        <v>16600064495</v>
      </c>
      <c r="H336" s="121">
        <v>105362176467</v>
      </c>
      <c r="I336" s="121">
        <v>122648666945</v>
      </c>
      <c r="J336" s="121">
        <v>381085695699</v>
      </c>
      <c r="K336" s="18">
        <f t="shared" si="10"/>
        <v>327</v>
      </c>
      <c r="L336" s="18">
        <f t="shared" si="11"/>
        <v>625696603606</v>
      </c>
    </row>
    <row r="337" spans="1:12" x14ac:dyDescent="0.35">
      <c r="A337" s="155" t="s">
        <v>915</v>
      </c>
      <c r="B337" s="155" t="s">
        <v>916</v>
      </c>
      <c r="C337" s="121">
        <v>246</v>
      </c>
      <c r="D337" s="121">
        <v>38</v>
      </c>
      <c r="E337" s="121">
        <v>4</v>
      </c>
      <c r="F337" s="121">
        <v>2</v>
      </c>
      <c r="G337" s="121">
        <v>12189215051</v>
      </c>
      <c r="H337" s="121">
        <v>84877415190</v>
      </c>
      <c r="I337" s="121">
        <v>71364607025</v>
      </c>
      <c r="J337" s="121">
        <v>100041507949</v>
      </c>
      <c r="K337" s="18">
        <f t="shared" si="10"/>
        <v>290</v>
      </c>
      <c r="L337" s="18">
        <f t="shared" si="11"/>
        <v>268472745215</v>
      </c>
    </row>
    <row r="338" spans="1:12" x14ac:dyDescent="0.35">
      <c r="A338" s="155" t="s">
        <v>917</v>
      </c>
      <c r="B338" s="155" t="s">
        <v>918</v>
      </c>
      <c r="C338" s="121">
        <v>123</v>
      </c>
      <c r="D338" s="121">
        <v>3</v>
      </c>
      <c r="E338" s="121">
        <v>1</v>
      </c>
      <c r="F338" s="121"/>
      <c r="G338" s="121">
        <v>7101783293</v>
      </c>
      <c r="H338" s="121">
        <v>5297982900</v>
      </c>
      <c r="I338" s="121">
        <v>8380732412</v>
      </c>
      <c r="J338" s="121"/>
      <c r="K338" s="18">
        <f t="shared" si="10"/>
        <v>127</v>
      </c>
      <c r="L338" s="18">
        <f t="shared" si="11"/>
        <v>20780498605</v>
      </c>
    </row>
    <row r="339" spans="1:12" x14ac:dyDescent="0.35">
      <c r="A339" s="155" t="s">
        <v>919</v>
      </c>
      <c r="B339" s="155" t="s">
        <v>920</v>
      </c>
      <c r="C339" s="121">
        <v>11</v>
      </c>
      <c r="D339" s="121"/>
      <c r="E339" s="121"/>
      <c r="F339" s="121"/>
      <c r="G339" s="121">
        <v>159677672</v>
      </c>
      <c r="H339" s="121"/>
      <c r="I339" s="121"/>
      <c r="J339" s="121"/>
      <c r="K339" s="18">
        <f t="shared" si="10"/>
        <v>11</v>
      </c>
      <c r="L339" s="18">
        <f t="shared" si="11"/>
        <v>159677672</v>
      </c>
    </row>
    <row r="340" spans="1:12" x14ac:dyDescent="0.35">
      <c r="A340" s="155" t="s">
        <v>921</v>
      </c>
      <c r="B340" s="155" t="s">
        <v>1251</v>
      </c>
      <c r="C340" s="121">
        <v>52</v>
      </c>
      <c r="D340" s="121">
        <v>12</v>
      </c>
      <c r="E340" s="121">
        <v>5</v>
      </c>
      <c r="F340" s="121">
        <v>1</v>
      </c>
      <c r="G340" s="121">
        <v>6071840082</v>
      </c>
      <c r="H340" s="121">
        <v>35735034662</v>
      </c>
      <c r="I340" s="121">
        <v>86999985471</v>
      </c>
      <c r="J340" s="121">
        <v>111011253865</v>
      </c>
      <c r="K340" s="18">
        <f t="shared" si="10"/>
        <v>70</v>
      </c>
      <c r="L340" s="18">
        <f t="shared" si="11"/>
        <v>239818114080</v>
      </c>
    </row>
    <row r="341" spans="1:12" x14ac:dyDescent="0.35">
      <c r="A341" s="155" t="s">
        <v>922</v>
      </c>
      <c r="B341" s="155" t="s">
        <v>923</v>
      </c>
      <c r="C341" s="121"/>
      <c r="D341" s="121"/>
      <c r="E341" s="121"/>
      <c r="F341" s="121">
        <v>2</v>
      </c>
      <c r="G341" s="121"/>
      <c r="H341" s="121"/>
      <c r="I341" s="121"/>
      <c r="J341" s="121">
        <v>253416753181706</v>
      </c>
      <c r="K341" s="18">
        <f t="shared" si="10"/>
        <v>2</v>
      </c>
      <c r="L341" s="18">
        <f t="shared" si="11"/>
        <v>253416753181706</v>
      </c>
    </row>
    <row r="342" spans="1:12" x14ac:dyDescent="0.35">
      <c r="A342" s="155" t="s">
        <v>924</v>
      </c>
      <c r="B342" s="155" t="s">
        <v>925</v>
      </c>
      <c r="C342" s="121"/>
      <c r="D342" s="121">
        <v>2</v>
      </c>
      <c r="E342" s="121"/>
      <c r="F342" s="121">
        <v>1</v>
      </c>
      <c r="G342" s="121"/>
      <c r="H342" s="121">
        <v>2757280219</v>
      </c>
      <c r="I342" s="121"/>
      <c r="J342" s="121">
        <v>1720028391531</v>
      </c>
      <c r="K342" s="18">
        <f t="shared" si="10"/>
        <v>3</v>
      </c>
      <c r="L342" s="18">
        <f t="shared" si="11"/>
        <v>1722785671750</v>
      </c>
    </row>
    <row r="343" spans="1:12" x14ac:dyDescent="0.35">
      <c r="A343" s="155" t="s">
        <v>926</v>
      </c>
      <c r="B343" s="155" t="s">
        <v>927</v>
      </c>
      <c r="C343" s="121">
        <v>4</v>
      </c>
      <c r="D343" s="121"/>
      <c r="E343" s="121">
        <v>1</v>
      </c>
      <c r="F343" s="121">
        <v>4</v>
      </c>
      <c r="G343" s="121">
        <v>230427000</v>
      </c>
      <c r="H343" s="121"/>
      <c r="I343" s="121">
        <v>22830427000</v>
      </c>
      <c r="J343" s="121">
        <v>6571977584480</v>
      </c>
      <c r="K343" s="18">
        <f t="shared" si="10"/>
        <v>9</v>
      </c>
      <c r="L343" s="18">
        <f t="shared" si="11"/>
        <v>6595038438480</v>
      </c>
    </row>
    <row r="344" spans="1:12" x14ac:dyDescent="0.35">
      <c r="A344" s="155" t="s">
        <v>928</v>
      </c>
      <c r="B344" s="155" t="s">
        <v>929</v>
      </c>
      <c r="C344" s="121">
        <v>1</v>
      </c>
      <c r="D344" s="121">
        <v>1</v>
      </c>
      <c r="E344" s="121">
        <v>2</v>
      </c>
      <c r="F344" s="121">
        <v>3</v>
      </c>
      <c r="G344" s="121">
        <v>20000000</v>
      </c>
      <c r="H344" s="121">
        <v>1983550625</v>
      </c>
      <c r="I344" s="121">
        <v>19304982204</v>
      </c>
      <c r="J344" s="121">
        <v>11653333336462</v>
      </c>
      <c r="K344" s="18">
        <f t="shared" si="10"/>
        <v>7</v>
      </c>
      <c r="L344" s="18">
        <f t="shared" si="11"/>
        <v>11674641869291</v>
      </c>
    </row>
    <row r="345" spans="1:12" x14ac:dyDescent="0.35">
      <c r="A345" s="155" t="s">
        <v>930</v>
      </c>
      <c r="B345" s="155" t="s">
        <v>931</v>
      </c>
      <c r="C345" s="121">
        <v>24</v>
      </c>
      <c r="D345" s="121">
        <v>10</v>
      </c>
      <c r="E345" s="121">
        <v>5</v>
      </c>
      <c r="F345" s="121">
        <v>1</v>
      </c>
      <c r="G345" s="121">
        <v>2038278677</v>
      </c>
      <c r="H345" s="121">
        <v>25160883052</v>
      </c>
      <c r="I345" s="121">
        <v>67507758692</v>
      </c>
      <c r="J345" s="121">
        <v>41758226096</v>
      </c>
      <c r="K345" s="18">
        <f t="shared" si="10"/>
        <v>40</v>
      </c>
      <c r="L345" s="18">
        <f t="shared" si="11"/>
        <v>136465146517</v>
      </c>
    </row>
    <row r="346" spans="1:12" x14ac:dyDescent="0.35">
      <c r="A346" s="155" t="s">
        <v>932</v>
      </c>
      <c r="B346" s="155" t="s">
        <v>933</v>
      </c>
      <c r="C346" s="121">
        <v>59</v>
      </c>
      <c r="D346" s="121">
        <v>53</v>
      </c>
      <c r="E346" s="121">
        <v>75</v>
      </c>
      <c r="F346" s="121">
        <v>15</v>
      </c>
      <c r="G346" s="121">
        <v>7665485760</v>
      </c>
      <c r="H346" s="121">
        <v>141010120726</v>
      </c>
      <c r="I346" s="121">
        <v>1477797527797</v>
      </c>
      <c r="J346" s="121">
        <v>3136800830694</v>
      </c>
      <c r="K346" s="18">
        <f t="shared" si="10"/>
        <v>202</v>
      </c>
      <c r="L346" s="18">
        <f t="shared" si="11"/>
        <v>4763273964977</v>
      </c>
    </row>
    <row r="347" spans="1:12" x14ac:dyDescent="0.35">
      <c r="A347" s="155" t="s">
        <v>934</v>
      </c>
      <c r="B347" s="155" t="s">
        <v>935</v>
      </c>
      <c r="C347" s="121">
        <v>152</v>
      </c>
      <c r="D347" s="121">
        <v>87</v>
      </c>
      <c r="E347" s="121">
        <v>49</v>
      </c>
      <c r="F347" s="121">
        <v>22</v>
      </c>
      <c r="G347" s="121">
        <v>13889497360</v>
      </c>
      <c r="H347" s="121">
        <v>209668183659</v>
      </c>
      <c r="I347" s="121">
        <v>782207929016</v>
      </c>
      <c r="J347" s="121">
        <v>2506616367292</v>
      </c>
      <c r="K347" s="18">
        <f t="shared" si="10"/>
        <v>310</v>
      </c>
      <c r="L347" s="18">
        <f t="shared" si="11"/>
        <v>3512381977327</v>
      </c>
    </row>
    <row r="348" spans="1:12" x14ac:dyDescent="0.35">
      <c r="A348" s="155" t="s">
        <v>936</v>
      </c>
      <c r="B348" s="155" t="s">
        <v>1252</v>
      </c>
      <c r="C348" s="121">
        <v>33</v>
      </c>
      <c r="D348" s="121">
        <v>2</v>
      </c>
      <c r="E348" s="121"/>
      <c r="F348" s="121">
        <v>2</v>
      </c>
      <c r="G348" s="121">
        <v>1974970751</v>
      </c>
      <c r="H348" s="121">
        <v>3854629027</v>
      </c>
      <c r="I348" s="121"/>
      <c r="J348" s="121">
        <v>5631813737511</v>
      </c>
      <c r="K348" s="18">
        <f t="shared" si="10"/>
        <v>37</v>
      </c>
      <c r="L348" s="18">
        <f t="shared" si="11"/>
        <v>5637643337289</v>
      </c>
    </row>
    <row r="349" spans="1:12" x14ac:dyDescent="0.35">
      <c r="A349" s="155" t="s">
        <v>937</v>
      </c>
      <c r="B349" s="155" t="s">
        <v>938</v>
      </c>
      <c r="C349" s="121">
        <v>6</v>
      </c>
      <c r="D349" s="121"/>
      <c r="E349" s="121"/>
      <c r="F349" s="121">
        <v>2</v>
      </c>
      <c r="G349" s="121">
        <v>388936174</v>
      </c>
      <c r="H349" s="121"/>
      <c r="I349" s="121"/>
      <c r="J349" s="121">
        <v>25012396772384</v>
      </c>
      <c r="K349" s="18">
        <f t="shared" si="10"/>
        <v>8</v>
      </c>
      <c r="L349" s="18">
        <f t="shared" si="11"/>
        <v>25012785708558</v>
      </c>
    </row>
    <row r="350" spans="1:12" x14ac:dyDescent="0.35">
      <c r="A350" s="155" t="s">
        <v>1199</v>
      </c>
      <c r="B350" s="155" t="s">
        <v>1253</v>
      </c>
      <c r="C350" s="121"/>
      <c r="D350" s="121"/>
      <c r="E350" s="121"/>
      <c r="F350" s="121">
        <v>1</v>
      </c>
      <c r="G350" s="121"/>
      <c r="H350" s="121"/>
      <c r="I350" s="121"/>
      <c r="J350" s="121">
        <v>2183288413517</v>
      </c>
      <c r="K350" s="18">
        <f t="shared" si="10"/>
        <v>1</v>
      </c>
      <c r="L350" s="18">
        <f t="shared" si="11"/>
        <v>2183288413517</v>
      </c>
    </row>
    <row r="351" spans="1:12" x14ac:dyDescent="0.35">
      <c r="A351" s="155" t="s">
        <v>940</v>
      </c>
      <c r="B351" s="155" t="s">
        <v>941</v>
      </c>
      <c r="C351" s="121">
        <v>6</v>
      </c>
      <c r="D351" s="121">
        <v>1</v>
      </c>
      <c r="E351" s="121"/>
      <c r="F351" s="121"/>
      <c r="G351" s="121">
        <v>20603005</v>
      </c>
      <c r="H351" s="121">
        <v>1190243299</v>
      </c>
      <c r="I351" s="121"/>
      <c r="J351" s="121"/>
      <c r="K351" s="18">
        <f t="shared" si="10"/>
        <v>7</v>
      </c>
      <c r="L351" s="18">
        <f t="shared" si="11"/>
        <v>1210846304</v>
      </c>
    </row>
    <row r="352" spans="1:12" x14ac:dyDescent="0.35">
      <c r="A352" s="155" t="s">
        <v>942</v>
      </c>
      <c r="B352" s="155" t="s">
        <v>1254</v>
      </c>
      <c r="C352" s="121">
        <v>10</v>
      </c>
      <c r="D352" s="121"/>
      <c r="E352" s="121"/>
      <c r="F352" s="121"/>
      <c r="G352" s="121">
        <v>131381902</v>
      </c>
      <c r="H352" s="121"/>
      <c r="I352" s="121"/>
      <c r="J352" s="121"/>
      <c r="K352" s="18">
        <f t="shared" si="10"/>
        <v>10</v>
      </c>
      <c r="L352" s="18">
        <f t="shared" si="11"/>
        <v>131381902</v>
      </c>
    </row>
    <row r="353" spans="1:12" x14ac:dyDescent="0.35">
      <c r="A353" s="155" t="s">
        <v>1379</v>
      </c>
      <c r="B353" s="155" t="s">
        <v>1380</v>
      </c>
      <c r="C353" s="121">
        <v>1</v>
      </c>
      <c r="D353" s="121"/>
      <c r="E353" s="121"/>
      <c r="F353" s="121"/>
      <c r="G353" s="121">
        <v>2000000</v>
      </c>
      <c r="H353" s="121"/>
      <c r="I353" s="121"/>
      <c r="J353" s="121"/>
      <c r="K353" s="18">
        <f t="shared" si="10"/>
        <v>1</v>
      </c>
      <c r="L353" s="18">
        <f t="shared" si="11"/>
        <v>2000000</v>
      </c>
    </row>
    <row r="354" spans="1:12" x14ac:dyDescent="0.35">
      <c r="A354" s="155" t="s">
        <v>943</v>
      </c>
      <c r="B354" s="155" t="s">
        <v>1255</v>
      </c>
      <c r="C354" s="121"/>
      <c r="D354" s="121"/>
      <c r="E354" s="121"/>
      <c r="F354" s="121">
        <v>1</v>
      </c>
      <c r="G354" s="121"/>
      <c r="H354" s="121"/>
      <c r="I354" s="121"/>
      <c r="J354" s="121">
        <v>497295411000</v>
      </c>
      <c r="K354" s="18">
        <f t="shared" si="10"/>
        <v>1</v>
      </c>
      <c r="L354" s="18">
        <f t="shared" si="11"/>
        <v>497295411000</v>
      </c>
    </row>
    <row r="355" spans="1:12" x14ac:dyDescent="0.35">
      <c r="A355" s="155" t="s">
        <v>944</v>
      </c>
      <c r="B355" s="155" t="s">
        <v>945</v>
      </c>
      <c r="C355" s="121">
        <v>1</v>
      </c>
      <c r="D355" s="121">
        <v>1</v>
      </c>
      <c r="E355" s="121"/>
      <c r="F355" s="121"/>
      <c r="G355" s="121">
        <v>11555957</v>
      </c>
      <c r="H355" s="121">
        <v>2008849923</v>
      </c>
      <c r="I355" s="121"/>
      <c r="J355" s="121"/>
      <c r="K355" s="18">
        <f t="shared" si="10"/>
        <v>2</v>
      </c>
      <c r="L355" s="18">
        <f t="shared" si="11"/>
        <v>2020405880</v>
      </c>
    </row>
    <row r="356" spans="1:12" x14ac:dyDescent="0.35">
      <c r="A356" s="155" t="s">
        <v>946</v>
      </c>
      <c r="B356" s="155" t="s">
        <v>947</v>
      </c>
      <c r="C356" s="121">
        <v>9</v>
      </c>
      <c r="D356" s="121">
        <v>3</v>
      </c>
      <c r="E356" s="121">
        <v>1</v>
      </c>
      <c r="F356" s="121">
        <v>2</v>
      </c>
      <c r="G356" s="121">
        <v>692702236</v>
      </c>
      <c r="H356" s="121">
        <v>9108494433</v>
      </c>
      <c r="I356" s="121">
        <v>27687133043</v>
      </c>
      <c r="J356" s="121">
        <v>534691133583</v>
      </c>
      <c r="K356" s="18">
        <f t="shared" si="10"/>
        <v>15</v>
      </c>
      <c r="L356" s="18">
        <f t="shared" si="11"/>
        <v>572179463295</v>
      </c>
    </row>
    <row r="357" spans="1:12" x14ac:dyDescent="0.35">
      <c r="A357" s="155" t="s">
        <v>948</v>
      </c>
      <c r="B357" s="155" t="s">
        <v>949</v>
      </c>
      <c r="C357" s="121">
        <v>24</v>
      </c>
      <c r="D357" s="121">
        <v>39</v>
      </c>
      <c r="E357" s="121">
        <v>39</v>
      </c>
      <c r="F357" s="121">
        <v>29</v>
      </c>
      <c r="G357" s="121">
        <v>3222937109</v>
      </c>
      <c r="H357" s="121">
        <v>127612334404</v>
      </c>
      <c r="I357" s="121">
        <v>674386341500</v>
      </c>
      <c r="J357" s="121">
        <v>85800452867502</v>
      </c>
      <c r="K357" s="18">
        <f t="shared" si="10"/>
        <v>131</v>
      </c>
      <c r="L357" s="18">
        <f t="shared" si="11"/>
        <v>86605674480515</v>
      </c>
    </row>
    <row r="358" spans="1:12" x14ac:dyDescent="0.35">
      <c r="A358" s="155" t="s">
        <v>950</v>
      </c>
      <c r="B358" s="155" t="s">
        <v>1256</v>
      </c>
      <c r="C358" s="121">
        <v>5</v>
      </c>
      <c r="D358" s="121"/>
      <c r="E358" s="121"/>
      <c r="F358" s="121"/>
      <c r="G358" s="121">
        <v>242300000</v>
      </c>
      <c r="H358" s="121"/>
      <c r="I358" s="121"/>
      <c r="J358" s="121"/>
      <c r="K358" s="18">
        <f t="shared" si="10"/>
        <v>5</v>
      </c>
      <c r="L358" s="18">
        <f t="shared" si="11"/>
        <v>242300000</v>
      </c>
    </row>
    <row r="359" spans="1:12" x14ac:dyDescent="0.35">
      <c r="A359" s="155" t="s">
        <v>951</v>
      </c>
      <c r="B359" s="155" t="s">
        <v>952</v>
      </c>
      <c r="C359" s="121">
        <v>76</v>
      </c>
      <c r="D359" s="121">
        <v>12</v>
      </c>
      <c r="E359" s="121">
        <v>1</v>
      </c>
      <c r="F359" s="121"/>
      <c r="G359" s="121">
        <v>10795756285</v>
      </c>
      <c r="H359" s="121">
        <v>19961314936</v>
      </c>
      <c r="I359" s="121">
        <v>7185504129</v>
      </c>
      <c r="J359" s="121"/>
      <c r="K359" s="18">
        <f t="shared" si="10"/>
        <v>89</v>
      </c>
      <c r="L359" s="18">
        <f t="shared" si="11"/>
        <v>37942575350</v>
      </c>
    </row>
    <row r="360" spans="1:12" x14ac:dyDescent="0.35">
      <c r="A360" s="155" t="s">
        <v>953</v>
      </c>
      <c r="B360" s="155" t="s">
        <v>954</v>
      </c>
      <c r="C360" s="121">
        <v>62</v>
      </c>
      <c r="D360" s="121">
        <v>49</v>
      </c>
      <c r="E360" s="121">
        <v>18</v>
      </c>
      <c r="F360" s="121">
        <v>11</v>
      </c>
      <c r="G360" s="121">
        <v>5420792703</v>
      </c>
      <c r="H360" s="121">
        <v>114201426787</v>
      </c>
      <c r="I360" s="121">
        <v>288730506827</v>
      </c>
      <c r="J360" s="121">
        <v>2080195516769</v>
      </c>
      <c r="K360" s="18">
        <f t="shared" si="10"/>
        <v>140</v>
      </c>
      <c r="L360" s="18">
        <f t="shared" si="11"/>
        <v>2488548243086</v>
      </c>
    </row>
    <row r="361" spans="1:12" x14ac:dyDescent="0.35">
      <c r="A361" s="155" t="s">
        <v>955</v>
      </c>
      <c r="B361" s="155" t="s">
        <v>956</v>
      </c>
      <c r="C361" s="121">
        <v>1033</v>
      </c>
      <c r="D361" s="121">
        <v>112</v>
      </c>
      <c r="E361" s="121">
        <v>8</v>
      </c>
      <c r="F361" s="121"/>
      <c r="G361" s="121">
        <v>63028971439</v>
      </c>
      <c r="H361" s="121">
        <v>194696248080</v>
      </c>
      <c r="I361" s="121">
        <v>100805317185</v>
      </c>
      <c r="J361" s="121"/>
      <c r="K361" s="18">
        <f t="shared" si="10"/>
        <v>1153</v>
      </c>
      <c r="L361" s="18">
        <f t="shared" si="11"/>
        <v>358530536704</v>
      </c>
    </row>
    <row r="362" spans="1:12" x14ac:dyDescent="0.35">
      <c r="A362" s="155" t="s">
        <v>957</v>
      </c>
      <c r="B362" s="155" t="s">
        <v>958</v>
      </c>
      <c r="C362" s="121">
        <v>22</v>
      </c>
      <c r="D362" s="121">
        <v>5</v>
      </c>
      <c r="E362" s="121">
        <v>1</v>
      </c>
      <c r="F362" s="121"/>
      <c r="G362" s="121">
        <v>2914873347</v>
      </c>
      <c r="H362" s="121">
        <v>11487165292</v>
      </c>
      <c r="I362" s="121">
        <v>26111623000</v>
      </c>
      <c r="J362" s="121"/>
      <c r="K362" s="18">
        <f t="shared" si="10"/>
        <v>28</v>
      </c>
      <c r="L362" s="18">
        <f t="shared" si="11"/>
        <v>40513661639</v>
      </c>
    </row>
    <row r="363" spans="1:12" x14ac:dyDescent="0.35">
      <c r="A363" s="155" t="s">
        <v>959</v>
      </c>
      <c r="B363" s="155" t="s">
        <v>960</v>
      </c>
      <c r="C363" s="121">
        <v>1</v>
      </c>
      <c r="D363" s="121"/>
      <c r="E363" s="121">
        <v>3</v>
      </c>
      <c r="F363" s="121">
        <v>2</v>
      </c>
      <c r="G363" s="121">
        <v>2000000</v>
      </c>
      <c r="H363" s="121"/>
      <c r="I363" s="121">
        <v>75955941205</v>
      </c>
      <c r="J363" s="121">
        <v>3517054738219</v>
      </c>
      <c r="K363" s="18">
        <f t="shared" si="10"/>
        <v>6</v>
      </c>
      <c r="L363" s="18">
        <f t="shared" si="11"/>
        <v>3593012679424</v>
      </c>
    </row>
    <row r="364" spans="1:12" x14ac:dyDescent="0.35">
      <c r="A364" s="155" t="s">
        <v>961</v>
      </c>
      <c r="B364" s="155" t="s">
        <v>962</v>
      </c>
      <c r="C364" s="121">
        <v>4976</v>
      </c>
      <c r="D364" s="121">
        <v>2346</v>
      </c>
      <c r="E364" s="121">
        <v>774</v>
      </c>
      <c r="F364" s="121">
        <v>130</v>
      </c>
      <c r="G364" s="121">
        <v>436827180537</v>
      </c>
      <c r="H364" s="121">
        <v>5761292474197</v>
      </c>
      <c r="I364" s="121">
        <v>11812189865007</v>
      </c>
      <c r="J364" s="121">
        <v>45363622332139</v>
      </c>
      <c r="K364" s="18">
        <f t="shared" si="10"/>
        <v>8226</v>
      </c>
      <c r="L364" s="18">
        <f t="shared" si="11"/>
        <v>63373931851880</v>
      </c>
    </row>
    <row r="365" spans="1:12" x14ac:dyDescent="0.35">
      <c r="A365" s="155" t="s">
        <v>963</v>
      </c>
      <c r="B365" s="155" t="s">
        <v>1257</v>
      </c>
      <c r="C365" s="121">
        <v>1041</v>
      </c>
      <c r="D365" s="121">
        <v>243</v>
      </c>
      <c r="E365" s="121">
        <v>83</v>
      </c>
      <c r="F365" s="121">
        <v>7</v>
      </c>
      <c r="G365" s="121">
        <v>76790306222</v>
      </c>
      <c r="H365" s="121">
        <v>552083203032</v>
      </c>
      <c r="I365" s="121">
        <v>1247025053017</v>
      </c>
      <c r="J365" s="121">
        <v>1190583659830</v>
      </c>
      <c r="K365" s="18">
        <f t="shared" si="10"/>
        <v>1374</v>
      </c>
      <c r="L365" s="18">
        <f t="shared" si="11"/>
        <v>3066482222101</v>
      </c>
    </row>
    <row r="366" spans="1:12" x14ac:dyDescent="0.35">
      <c r="A366" s="155" t="s">
        <v>964</v>
      </c>
      <c r="B366" s="155" t="s">
        <v>965</v>
      </c>
      <c r="C366" s="121">
        <v>1300</v>
      </c>
      <c r="D366" s="121">
        <v>141</v>
      </c>
      <c r="E366" s="121">
        <v>6</v>
      </c>
      <c r="F366" s="121">
        <v>1</v>
      </c>
      <c r="G366" s="121">
        <v>89037514981</v>
      </c>
      <c r="H366" s="121">
        <v>248302500552</v>
      </c>
      <c r="I366" s="121">
        <v>100824624675</v>
      </c>
      <c r="J366" s="121">
        <v>40957868909</v>
      </c>
      <c r="K366" s="18">
        <f t="shared" si="10"/>
        <v>1448</v>
      </c>
      <c r="L366" s="18">
        <f t="shared" si="11"/>
        <v>479122509117</v>
      </c>
    </row>
    <row r="367" spans="1:12" x14ac:dyDescent="0.35">
      <c r="A367" s="155" t="s">
        <v>966</v>
      </c>
      <c r="B367" s="155" t="s">
        <v>967</v>
      </c>
      <c r="C367" s="121">
        <v>521</v>
      </c>
      <c r="D367" s="121">
        <v>58</v>
      </c>
      <c r="E367" s="121">
        <v>1</v>
      </c>
      <c r="F367" s="121"/>
      <c r="G367" s="121">
        <v>49156043407</v>
      </c>
      <c r="H367" s="121">
        <v>85683287638</v>
      </c>
      <c r="I367" s="121">
        <v>10419966000</v>
      </c>
      <c r="J367" s="121"/>
      <c r="K367" s="18">
        <f t="shared" si="10"/>
        <v>580</v>
      </c>
      <c r="L367" s="18">
        <f t="shared" si="11"/>
        <v>145259297045</v>
      </c>
    </row>
    <row r="368" spans="1:12" x14ac:dyDescent="0.35">
      <c r="A368" s="155" t="s">
        <v>968</v>
      </c>
      <c r="B368" s="155" t="s">
        <v>969</v>
      </c>
      <c r="C368" s="121">
        <v>1425</v>
      </c>
      <c r="D368" s="121">
        <v>531</v>
      </c>
      <c r="E368" s="121">
        <v>195</v>
      </c>
      <c r="F368" s="121">
        <v>67</v>
      </c>
      <c r="G368" s="121">
        <v>104686171139</v>
      </c>
      <c r="H368" s="121">
        <v>1305143078320</v>
      </c>
      <c r="I368" s="121">
        <v>3330203784080</v>
      </c>
      <c r="J368" s="121">
        <v>22308990456094</v>
      </c>
      <c r="K368" s="18">
        <f t="shared" si="10"/>
        <v>2218</v>
      </c>
      <c r="L368" s="18">
        <f t="shared" si="11"/>
        <v>27049023489633</v>
      </c>
    </row>
    <row r="369" spans="1:12" x14ac:dyDescent="0.35">
      <c r="A369" s="155" t="s">
        <v>970</v>
      </c>
      <c r="B369" s="155" t="s">
        <v>1258</v>
      </c>
      <c r="C369" s="121">
        <v>2275</v>
      </c>
      <c r="D369" s="121">
        <v>272</v>
      </c>
      <c r="E369" s="121">
        <v>47</v>
      </c>
      <c r="F369" s="121">
        <v>8</v>
      </c>
      <c r="G369" s="121">
        <v>172147848012</v>
      </c>
      <c r="H369" s="121">
        <v>561232681027</v>
      </c>
      <c r="I369" s="121">
        <v>596313847288</v>
      </c>
      <c r="J369" s="121">
        <v>950864760727</v>
      </c>
      <c r="K369" s="18">
        <f t="shared" si="10"/>
        <v>2602</v>
      </c>
      <c r="L369" s="18">
        <f t="shared" si="11"/>
        <v>2280559137054</v>
      </c>
    </row>
    <row r="370" spans="1:12" x14ac:dyDescent="0.35">
      <c r="A370" s="155" t="s">
        <v>1200</v>
      </c>
      <c r="B370" s="155" t="s">
        <v>1259</v>
      </c>
      <c r="C370" s="121">
        <v>477</v>
      </c>
      <c r="D370" s="121">
        <v>80</v>
      </c>
      <c r="E370" s="121">
        <v>8</v>
      </c>
      <c r="F370" s="121">
        <v>3</v>
      </c>
      <c r="G370" s="121">
        <v>48533511909</v>
      </c>
      <c r="H370" s="121">
        <v>163008879500</v>
      </c>
      <c r="I370" s="121">
        <v>77018578329</v>
      </c>
      <c r="J370" s="121">
        <v>207650090000</v>
      </c>
      <c r="K370" s="18">
        <f t="shared" si="10"/>
        <v>568</v>
      </c>
      <c r="L370" s="18">
        <f t="shared" si="11"/>
        <v>496211059738</v>
      </c>
    </row>
    <row r="371" spans="1:12" x14ac:dyDescent="0.35">
      <c r="A371" s="155" t="s">
        <v>1201</v>
      </c>
      <c r="B371" s="155" t="s">
        <v>1260</v>
      </c>
      <c r="C371" s="121">
        <v>981</v>
      </c>
      <c r="D371" s="121">
        <v>253</v>
      </c>
      <c r="E371" s="121">
        <v>49</v>
      </c>
      <c r="F371" s="121">
        <v>13</v>
      </c>
      <c r="G371" s="121">
        <v>114474929371</v>
      </c>
      <c r="H371" s="121">
        <v>558216593567</v>
      </c>
      <c r="I371" s="121">
        <v>741292792275</v>
      </c>
      <c r="J371" s="121">
        <v>3485814412490</v>
      </c>
      <c r="K371" s="18">
        <f t="shared" si="10"/>
        <v>1296</v>
      </c>
      <c r="L371" s="18">
        <f t="shared" si="11"/>
        <v>4899798727703</v>
      </c>
    </row>
    <row r="372" spans="1:12" x14ac:dyDescent="0.35">
      <c r="A372" s="155" t="s">
        <v>971</v>
      </c>
      <c r="B372" s="155" t="s">
        <v>972</v>
      </c>
      <c r="C372" s="121">
        <v>104</v>
      </c>
      <c r="D372" s="121">
        <v>59</v>
      </c>
      <c r="E372" s="121">
        <v>2</v>
      </c>
      <c r="F372" s="121"/>
      <c r="G372" s="121">
        <v>19218710893</v>
      </c>
      <c r="H372" s="121">
        <v>102624863034</v>
      </c>
      <c r="I372" s="121">
        <v>22233425674</v>
      </c>
      <c r="J372" s="121"/>
      <c r="K372" s="18">
        <f t="shared" si="10"/>
        <v>165</v>
      </c>
      <c r="L372" s="18">
        <f t="shared" si="11"/>
        <v>144076999601</v>
      </c>
    </row>
    <row r="373" spans="1:12" x14ac:dyDescent="0.35">
      <c r="A373" s="155" t="s">
        <v>973</v>
      </c>
      <c r="B373" s="155" t="s">
        <v>1261</v>
      </c>
      <c r="C373" s="121">
        <v>79</v>
      </c>
      <c r="D373" s="121">
        <v>11</v>
      </c>
      <c r="E373" s="121"/>
      <c r="F373" s="121">
        <v>2</v>
      </c>
      <c r="G373" s="121">
        <v>4134010309</v>
      </c>
      <c r="H373" s="121">
        <v>18975635276</v>
      </c>
      <c r="I373" s="121"/>
      <c r="J373" s="121">
        <v>100881089175</v>
      </c>
      <c r="K373" s="18">
        <f t="shared" si="10"/>
        <v>92</v>
      </c>
      <c r="L373" s="18">
        <f t="shared" si="11"/>
        <v>123990734760</v>
      </c>
    </row>
    <row r="374" spans="1:12" x14ac:dyDescent="0.35">
      <c r="A374" s="155" t="s">
        <v>974</v>
      </c>
      <c r="B374" s="155" t="s">
        <v>975</v>
      </c>
      <c r="C374" s="121">
        <v>56</v>
      </c>
      <c r="D374" s="121">
        <v>6</v>
      </c>
      <c r="E374" s="121"/>
      <c r="F374" s="121"/>
      <c r="G374" s="121">
        <v>3584854088</v>
      </c>
      <c r="H374" s="121">
        <v>12869305486</v>
      </c>
      <c r="I374" s="121"/>
      <c r="J374" s="121"/>
      <c r="K374" s="18">
        <f t="shared" si="10"/>
        <v>62</v>
      </c>
      <c r="L374" s="18">
        <f t="shared" si="11"/>
        <v>16454159574</v>
      </c>
    </row>
    <row r="375" spans="1:12" x14ac:dyDescent="0.35">
      <c r="A375" s="155" t="s">
        <v>976</v>
      </c>
      <c r="B375" s="155" t="s">
        <v>977</v>
      </c>
      <c r="C375" s="121">
        <v>1499</v>
      </c>
      <c r="D375" s="121">
        <v>102</v>
      </c>
      <c r="E375" s="121">
        <v>14</v>
      </c>
      <c r="F375" s="121">
        <v>1</v>
      </c>
      <c r="G375" s="121">
        <v>75410387548</v>
      </c>
      <c r="H375" s="121">
        <v>187297331868</v>
      </c>
      <c r="I375" s="121">
        <v>177659983098</v>
      </c>
      <c r="J375" s="121">
        <v>39082538439</v>
      </c>
      <c r="K375" s="18">
        <f t="shared" si="10"/>
        <v>1616</v>
      </c>
      <c r="L375" s="18">
        <f t="shared" si="11"/>
        <v>479450240953</v>
      </c>
    </row>
    <row r="376" spans="1:12" x14ac:dyDescent="0.35">
      <c r="A376" s="155" t="s">
        <v>978</v>
      </c>
      <c r="B376" s="155" t="s">
        <v>979</v>
      </c>
      <c r="C376" s="121">
        <v>38</v>
      </c>
      <c r="D376" s="121">
        <v>5</v>
      </c>
      <c r="E376" s="121">
        <v>1</v>
      </c>
      <c r="F376" s="121"/>
      <c r="G376" s="121">
        <v>3778449638</v>
      </c>
      <c r="H376" s="121">
        <v>8787591569</v>
      </c>
      <c r="I376" s="121">
        <v>6913184000</v>
      </c>
      <c r="J376" s="121"/>
      <c r="K376" s="18">
        <f t="shared" si="10"/>
        <v>44</v>
      </c>
      <c r="L376" s="18">
        <f t="shared" si="11"/>
        <v>19479225207</v>
      </c>
    </row>
    <row r="377" spans="1:12" x14ac:dyDescent="0.35">
      <c r="A377" s="155" t="s">
        <v>980</v>
      </c>
      <c r="B377" s="155" t="s">
        <v>1262</v>
      </c>
      <c r="C377" s="121">
        <v>470</v>
      </c>
      <c r="D377" s="121">
        <v>52</v>
      </c>
      <c r="E377" s="121">
        <v>2</v>
      </c>
      <c r="F377" s="121"/>
      <c r="G377" s="121">
        <v>22541653924</v>
      </c>
      <c r="H377" s="121">
        <v>112718441628</v>
      </c>
      <c r="I377" s="121">
        <v>44256874870</v>
      </c>
      <c r="J377" s="121"/>
      <c r="K377" s="18">
        <f t="shared" si="10"/>
        <v>524</v>
      </c>
      <c r="L377" s="18">
        <f t="shared" si="11"/>
        <v>179516970422</v>
      </c>
    </row>
    <row r="378" spans="1:12" x14ac:dyDescent="0.35">
      <c r="A378" s="155" t="s">
        <v>981</v>
      </c>
      <c r="B378" s="155" t="s">
        <v>982</v>
      </c>
      <c r="C378" s="121">
        <v>244</v>
      </c>
      <c r="D378" s="121">
        <v>12</v>
      </c>
      <c r="E378" s="121">
        <v>1</v>
      </c>
      <c r="F378" s="121"/>
      <c r="G378" s="121">
        <v>7193681604</v>
      </c>
      <c r="H378" s="121">
        <v>18080263506</v>
      </c>
      <c r="I378" s="121">
        <v>9503254233</v>
      </c>
      <c r="J378" s="121"/>
      <c r="K378" s="18">
        <f t="shared" si="10"/>
        <v>257</v>
      </c>
      <c r="L378" s="18">
        <f t="shared" si="11"/>
        <v>34777199343</v>
      </c>
    </row>
    <row r="379" spans="1:12" x14ac:dyDescent="0.35">
      <c r="A379" s="155" t="s">
        <v>983</v>
      </c>
      <c r="B379" s="155" t="s">
        <v>984</v>
      </c>
      <c r="C379" s="121">
        <v>959</v>
      </c>
      <c r="D379" s="121">
        <v>266</v>
      </c>
      <c r="E379" s="121">
        <v>106</v>
      </c>
      <c r="F379" s="121">
        <v>26</v>
      </c>
      <c r="G379" s="121">
        <v>63566450146</v>
      </c>
      <c r="H379" s="121">
        <v>653917447487</v>
      </c>
      <c r="I379" s="121">
        <v>1552476579618</v>
      </c>
      <c r="J379" s="121">
        <v>4079106044872</v>
      </c>
      <c r="K379" s="18">
        <f t="shared" si="10"/>
        <v>1357</v>
      </c>
      <c r="L379" s="18">
        <f t="shared" si="11"/>
        <v>6349066522123</v>
      </c>
    </row>
    <row r="380" spans="1:12" x14ac:dyDescent="0.35">
      <c r="A380" s="155" t="s">
        <v>985</v>
      </c>
      <c r="B380" s="155" t="s">
        <v>219</v>
      </c>
      <c r="C380" s="121">
        <v>359</v>
      </c>
      <c r="D380" s="121">
        <v>8</v>
      </c>
      <c r="E380" s="121"/>
      <c r="F380" s="121"/>
      <c r="G380" s="121">
        <v>14408808487</v>
      </c>
      <c r="H380" s="121">
        <v>15742757980</v>
      </c>
      <c r="I380" s="121"/>
      <c r="J380" s="121"/>
      <c r="K380" s="18">
        <f t="shared" si="10"/>
        <v>367</v>
      </c>
      <c r="L380" s="18">
        <f t="shared" si="11"/>
        <v>30151566467</v>
      </c>
    </row>
    <row r="381" spans="1:12" x14ac:dyDescent="0.35">
      <c r="A381" s="155" t="s">
        <v>986</v>
      </c>
      <c r="B381" s="155" t="s">
        <v>987</v>
      </c>
      <c r="C381" s="121">
        <v>171</v>
      </c>
      <c r="D381" s="121">
        <v>15</v>
      </c>
      <c r="E381" s="121">
        <v>1</v>
      </c>
      <c r="F381" s="121">
        <v>1</v>
      </c>
      <c r="G381" s="121">
        <v>11473980804</v>
      </c>
      <c r="H381" s="121">
        <v>28931489159</v>
      </c>
      <c r="I381" s="121">
        <v>8136034000</v>
      </c>
      <c r="J381" s="121">
        <v>3211061040226</v>
      </c>
      <c r="K381" s="18">
        <f t="shared" si="10"/>
        <v>188</v>
      </c>
      <c r="L381" s="18">
        <f t="shared" si="11"/>
        <v>3259602544189</v>
      </c>
    </row>
    <row r="382" spans="1:12" x14ac:dyDescent="0.35">
      <c r="A382" s="155" t="s">
        <v>988</v>
      </c>
      <c r="B382" s="155" t="s">
        <v>989</v>
      </c>
      <c r="C382" s="121">
        <v>25</v>
      </c>
      <c r="D382" s="121">
        <v>1</v>
      </c>
      <c r="E382" s="121"/>
      <c r="F382" s="121"/>
      <c r="G382" s="121">
        <v>753896375</v>
      </c>
      <c r="H382" s="121">
        <v>876716821</v>
      </c>
      <c r="I382" s="121"/>
      <c r="J382" s="121"/>
      <c r="K382" s="18">
        <f t="shared" si="10"/>
        <v>26</v>
      </c>
      <c r="L382" s="18">
        <f t="shared" si="11"/>
        <v>1630613196</v>
      </c>
    </row>
    <row r="383" spans="1:12" x14ac:dyDescent="0.35">
      <c r="A383" s="155" t="s">
        <v>990</v>
      </c>
      <c r="B383" s="155" t="s">
        <v>1263</v>
      </c>
      <c r="C383" s="121">
        <v>7</v>
      </c>
      <c r="D383" s="121"/>
      <c r="E383" s="121"/>
      <c r="F383" s="121"/>
      <c r="G383" s="121">
        <v>26850000</v>
      </c>
      <c r="H383" s="121"/>
      <c r="I383" s="121"/>
      <c r="J383" s="121"/>
      <c r="K383" s="18">
        <f t="shared" si="10"/>
        <v>7</v>
      </c>
      <c r="L383" s="18">
        <f t="shared" si="11"/>
        <v>26850000</v>
      </c>
    </row>
    <row r="384" spans="1:12" x14ac:dyDescent="0.35">
      <c r="A384" s="155" t="s">
        <v>991</v>
      </c>
      <c r="B384" s="155" t="s">
        <v>992</v>
      </c>
      <c r="C384" s="121">
        <v>152</v>
      </c>
      <c r="D384" s="121">
        <v>7</v>
      </c>
      <c r="E384" s="121">
        <v>1</v>
      </c>
      <c r="F384" s="121"/>
      <c r="G384" s="121">
        <v>5881416086</v>
      </c>
      <c r="H384" s="121">
        <v>9096855239</v>
      </c>
      <c r="I384" s="121">
        <v>7065279400</v>
      </c>
      <c r="J384" s="121"/>
      <c r="K384" s="18">
        <f t="shared" si="10"/>
        <v>160</v>
      </c>
      <c r="L384" s="18">
        <f t="shared" si="11"/>
        <v>22043550725</v>
      </c>
    </row>
    <row r="385" spans="1:12" x14ac:dyDescent="0.35">
      <c r="A385" s="155" t="s">
        <v>993</v>
      </c>
      <c r="B385" s="155" t="s">
        <v>994</v>
      </c>
      <c r="C385" s="121">
        <v>331</v>
      </c>
      <c r="D385" s="121">
        <v>93</v>
      </c>
      <c r="E385" s="121">
        <v>19</v>
      </c>
      <c r="F385" s="121">
        <v>4</v>
      </c>
      <c r="G385" s="121">
        <v>28020966628</v>
      </c>
      <c r="H385" s="121">
        <v>203599297975</v>
      </c>
      <c r="I385" s="121">
        <v>283513734281</v>
      </c>
      <c r="J385" s="121">
        <v>483605686533</v>
      </c>
      <c r="K385" s="18">
        <f t="shared" si="10"/>
        <v>447</v>
      </c>
      <c r="L385" s="18">
        <f t="shared" si="11"/>
        <v>998739685417</v>
      </c>
    </row>
    <row r="386" spans="1:12" x14ac:dyDescent="0.35">
      <c r="A386" s="155" t="s">
        <v>995</v>
      </c>
      <c r="B386" s="155" t="s">
        <v>996</v>
      </c>
      <c r="C386" s="121">
        <v>16</v>
      </c>
      <c r="D386" s="121">
        <v>8</v>
      </c>
      <c r="E386" s="121">
        <v>1</v>
      </c>
      <c r="F386" s="121"/>
      <c r="G386" s="121">
        <v>2523180620</v>
      </c>
      <c r="H386" s="121">
        <v>14920653840</v>
      </c>
      <c r="I386" s="121">
        <v>6912432000</v>
      </c>
      <c r="J386" s="121"/>
      <c r="K386" s="18">
        <f t="shared" si="10"/>
        <v>25</v>
      </c>
      <c r="L386" s="18">
        <f t="shared" si="11"/>
        <v>24356266460</v>
      </c>
    </row>
    <row r="387" spans="1:12" x14ac:dyDescent="0.35">
      <c r="A387" s="155" t="s">
        <v>997</v>
      </c>
      <c r="B387" s="155" t="s">
        <v>1264</v>
      </c>
      <c r="C387" s="121">
        <v>35</v>
      </c>
      <c r="D387" s="121">
        <v>3</v>
      </c>
      <c r="E387" s="121"/>
      <c r="F387" s="121"/>
      <c r="G387" s="121">
        <v>2341175505</v>
      </c>
      <c r="H387" s="121">
        <v>10405702488</v>
      </c>
      <c r="I387" s="121"/>
      <c r="J387" s="121"/>
      <c r="K387" s="18">
        <f t="shared" si="10"/>
        <v>38</v>
      </c>
      <c r="L387" s="18">
        <f t="shared" si="11"/>
        <v>12746877993</v>
      </c>
    </row>
    <row r="388" spans="1:12" x14ac:dyDescent="0.35">
      <c r="A388" s="155" t="s">
        <v>998</v>
      </c>
      <c r="B388" s="155" t="s">
        <v>1265</v>
      </c>
      <c r="C388" s="121">
        <v>30</v>
      </c>
      <c r="D388" s="121">
        <v>16</v>
      </c>
      <c r="E388" s="121">
        <v>12</v>
      </c>
      <c r="F388" s="121">
        <v>1</v>
      </c>
      <c r="G388" s="121">
        <v>4182465760</v>
      </c>
      <c r="H388" s="121">
        <v>43870153422</v>
      </c>
      <c r="I388" s="121">
        <v>157868870606</v>
      </c>
      <c r="J388" s="121">
        <v>40439738847</v>
      </c>
      <c r="K388" s="18">
        <f t="shared" si="10"/>
        <v>59</v>
      </c>
      <c r="L388" s="18">
        <f t="shared" si="11"/>
        <v>246361228635</v>
      </c>
    </row>
    <row r="389" spans="1:12" x14ac:dyDescent="0.35">
      <c r="A389" s="155" t="s">
        <v>999</v>
      </c>
      <c r="B389" s="155" t="s">
        <v>1266</v>
      </c>
      <c r="C389" s="121">
        <v>65</v>
      </c>
      <c r="D389" s="121">
        <v>9</v>
      </c>
      <c r="E389" s="121">
        <v>1</v>
      </c>
      <c r="F389" s="121"/>
      <c r="G389" s="121">
        <v>3232082571</v>
      </c>
      <c r="H389" s="121">
        <v>14454535327</v>
      </c>
      <c r="I389" s="121">
        <v>9773764000</v>
      </c>
      <c r="J389" s="121"/>
      <c r="K389" s="18">
        <f t="shared" si="10"/>
        <v>75</v>
      </c>
      <c r="L389" s="18">
        <f t="shared" si="11"/>
        <v>27460381898</v>
      </c>
    </row>
    <row r="390" spans="1:12" x14ac:dyDescent="0.35">
      <c r="A390" s="155" t="s">
        <v>1000</v>
      </c>
      <c r="B390" s="155" t="s">
        <v>1001</v>
      </c>
      <c r="C390" s="121">
        <v>814</v>
      </c>
      <c r="D390" s="121">
        <v>38</v>
      </c>
      <c r="E390" s="121">
        <v>4</v>
      </c>
      <c r="F390" s="121"/>
      <c r="G390" s="121">
        <v>27060393735</v>
      </c>
      <c r="H390" s="121">
        <v>87724111179</v>
      </c>
      <c r="I390" s="121">
        <v>59614127811</v>
      </c>
      <c r="J390" s="121"/>
      <c r="K390" s="18">
        <f t="shared" ref="K390:K453" si="12">+SUM(C390:F390)</f>
        <v>856</v>
      </c>
      <c r="L390" s="18">
        <f t="shared" ref="L390:L453" si="13">+SUM(G390:J390)</f>
        <v>174398632725</v>
      </c>
    </row>
    <row r="391" spans="1:12" x14ac:dyDescent="0.35">
      <c r="A391" s="155" t="s">
        <v>1002</v>
      </c>
      <c r="B391" s="155" t="s">
        <v>1003</v>
      </c>
      <c r="C391" s="121">
        <v>659</v>
      </c>
      <c r="D391" s="121">
        <v>17</v>
      </c>
      <c r="E391" s="121">
        <v>5</v>
      </c>
      <c r="F391" s="121"/>
      <c r="G391" s="121">
        <v>20579464093</v>
      </c>
      <c r="H391" s="121">
        <v>29424971244</v>
      </c>
      <c r="I391" s="121">
        <v>69993626034</v>
      </c>
      <c r="J391" s="121"/>
      <c r="K391" s="18">
        <f t="shared" si="12"/>
        <v>681</v>
      </c>
      <c r="L391" s="18">
        <f t="shared" si="13"/>
        <v>119998061371</v>
      </c>
    </row>
    <row r="392" spans="1:12" x14ac:dyDescent="0.35">
      <c r="A392" s="155" t="s">
        <v>1004</v>
      </c>
      <c r="B392" s="155" t="s">
        <v>1005</v>
      </c>
      <c r="C392" s="121">
        <v>165</v>
      </c>
      <c r="D392" s="121">
        <v>9</v>
      </c>
      <c r="E392" s="121"/>
      <c r="F392" s="121"/>
      <c r="G392" s="121">
        <v>4256194939</v>
      </c>
      <c r="H392" s="121">
        <v>16310847119</v>
      </c>
      <c r="I392" s="121"/>
      <c r="J392" s="121"/>
      <c r="K392" s="18">
        <f t="shared" si="12"/>
        <v>174</v>
      </c>
      <c r="L392" s="18">
        <f t="shared" si="13"/>
        <v>20567042058</v>
      </c>
    </row>
    <row r="393" spans="1:12" x14ac:dyDescent="0.35">
      <c r="A393" s="155" t="s">
        <v>1006</v>
      </c>
      <c r="B393" s="155" t="s">
        <v>1007</v>
      </c>
      <c r="C393" s="121">
        <v>21</v>
      </c>
      <c r="D393" s="121">
        <v>33</v>
      </c>
      <c r="E393" s="121">
        <v>9</v>
      </c>
      <c r="F393" s="121">
        <v>3</v>
      </c>
      <c r="G393" s="121">
        <v>3228744384</v>
      </c>
      <c r="H393" s="121">
        <v>64485766727</v>
      </c>
      <c r="I393" s="121">
        <v>157857156768</v>
      </c>
      <c r="J393" s="121">
        <v>168668986277</v>
      </c>
      <c r="K393" s="18">
        <f t="shared" si="12"/>
        <v>66</v>
      </c>
      <c r="L393" s="18">
        <f t="shared" si="13"/>
        <v>394240654156</v>
      </c>
    </row>
    <row r="394" spans="1:12" x14ac:dyDescent="0.35">
      <c r="A394" s="155" t="s">
        <v>1008</v>
      </c>
      <c r="B394" s="155" t="s">
        <v>1009</v>
      </c>
      <c r="C394" s="121">
        <v>172</v>
      </c>
      <c r="D394" s="121">
        <v>16</v>
      </c>
      <c r="E394" s="121">
        <v>1</v>
      </c>
      <c r="F394" s="121"/>
      <c r="G394" s="121">
        <v>4924017905</v>
      </c>
      <c r="H394" s="121">
        <v>30126590053</v>
      </c>
      <c r="I394" s="121">
        <v>9346544343</v>
      </c>
      <c r="J394" s="121"/>
      <c r="K394" s="18">
        <f t="shared" si="12"/>
        <v>189</v>
      </c>
      <c r="L394" s="18">
        <f t="shared" si="13"/>
        <v>44397152301</v>
      </c>
    </row>
    <row r="395" spans="1:12" x14ac:dyDescent="0.35">
      <c r="A395" s="155" t="s">
        <v>1010</v>
      </c>
      <c r="B395" s="155" t="s">
        <v>1011</v>
      </c>
      <c r="C395" s="121">
        <v>21</v>
      </c>
      <c r="D395" s="121">
        <v>1</v>
      </c>
      <c r="E395" s="121"/>
      <c r="F395" s="121"/>
      <c r="G395" s="121">
        <v>1640157199</v>
      </c>
      <c r="H395" s="121">
        <v>2500000000</v>
      </c>
      <c r="I395" s="121"/>
      <c r="J395" s="121"/>
      <c r="K395" s="18">
        <f t="shared" si="12"/>
        <v>22</v>
      </c>
      <c r="L395" s="18">
        <f t="shared" si="13"/>
        <v>4140157199</v>
      </c>
    </row>
    <row r="396" spans="1:12" x14ac:dyDescent="0.35">
      <c r="A396" s="155" t="s">
        <v>1012</v>
      </c>
      <c r="B396" s="155" t="s">
        <v>1013</v>
      </c>
      <c r="C396" s="121">
        <v>67</v>
      </c>
      <c r="D396" s="121">
        <v>3</v>
      </c>
      <c r="E396" s="121"/>
      <c r="F396" s="121"/>
      <c r="G396" s="121">
        <v>3510844171</v>
      </c>
      <c r="H396" s="121">
        <v>6316489298</v>
      </c>
      <c r="I396" s="121"/>
      <c r="J396" s="121"/>
      <c r="K396" s="18">
        <f t="shared" si="12"/>
        <v>70</v>
      </c>
      <c r="L396" s="18">
        <f t="shared" si="13"/>
        <v>9827333469</v>
      </c>
    </row>
    <row r="397" spans="1:12" x14ac:dyDescent="0.35">
      <c r="A397" s="155" t="s">
        <v>1014</v>
      </c>
      <c r="B397" s="155" t="s">
        <v>1015</v>
      </c>
      <c r="C397" s="121">
        <v>123</v>
      </c>
      <c r="D397" s="121">
        <v>7</v>
      </c>
      <c r="E397" s="121">
        <v>2</v>
      </c>
      <c r="F397" s="121">
        <v>1</v>
      </c>
      <c r="G397" s="121">
        <v>5770587152</v>
      </c>
      <c r="H397" s="121">
        <v>18231502363</v>
      </c>
      <c r="I397" s="121">
        <v>18948883993</v>
      </c>
      <c r="J397" s="121">
        <v>39054473997</v>
      </c>
      <c r="K397" s="18">
        <f t="shared" si="12"/>
        <v>133</v>
      </c>
      <c r="L397" s="18">
        <f t="shared" si="13"/>
        <v>82005447505</v>
      </c>
    </row>
    <row r="398" spans="1:12" x14ac:dyDescent="0.35">
      <c r="A398" s="155" t="s">
        <v>1016</v>
      </c>
      <c r="B398" s="155" t="s">
        <v>1017</v>
      </c>
      <c r="C398" s="121">
        <v>230</v>
      </c>
      <c r="D398" s="121">
        <v>12</v>
      </c>
      <c r="E398" s="121">
        <v>6</v>
      </c>
      <c r="F398" s="121"/>
      <c r="G398" s="121">
        <v>10464841642</v>
      </c>
      <c r="H398" s="121">
        <v>28555688225</v>
      </c>
      <c r="I398" s="121">
        <v>63064946920</v>
      </c>
      <c r="J398" s="121"/>
      <c r="K398" s="18">
        <f t="shared" si="12"/>
        <v>248</v>
      </c>
      <c r="L398" s="18">
        <f t="shared" si="13"/>
        <v>102085476787</v>
      </c>
    </row>
    <row r="399" spans="1:12" x14ac:dyDescent="0.35">
      <c r="A399" s="155" t="s">
        <v>1018</v>
      </c>
      <c r="B399" s="155" t="s">
        <v>1019</v>
      </c>
      <c r="C399" s="121">
        <v>145</v>
      </c>
      <c r="D399" s="121">
        <v>6</v>
      </c>
      <c r="E399" s="121"/>
      <c r="F399" s="121"/>
      <c r="G399" s="121">
        <v>5465220983</v>
      </c>
      <c r="H399" s="121">
        <v>8423628420</v>
      </c>
      <c r="I399" s="121"/>
      <c r="J399" s="121"/>
      <c r="K399" s="18">
        <f t="shared" si="12"/>
        <v>151</v>
      </c>
      <c r="L399" s="18">
        <f t="shared" si="13"/>
        <v>13888849403</v>
      </c>
    </row>
    <row r="400" spans="1:12" x14ac:dyDescent="0.35">
      <c r="A400" s="155" t="s">
        <v>1020</v>
      </c>
      <c r="B400" s="155" t="s">
        <v>1021</v>
      </c>
      <c r="C400" s="121">
        <v>247</v>
      </c>
      <c r="D400" s="121">
        <v>29</v>
      </c>
      <c r="E400" s="121">
        <v>10</v>
      </c>
      <c r="F400" s="121">
        <v>2</v>
      </c>
      <c r="G400" s="121">
        <v>12049157987</v>
      </c>
      <c r="H400" s="121">
        <v>76496949336</v>
      </c>
      <c r="I400" s="121">
        <v>122154356868</v>
      </c>
      <c r="J400" s="121">
        <v>464292415232</v>
      </c>
      <c r="K400" s="18">
        <f t="shared" si="12"/>
        <v>288</v>
      </c>
      <c r="L400" s="18">
        <f t="shared" si="13"/>
        <v>674992879423</v>
      </c>
    </row>
    <row r="401" spans="1:12" x14ac:dyDescent="0.35">
      <c r="A401" s="155" t="s">
        <v>1022</v>
      </c>
      <c r="B401" s="155" t="s">
        <v>1023</v>
      </c>
      <c r="C401" s="121">
        <v>93</v>
      </c>
      <c r="D401" s="121">
        <v>2</v>
      </c>
      <c r="E401" s="121">
        <v>1</v>
      </c>
      <c r="F401" s="121"/>
      <c r="G401" s="121">
        <v>988619166</v>
      </c>
      <c r="H401" s="121">
        <v>2145553116</v>
      </c>
      <c r="I401" s="121">
        <v>10994943836</v>
      </c>
      <c r="J401" s="121"/>
      <c r="K401" s="18">
        <f t="shared" si="12"/>
        <v>96</v>
      </c>
      <c r="L401" s="18">
        <f t="shared" si="13"/>
        <v>14129116118</v>
      </c>
    </row>
    <row r="402" spans="1:12" x14ac:dyDescent="0.35">
      <c r="A402" s="155" t="s">
        <v>1024</v>
      </c>
      <c r="B402" s="155" t="s">
        <v>1267</v>
      </c>
      <c r="C402" s="121">
        <v>220</v>
      </c>
      <c r="D402" s="121">
        <v>34</v>
      </c>
      <c r="E402" s="121">
        <v>4</v>
      </c>
      <c r="F402" s="121">
        <v>6</v>
      </c>
      <c r="G402" s="121">
        <v>16156667436</v>
      </c>
      <c r="H402" s="121">
        <v>70891978268</v>
      </c>
      <c r="I402" s="121">
        <v>63715250686</v>
      </c>
      <c r="J402" s="121">
        <v>1411323356790</v>
      </c>
      <c r="K402" s="18">
        <f t="shared" si="12"/>
        <v>264</v>
      </c>
      <c r="L402" s="18">
        <f t="shared" si="13"/>
        <v>1562087253180</v>
      </c>
    </row>
    <row r="403" spans="1:12" x14ac:dyDescent="0.35">
      <c r="A403" s="155" t="s">
        <v>1025</v>
      </c>
      <c r="B403" s="155" t="s">
        <v>1026</v>
      </c>
      <c r="C403" s="121">
        <v>408</v>
      </c>
      <c r="D403" s="121">
        <v>58</v>
      </c>
      <c r="E403" s="121">
        <v>6</v>
      </c>
      <c r="F403" s="121">
        <v>1</v>
      </c>
      <c r="G403" s="121">
        <v>21598666802</v>
      </c>
      <c r="H403" s="121">
        <v>120173873858</v>
      </c>
      <c r="I403" s="121">
        <v>120553195822</v>
      </c>
      <c r="J403" s="121">
        <v>361651000000</v>
      </c>
      <c r="K403" s="18">
        <f t="shared" si="12"/>
        <v>473</v>
      </c>
      <c r="L403" s="18">
        <f t="shared" si="13"/>
        <v>623976736482</v>
      </c>
    </row>
    <row r="404" spans="1:12" x14ac:dyDescent="0.35">
      <c r="A404" s="155" t="s">
        <v>1027</v>
      </c>
      <c r="B404" s="155" t="s">
        <v>1028</v>
      </c>
      <c r="C404" s="121">
        <v>39</v>
      </c>
      <c r="D404" s="121">
        <v>5</v>
      </c>
      <c r="E404" s="121">
        <v>3</v>
      </c>
      <c r="F404" s="121"/>
      <c r="G404" s="121">
        <v>1510603367</v>
      </c>
      <c r="H404" s="121">
        <v>6832518413</v>
      </c>
      <c r="I404" s="121">
        <v>30665689007</v>
      </c>
      <c r="J404" s="121"/>
      <c r="K404" s="18">
        <f t="shared" si="12"/>
        <v>47</v>
      </c>
      <c r="L404" s="18">
        <f t="shared" si="13"/>
        <v>39008810787</v>
      </c>
    </row>
    <row r="405" spans="1:12" x14ac:dyDescent="0.35">
      <c r="A405" s="155" t="s">
        <v>1029</v>
      </c>
      <c r="B405" s="155" t="s">
        <v>1030</v>
      </c>
      <c r="C405" s="121">
        <v>28</v>
      </c>
      <c r="D405" s="121">
        <v>6</v>
      </c>
      <c r="E405" s="121">
        <v>2</v>
      </c>
      <c r="F405" s="121"/>
      <c r="G405" s="121">
        <v>1458993958</v>
      </c>
      <c r="H405" s="121">
        <v>17666999036</v>
      </c>
      <c r="I405" s="121">
        <v>19492408343</v>
      </c>
      <c r="J405" s="121"/>
      <c r="K405" s="18">
        <f t="shared" si="12"/>
        <v>36</v>
      </c>
      <c r="L405" s="18">
        <f t="shared" si="13"/>
        <v>38618401337</v>
      </c>
    </row>
    <row r="406" spans="1:12" x14ac:dyDescent="0.35">
      <c r="A406" s="155" t="s">
        <v>1031</v>
      </c>
      <c r="B406" s="155" t="s">
        <v>1032</v>
      </c>
      <c r="C406" s="121">
        <v>1548</v>
      </c>
      <c r="D406" s="121">
        <v>210</v>
      </c>
      <c r="E406" s="121">
        <v>76</v>
      </c>
      <c r="F406" s="121">
        <v>19</v>
      </c>
      <c r="G406" s="121">
        <v>52105548043</v>
      </c>
      <c r="H406" s="121">
        <v>531871644471</v>
      </c>
      <c r="I406" s="121">
        <v>1242771271757</v>
      </c>
      <c r="J406" s="121">
        <v>2186593664308</v>
      </c>
      <c r="K406" s="18">
        <f t="shared" si="12"/>
        <v>1853</v>
      </c>
      <c r="L406" s="18">
        <f t="shared" si="13"/>
        <v>4013342128579</v>
      </c>
    </row>
    <row r="407" spans="1:12" x14ac:dyDescent="0.35">
      <c r="A407" s="155" t="s">
        <v>1033</v>
      </c>
      <c r="B407" s="155" t="s">
        <v>1034</v>
      </c>
      <c r="C407" s="121">
        <v>1</v>
      </c>
      <c r="D407" s="121">
        <v>3</v>
      </c>
      <c r="E407" s="121"/>
      <c r="F407" s="121"/>
      <c r="G407" s="121">
        <v>8000000</v>
      </c>
      <c r="H407" s="121">
        <v>7389768201</v>
      </c>
      <c r="I407" s="121"/>
      <c r="J407" s="121"/>
      <c r="K407" s="18">
        <f t="shared" si="12"/>
        <v>4</v>
      </c>
      <c r="L407" s="18">
        <f t="shared" si="13"/>
        <v>7397768201</v>
      </c>
    </row>
    <row r="408" spans="1:12" x14ac:dyDescent="0.35">
      <c r="A408" s="155" t="s">
        <v>1035</v>
      </c>
      <c r="B408" s="155" t="s">
        <v>1268</v>
      </c>
      <c r="C408" s="121">
        <v>12</v>
      </c>
      <c r="D408" s="121"/>
      <c r="E408" s="121"/>
      <c r="F408" s="121"/>
      <c r="G408" s="121">
        <v>372054678</v>
      </c>
      <c r="H408" s="121"/>
      <c r="I408" s="121"/>
      <c r="J408" s="121"/>
      <c r="K408" s="18">
        <f t="shared" si="12"/>
        <v>12</v>
      </c>
      <c r="L408" s="18">
        <f t="shared" si="13"/>
        <v>372054678</v>
      </c>
    </row>
    <row r="409" spans="1:12" x14ac:dyDescent="0.35">
      <c r="A409" s="155" t="s">
        <v>1036</v>
      </c>
      <c r="B409" s="155" t="s">
        <v>1037</v>
      </c>
      <c r="C409" s="121">
        <v>5</v>
      </c>
      <c r="D409" s="121"/>
      <c r="E409" s="121"/>
      <c r="F409" s="121"/>
      <c r="G409" s="121">
        <v>105012872</v>
      </c>
      <c r="H409" s="121"/>
      <c r="I409" s="121"/>
      <c r="J409" s="121"/>
      <c r="K409" s="18">
        <f t="shared" si="12"/>
        <v>5</v>
      </c>
      <c r="L409" s="18">
        <f t="shared" si="13"/>
        <v>105012872</v>
      </c>
    </row>
    <row r="410" spans="1:12" x14ac:dyDescent="0.35">
      <c r="A410" s="155" t="s">
        <v>1040</v>
      </c>
      <c r="B410" s="155" t="s">
        <v>1041</v>
      </c>
      <c r="C410" s="121">
        <v>7</v>
      </c>
      <c r="D410" s="121">
        <v>1</v>
      </c>
      <c r="E410" s="121"/>
      <c r="F410" s="121">
        <v>1</v>
      </c>
      <c r="G410" s="121">
        <v>269947782</v>
      </c>
      <c r="H410" s="121">
        <v>1410221656</v>
      </c>
      <c r="I410" s="121"/>
      <c r="J410" s="121">
        <v>183028642088</v>
      </c>
      <c r="K410" s="18">
        <f t="shared" si="12"/>
        <v>9</v>
      </c>
      <c r="L410" s="18">
        <f t="shared" si="13"/>
        <v>184708811526</v>
      </c>
    </row>
    <row r="411" spans="1:12" x14ac:dyDescent="0.35">
      <c r="A411" s="155" t="s">
        <v>1042</v>
      </c>
      <c r="B411" s="155" t="s">
        <v>1043</v>
      </c>
      <c r="C411" s="121">
        <v>57</v>
      </c>
      <c r="D411" s="121"/>
      <c r="E411" s="121"/>
      <c r="F411" s="121"/>
      <c r="G411" s="121">
        <v>671939101</v>
      </c>
      <c r="H411" s="121"/>
      <c r="I411" s="121"/>
      <c r="J411" s="121"/>
      <c r="K411" s="18">
        <f t="shared" si="12"/>
        <v>57</v>
      </c>
      <c r="L411" s="18">
        <f t="shared" si="13"/>
        <v>671939101</v>
      </c>
    </row>
    <row r="412" spans="1:12" x14ac:dyDescent="0.35">
      <c r="A412" s="155" t="s">
        <v>1044</v>
      </c>
      <c r="B412" s="155" t="s">
        <v>1045</v>
      </c>
      <c r="C412" s="121">
        <v>104</v>
      </c>
      <c r="D412" s="121">
        <v>8</v>
      </c>
      <c r="E412" s="121">
        <v>1</v>
      </c>
      <c r="F412" s="121"/>
      <c r="G412" s="121">
        <v>4531890002</v>
      </c>
      <c r="H412" s="121">
        <v>10758166087</v>
      </c>
      <c r="I412" s="121">
        <v>38719934000</v>
      </c>
      <c r="J412" s="121"/>
      <c r="K412" s="18">
        <f t="shared" si="12"/>
        <v>113</v>
      </c>
      <c r="L412" s="18">
        <f t="shared" si="13"/>
        <v>54009990089</v>
      </c>
    </row>
    <row r="413" spans="1:12" x14ac:dyDescent="0.35">
      <c r="A413" s="155" t="s">
        <v>1046</v>
      </c>
      <c r="B413" s="155" t="s">
        <v>1047</v>
      </c>
      <c r="C413" s="121">
        <v>14</v>
      </c>
      <c r="D413" s="121"/>
      <c r="E413" s="121"/>
      <c r="F413" s="121"/>
      <c r="G413" s="121">
        <v>1933873001</v>
      </c>
      <c r="H413" s="121"/>
      <c r="I413" s="121"/>
      <c r="J413" s="121"/>
      <c r="K413" s="18">
        <f t="shared" si="12"/>
        <v>14</v>
      </c>
      <c r="L413" s="18">
        <f t="shared" si="13"/>
        <v>1933873001</v>
      </c>
    </row>
    <row r="414" spans="1:12" x14ac:dyDescent="0.35">
      <c r="A414" s="155" t="s">
        <v>1048</v>
      </c>
      <c r="B414" s="155" t="s">
        <v>1269</v>
      </c>
      <c r="C414" s="121">
        <v>10</v>
      </c>
      <c r="D414" s="121"/>
      <c r="E414" s="121"/>
      <c r="F414" s="121"/>
      <c r="G414" s="121">
        <v>194474063</v>
      </c>
      <c r="H414" s="121"/>
      <c r="I414" s="121"/>
      <c r="J414" s="121"/>
      <c r="K414" s="18">
        <f t="shared" si="12"/>
        <v>10</v>
      </c>
      <c r="L414" s="18">
        <f t="shared" si="13"/>
        <v>194474063</v>
      </c>
    </row>
    <row r="415" spans="1:12" x14ac:dyDescent="0.35">
      <c r="A415" s="155" t="s">
        <v>1049</v>
      </c>
      <c r="B415" s="155" t="s">
        <v>1050</v>
      </c>
      <c r="C415" s="121">
        <v>4</v>
      </c>
      <c r="D415" s="121"/>
      <c r="E415" s="121"/>
      <c r="F415" s="121"/>
      <c r="G415" s="121">
        <v>120100000</v>
      </c>
      <c r="H415" s="121"/>
      <c r="I415" s="121"/>
      <c r="J415" s="121"/>
      <c r="K415" s="18">
        <f t="shared" si="12"/>
        <v>4</v>
      </c>
      <c r="L415" s="18">
        <f t="shared" si="13"/>
        <v>120100000</v>
      </c>
    </row>
    <row r="416" spans="1:12" x14ac:dyDescent="0.35">
      <c r="A416" s="155" t="s">
        <v>1051</v>
      </c>
      <c r="B416" s="155" t="s">
        <v>1270</v>
      </c>
      <c r="C416" s="121">
        <v>28</v>
      </c>
      <c r="D416" s="121">
        <v>2</v>
      </c>
      <c r="E416" s="121">
        <v>1</v>
      </c>
      <c r="F416" s="121"/>
      <c r="G416" s="121">
        <v>2451741694</v>
      </c>
      <c r="H416" s="121">
        <v>2607348691</v>
      </c>
      <c r="I416" s="121">
        <v>7142978949</v>
      </c>
      <c r="J416" s="121"/>
      <c r="K416" s="18">
        <f t="shared" si="12"/>
        <v>31</v>
      </c>
      <c r="L416" s="18">
        <f t="shared" si="13"/>
        <v>12202069334</v>
      </c>
    </row>
    <row r="417" spans="1:12" x14ac:dyDescent="0.35">
      <c r="A417" s="155" t="s">
        <v>1052</v>
      </c>
      <c r="B417" s="155" t="s">
        <v>1271</v>
      </c>
      <c r="C417" s="121">
        <v>46</v>
      </c>
      <c r="D417" s="121">
        <v>8</v>
      </c>
      <c r="E417" s="121">
        <v>2</v>
      </c>
      <c r="F417" s="121"/>
      <c r="G417" s="121">
        <v>4657443357</v>
      </c>
      <c r="H417" s="121">
        <v>13933215062</v>
      </c>
      <c r="I417" s="121">
        <v>41715830849</v>
      </c>
      <c r="J417" s="121"/>
      <c r="K417" s="18">
        <f t="shared" si="12"/>
        <v>56</v>
      </c>
      <c r="L417" s="18">
        <f t="shared" si="13"/>
        <v>60306489268</v>
      </c>
    </row>
    <row r="418" spans="1:12" x14ac:dyDescent="0.35">
      <c r="A418" s="155" t="s">
        <v>1053</v>
      </c>
      <c r="B418" s="155" t="s">
        <v>1054</v>
      </c>
      <c r="C418" s="121">
        <v>10</v>
      </c>
      <c r="D418" s="121">
        <v>2</v>
      </c>
      <c r="E418" s="121"/>
      <c r="F418" s="121"/>
      <c r="G418" s="121">
        <v>418382730</v>
      </c>
      <c r="H418" s="121">
        <v>2206951523</v>
      </c>
      <c r="I418" s="121"/>
      <c r="J418" s="121"/>
      <c r="K418" s="18">
        <f t="shared" si="12"/>
        <v>12</v>
      </c>
      <c r="L418" s="18">
        <f t="shared" si="13"/>
        <v>2625334253</v>
      </c>
    </row>
    <row r="419" spans="1:12" x14ac:dyDescent="0.35">
      <c r="A419" s="155" t="s">
        <v>1326</v>
      </c>
      <c r="B419" s="155" t="s">
        <v>1327</v>
      </c>
      <c r="C419" s="121">
        <v>2</v>
      </c>
      <c r="D419" s="121"/>
      <c r="E419" s="121"/>
      <c r="F419" s="121"/>
      <c r="G419" s="121">
        <v>68133284</v>
      </c>
      <c r="H419" s="121"/>
      <c r="I419" s="121"/>
      <c r="J419" s="121"/>
      <c r="K419" s="18">
        <f t="shared" si="12"/>
        <v>2</v>
      </c>
      <c r="L419" s="18">
        <f t="shared" si="13"/>
        <v>68133284</v>
      </c>
    </row>
    <row r="420" spans="1:12" x14ac:dyDescent="0.35">
      <c r="A420" s="155" t="s">
        <v>1055</v>
      </c>
      <c r="B420" s="155" t="s">
        <v>1056</v>
      </c>
      <c r="C420" s="121">
        <v>4</v>
      </c>
      <c r="D420" s="121"/>
      <c r="E420" s="121"/>
      <c r="F420" s="121"/>
      <c r="G420" s="121">
        <v>5900000</v>
      </c>
      <c r="H420" s="121"/>
      <c r="I420" s="121"/>
      <c r="J420" s="121"/>
      <c r="K420" s="18">
        <f t="shared" si="12"/>
        <v>4</v>
      </c>
      <c r="L420" s="18">
        <f t="shared" si="13"/>
        <v>5900000</v>
      </c>
    </row>
    <row r="421" spans="1:12" x14ac:dyDescent="0.35">
      <c r="A421" s="155" t="s">
        <v>1057</v>
      </c>
      <c r="B421" s="155" t="s">
        <v>1058</v>
      </c>
      <c r="C421" s="121">
        <v>4</v>
      </c>
      <c r="D421" s="121"/>
      <c r="E421" s="121"/>
      <c r="F421" s="121"/>
      <c r="G421" s="121">
        <v>19900000</v>
      </c>
      <c r="H421" s="121"/>
      <c r="I421" s="121"/>
      <c r="J421" s="121"/>
      <c r="K421" s="18">
        <f t="shared" si="12"/>
        <v>4</v>
      </c>
      <c r="L421" s="18">
        <f t="shared" si="13"/>
        <v>19900000</v>
      </c>
    </row>
    <row r="422" spans="1:12" x14ac:dyDescent="0.35">
      <c r="A422" s="155" t="s">
        <v>1059</v>
      </c>
      <c r="B422" s="155" t="s">
        <v>1272</v>
      </c>
      <c r="C422" s="121">
        <v>188</v>
      </c>
      <c r="D422" s="121">
        <v>22</v>
      </c>
      <c r="E422" s="121">
        <v>4</v>
      </c>
      <c r="F422" s="121">
        <v>2</v>
      </c>
      <c r="G422" s="121">
        <v>11383411344</v>
      </c>
      <c r="H422" s="121">
        <v>52254097762</v>
      </c>
      <c r="I422" s="121">
        <v>39726118726</v>
      </c>
      <c r="J422" s="121">
        <v>102125555416</v>
      </c>
      <c r="K422" s="18">
        <f t="shared" si="12"/>
        <v>216</v>
      </c>
      <c r="L422" s="18">
        <f t="shared" si="13"/>
        <v>205489183248</v>
      </c>
    </row>
    <row r="423" spans="1:12" x14ac:dyDescent="0.35">
      <c r="A423" s="155" t="s">
        <v>1060</v>
      </c>
      <c r="B423" s="155" t="s">
        <v>1061</v>
      </c>
      <c r="C423" s="121">
        <v>178</v>
      </c>
      <c r="D423" s="121">
        <v>4</v>
      </c>
      <c r="E423" s="121"/>
      <c r="F423" s="121"/>
      <c r="G423" s="121">
        <v>4169801039</v>
      </c>
      <c r="H423" s="121">
        <v>5477280649</v>
      </c>
      <c r="I423" s="121"/>
      <c r="J423" s="121"/>
      <c r="K423" s="18">
        <f t="shared" si="12"/>
        <v>182</v>
      </c>
      <c r="L423" s="18">
        <f t="shared" si="13"/>
        <v>9647081688</v>
      </c>
    </row>
    <row r="424" spans="1:12" x14ac:dyDescent="0.35">
      <c r="A424" s="155" t="s">
        <v>1062</v>
      </c>
      <c r="B424" s="155" t="s">
        <v>1063</v>
      </c>
      <c r="C424" s="121">
        <v>92</v>
      </c>
      <c r="D424" s="121"/>
      <c r="E424" s="121"/>
      <c r="F424" s="121"/>
      <c r="G424" s="121">
        <v>3866066405</v>
      </c>
      <c r="H424" s="121"/>
      <c r="I424" s="121"/>
      <c r="J424" s="121"/>
      <c r="K424" s="18">
        <f t="shared" si="12"/>
        <v>92</v>
      </c>
      <c r="L424" s="18">
        <f t="shared" si="13"/>
        <v>3866066405</v>
      </c>
    </row>
    <row r="425" spans="1:12" x14ac:dyDescent="0.35">
      <c r="A425" s="155" t="s">
        <v>1064</v>
      </c>
      <c r="B425" s="155" t="s">
        <v>1065</v>
      </c>
      <c r="C425" s="121">
        <v>386</v>
      </c>
      <c r="D425" s="121">
        <v>29</v>
      </c>
      <c r="E425" s="121">
        <v>3</v>
      </c>
      <c r="F425" s="121"/>
      <c r="G425" s="121">
        <v>23857819423</v>
      </c>
      <c r="H425" s="121">
        <v>42462335272</v>
      </c>
      <c r="I425" s="121">
        <v>42552443340</v>
      </c>
      <c r="J425" s="121"/>
      <c r="K425" s="18">
        <f t="shared" si="12"/>
        <v>418</v>
      </c>
      <c r="L425" s="18">
        <f t="shared" si="13"/>
        <v>108872598035</v>
      </c>
    </row>
    <row r="426" spans="1:12" x14ac:dyDescent="0.35">
      <c r="A426" s="155" t="s">
        <v>1066</v>
      </c>
      <c r="B426" s="155" t="s">
        <v>1067</v>
      </c>
      <c r="C426" s="121">
        <v>110</v>
      </c>
      <c r="D426" s="121">
        <v>8</v>
      </c>
      <c r="E426" s="121"/>
      <c r="F426" s="121"/>
      <c r="G426" s="121">
        <v>4886358623</v>
      </c>
      <c r="H426" s="121">
        <v>15275597326</v>
      </c>
      <c r="I426" s="121"/>
      <c r="J426" s="121"/>
      <c r="K426" s="18">
        <f t="shared" si="12"/>
        <v>118</v>
      </c>
      <c r="L426" s="18">
        <f t="shared" si="13"/>
        <v>20161955949</v>
      </c>
    </row>
    <row r="427" spans="1:12" x14ac:dyDescent="0.35">
      <c r="A427" s="155" t="s">
        <v>1068</v>
      </c>
      <c r="B427" s="155" t="s">
        <v>1069</v>
      </c>
      <c r="C427" s="121">
        <v>54</v>
      </c>
      <c r="D427" s="121">
        <v>15</v>
      </c>
      <c r="E427" s="121">
        <v>7</v>
      </c>
      <c r="F427" s="121">
        <v>9</v>
      </c>
      <c r="G427" s="121">
        <v>2913670388</v>
      </c>
      <c r="H427" s="121">
        <v>31316334973</v>
      </c>
      <c r="I427" s="121">
        <v>147611197507</v>
      </c>
      <c r="J427" s="121">
        <v>1910732049628</v>
      </c>
      <c r="K427" s="18">
        <f t="shared" si="12"/>
        <v>85</v>
      </c>
      <c r="L427" s="18">
        <f t="shared" si="13"/>
        <v>2092573252496</v>
      </c>
    </row>
    <row r="428" spans="1:12" x14ac:dyDescent="0.35">
      <c r="A428" s="155" t="s">
        <v>1070</v>
      </c>
      <c r="B428" s="155" t="s">
        <v>1071</v>
      </c>
      <c r="C428" s="121">
        <v>745</v>
      </c>
      <c r="D428" s="121">
        <v>211</v>
      </c>
      <c r="E428" s="121">
        <v>29</v>
      </c>
      <c r="F428" s="121">
        <v>10</v>
      </c>
      <c r="G428" s="121">
        <v>89601731814</v>
      </c>
      <c r="H428" s="121">
        <v>407125883835</v>
      </c>
      <c r="I428" s="121">
        <v>345683389528</v>
      </c>
      <c r="J428" s="121">
        <v>725771280057</v>
      </c>
      <c r="K428" s="18">
        <f t="shared" si="12"/>
        <v>995</v>
      </c>
      <c r="L428" s="18">
        <f t="shared" si="13"/>
        <v>1568182285234</v>
      </c>
    </row>
    <row r="429" spans="1:12" x14ac:dyDescent="0.35">
      <c r="A429" s="155" t="s">
        <v>1072</v>
      </c>
      <c r="B429" s="155" t="s">
        <v>1073</v>
      </c>
      <c r="C429" s="121">
        <v>471</v>
      </c>
      <c r="D429" s="121">
        <v>36</v>
      </c>
      <c r="E429" s="121">
        <v>4</v>
      </c>
      <c r="F429" s="121"/>
      <c r="G429" s="121">
        <v>30193193137</v>
      </c>
      <c r="H429" s="121">
        <v>69420898597</v>
      </c>
      <c r="I429" s="121">
        <v>37503653190</v>
      </c>
      <c r="J429" s="121"/>
      <c r="K429" s="18">
        <f t="shared" si="12"/>
        <v>511</v>
      </c>
      <c r="L429" s="18">
        <f t="shared" si="13"/>
        <v>137117744924</v>
      </c>
    </row>
    <row r="430" spans="1:12" x14ac:dyDescent="0.35">
      <c r="A430" s="155" t="s">
        <v>1074</v>
      </c>
      <c r="B430" s="155" t="s">
        <v>1075</v>
      </c>
      <c r="C430" s="121">
        <v>141</v>
      </c>
      <c r="D430" s="121">
        <v>50</v>
      </c>
      <c r="E430" s="121">
        <v>19</v>
      </c>
      <c r="F430" s="121">
        <v>2</v>
      </c>
      <c r="G430" s="121">
        <v>13841351879</v>
      </c>
      <c r="H430" s="121">
        <v>113376469321</v>
      </c>
      <c r="I430" s="121">
        <v>375096518840</v>
      </c>
      <c r="J430" s="121">
        <v>544572209778</v>
      </c>
      <c r="K430" s="18">
        <f t="shared" si="12"/>
        <v>212</v>
      </c>
      <c r="L430" s="18">
        <f t="shared" si="13"/>
        <v>1046886549818</v>
      </c>
    </row>
    <row r="431" spans="1:12" x14ac:dyDescent="0.35">
      <c r="A431" s="155" t="s">
        <v>1076</v>
      </c>
      <c r="B431" s="155" t="s">
        <v>1077</v>
      </c>
      <c r="C431" s="121">
        <v>401</v>
      </c>
      <c r="D431" s="121">
        <v>22</v>
      </c>
      <c r="E431" s="121">
        <v>1</v>
      </c>
      <c r="F431" s="121">
        <v>1</v>
      </c>
      <c r="G431" s="121">
        <v>16559492059</v>
      </c>
      <c r="H431" s="121">
        <v>37111299287</v>
      </c>
      <c r="I431" s="121">
        <v>27800411305</v>
      </c>
      <c r="J431" s="121">
        <v>286533234000</v>
      </c>
      <c r="K431" s="18">
        <f t="shared" si="12"/>
        <v>425</v>
      </c>
      <c r="L431" s="18">
        <f t="shared" si="13"/>
        <v>368004436651</v>
      </c>
    </row>
    <row r="432" spans="1:12" x14ac:dyDescent="0.35">
      <c r="A432" s="155" t="s">
        <v>1078</v>
      </c>
      <c r="B432" s="155" t="s">
        <v>1079</v>
      </c>
      <c r="C432" s="121">
        <v>341</v>
      </c>
      <c r="D432" s="121">
        <v>64</v>
      </c>
      <c r="E432" s="121">
        <v>9</v>
      </c>
      <c r="F432" s="121">
        <v>4</v>
      </c>
      <c r="G432" s="121">
        <v>25147995257</v>
      </c>
      <c r="H432" s="121">
        <v>133036107361</v>
      </c>
      <c r="I432" s="121">
        <v>124143518843</v>
      </c>
      <c r="J432" s="121">
        <v>1176923623332</v>
      </c>
      <c r="K432" s="18">
        <f t="shared" si="12"/>
        <v>418</v>
      </c>
      <c r="L432" s="18">
        <f t="shared" si="13"/>
        <v>1459251244793</v>
      </c>
    </row>
    <row r="433" spans="1:12" x14ac:dyDescent="0.35">
      <c r="A433" s="155" t="s">
        <v>1080</v>
      </c>
      <c r="B433" s="155" t="s">
        <v>1081</v>
      </c>
      <c r="C433" s="121">
        <v>22</v>
      </c>
      <c r="D433" s="121"/>
      <c r="E433" s="121"/>
      <c r="F433" s="121"/>
      <c r="G433" s="121">
        <v>1255048951</v>
      </c>
      <c r="H433" s="121"/>
      <c r="I433" s="121"/>
      <c r="J433" s="121"/>
      <c r="K433" s="18">
        <f t="shared" si="12"/>
        <v>22</v>
      </c>
      <c r="L433" s="18">
        <f t="shared" si="13"/>
        <v>1255048951</v>
      </c>
    </row>
    <row r="434" spans="1:12" x14ac:dyDescent="0.35">
      <c r="A434" s="155" t="s">
        <v>1082</v>
      </c>
      <c r="B434" s="155" t="s">
        <v>1083</v>
      </c>
      <c r="C434" s="121">
        <v>3</v>
      </c>
      <c r="D434" s="121"/>
      <c r="E434" s="121">
        <v>1</v>
      </c>
      <c r="F434" s="121"/>
      <c r="G434" s="121">
        <v>14200000</v>
      </c>
      <c r="H434" s="121"/>
      <c r="I434" s="121">
        <v>11776026332</v>
      </c>
      <c r="J434" s="121"/>
      <c r="K434" s="18">
        <f t="shared" si="12"/>
        <v>4</v>
      </c>
      <c r="L434" s="18">
        <f t="shared" si="13"/>
        <v>11790226332</v>
      </c>
    </row>
    <row r="435" spans="1:12" x14ac:dyDescent="0.35">
      <c r="A435" s="155" t="s">
        <v>1084</v>
      </c>
      <c r="B435" s="155" t="s">
        <v>1085</v>
      </c>
      <c r="C435" s="121">
        <v>105</v>
      </c>
      <c r="D435" s="121">
        <v>3</v>
      </c>
      <c r="E435" s="121"/>
      <c r="F435" s="121"/>
      <c r="G435" s="121">
        <v>1239201366</v>
      </c>
      <c r="H435" s="121">
        <v>5714607600</v>
      </c>
      <c r="I435" s="121"/>
      <c r="J435" s="121"/>
      <c r="K435" s="18">
        <f t="shared" si="12"/>
        <v>108</v>
      </c>
      <c r="L435" s="18">
        <f t="shared" si="13"/>
        <v>6953808966</v>
      </c>
    </row>
    <row r="436" spans="1:12" x14ac:dyDescent="0.35">
      <c r="A436" s="155" t="s">
        <v>1086</v>
      </c>
      <c r="B436" s="155" t="s">
        <v>1087</v>
      </c>
      <c r="C436" s="121">
        <v>8</v>
      </c>
      <c r="D436" s="121">
        <v>1</v>
      </c>
      <c r="E436" s="121"/>
      <c r="F436" s="121"/>
      <c r="G436" s="121">
        <v>786023095</v>
      </c>
      <c r="H436" s="121">
        <v>1668160000</v>
      </c>
      <c r="I436" s="121"/>
      <c r="J436" s="121"/>
      <c r="K436" s="18">
        <f t="shared" si="12"/>
        <v>9</v>
      </c>
      <c r="L436" s="18">
        <f t="shared" si="13"/>
        <v>2454183095</v>
      </c>
    </row>
    <row r="437" spans="1:12" x14ac:dyDescent="0.35">
      <c r="A437" s="155" t="s">
        <v>1088</v>
      </c>
      <c r="B437" s="155" t="s">
        <v>1089</v>
      </c>
      <c r="C437" s="121">
        <v>9</v>
      </c>
      <c r="D437" s="121"/>
      <c r="E437" s="121"/>
      <c r="F437" s="121"/>
      <c r="G437" s="121">
        <v>80906371</v>
      </c>
      <c r="H437" s="121"/>
      <c r="I437" s="121"/>
      <c r="J437" s="121"/>
      <c r="K437" s="18">
        <f t="shared" si="12"/>
        <v>9</v>
      </c>
      <c r="L437" s="18">
        <f t="shared" si="13"/>
        <v>80906371</v>
      </c>
    </row>
    <row r="438" spans="1:12" x14ac:dyDescent="0.35">
      <c r="A438" s="155" t="s">
        <v>1202</v>
      </c>
      <c r="B438" s="155" t="s">
        <v>1273</v>
      </c>
      <c r="C438" s="121">
        <v>7</v>
      </c>
      <c r="D438" s="121"/>
      <c r="E438" s="121"/>
      <c r="F438" s="121"/>
      <c r="G438" s="121">
        <v>12967000</v>
      </c>
      <c r="H438" s="121"/>
      <c r="I438" s="121"/>
      <c r="J438" s="121"/>
      <c r="K438" s="18">
        <f t="shared" si="12"/>
        <v>7</v>
      </c>
      <c r="L438" s="18">
        <f t="shared" si="13"/>
        <v>12967000</v>
      </c>
    </row>
    <row r="439" spans="1:12" x14ac:dyDescent="0.35">
      <c r="A439" s="155" t="s">
        <v>1203</v>
      </c>
      <c r="B439" s="155" t="s">
        <v>1274</v>
      </c>
      <c r="C439" s="121">
        <v>7</v>
      </c>
      <c r="D439" s="121">
        <v>1</v>
      </c>
      <c r="E439" s="121"/>
      <c r="F439" s="121"/>
      <c r="G439" s="121">
        <v>331430089</v>
      </c>
      <c r="H439" s="121">
        <v>3677932000</v>
      </c>
      <c r="I439" s="121"/>
      <c r="J439" s="121"/>
      <c r="K439" s="18">
        <f t="shared" si="12"/>
        <v>8</v>
      </c>
      <c r="L439" s="18">
        <f t="shared" si="13"/>
        <v>4009362089</v>
      </c>
    </row>
    <row r="440" spans="1:12" x14ac:dyDescent="0.35">
      <c r="A440" s="155" t="s">
        <v>1090</v>
      </c>
      <c r="B440" s="155" t="s">
        <v>1091</v>
      </c>
      <c r="C440" s="121">
        <v>10</v>
      </c>
      <c r="D440" s="121"/>
      <c r="E440" s="121"/>
      <c r="F440" s="121"/>
      <c r="G440" s="121">
        <v>806537000</v>
      </c>
      <c r="H440" s="121"/>
      <c r="I440" s="121"/>
      <c r="J440" s="121"/>
      <c r="K440" s="18">
        <f t="shared" si="12"/>
        <v>10</v>
      </c>
      <c r="L440" s="18">
        <f t="shared" si="13"/>
        <v>806537000</v>
      </c>
    </row>
    <row r="441" spans="1:12" x14ac:dyDescent="0.35">
      <c r="A441" s="155" t="s">
        <v>1092</v>
      </c>
      <c r="B441" s="155" t="s">
        <v>1093</v>
      </c>
      <c r="C441" s="121">
        <v>97</v>
      </c>
      <c r="D441" s="121">
        <v>7</v>
      </c>
      <c r="E441" s="121">
        <v>1</v>
      </c>
      <c r="F441" s="121"/>
      <c r="G441" s="121">
        <v>3706328214</v>
      </c>
      <c r="H441" s="121">
        <v>18989670363</v>
      </c>
      <c r="I441" s="121">
        <v>6655155117</v>
      </c>
      <c r="J441" s="121"/>
      <c r="K441" s="18">
        <f t="shared" si="12"/>
        <v>105</v>
      </c>
      <c r="L441" s="18">
        <f t="shared" si="13"/>
        <v>29351153694</v>
      </c>
    </row>
    <row r="442" spans="1:12" x14ac:dyDescent="0.35">
      <c r="A442" s="155" t="s">
        <v>1094</v>
      </c>
      <c r="B442" s="155" t="s">
        <v>1095</v>
      </c>
      <c r="C442" s="121">
        <v>7</v>
      </c>
      <c r="D442" s="121">
        <v>1</v>
      </c>
      <c r="E442" s="121"/>
      <c r="F442" s="121"/>
      <c r="G442" s="121">
        <v>492379190</v>
      </c>
      <c r="H442" s="121">
        <v>1000989881</v>
      </c>
      <c r="I442" s="121"/>
      <c r="J442" s="121"/>
      <c r="K442" s="18">
        <f t="shared" si="12"/>
        <v>8</v>
      </c>
      <c r="L442" s="18">
        <f t="shared" si="13"/>
        <v>1493369071</v>
      </c>
    </row>
    <row r="443" spans="1:12" x14ac:dyDescent="0.35">
      <c r="A443" s="155" t="s">
        <v>1096</v>
      </c>
      <c r="B443" s="155" t="s">
        <v>1097</v>
      </c>
      <c r="C443" s="121">
        <v>294</v>
      </c>
      <c r="D443" s="121">
        <v>18</v>
      </c>
      <c r="E443" s="121"/>
      <c r="F443" s="121"/>
      <c r="G443" s="121">
        <v>17019899734</v>
      </c>
      <c r="H443" s="121">
        <v>34041991438</v>
      </c>
      <c r="I443" s="121"/>
      <c r="J443" s="121"/>
      <c r="K443" s="18">
        <f t="shared" si="12"/>
        <v>312</v>
      </c>
      <c r="L443" s="18">
        <f t="shared" si="13"/>
        <v>51061891172</v>
      </c>
    </row>
    <row r="444" spans="1:12" x14ac:dyDescent="0.35">
      <c r="A444" s="155" t="s">
        <v>1098</v>
      </c>
      <c r="B444" s="155" t="s">
        <v>1099</v>
      </c>
      <c r="C444" s="121">
        <v>55</v>
      </c>
      <c r="D444" s="121">
        <v>2</v>
      </c>
      <c r="E444" s="121"/>
      <c r="F444" s="121"/>
      <c r="G444" s="121">
        <v>1849220764</v>
      </c>
      <c r="H444" s="121">
        <v>2341333876</v>
      </c>
      <c r="I444" s="121"/>
      <c r="J444" s="121"/>
      <c r="K444" s="18">
        <f t="shared" si="12"/>
        <v>57</v>
      </c>
      <c r="L444" s="18">
        <f t="shared" si="13"/>
        <v>4190554640</v>
      </c>
    </row>
    <row r="445" spans="1:12" x14ac:dyDescent="0.35">
      <c r="A445" s="155" t="s">
        <v>1100</v>
      </c>
      <c r="B445" s="155" t="s">
        <v>1101</v>
      </c>
      <c r="C445" s="121">
        <v>20</v>
      </c>
      <c r="D445" s="121">
        <v>2</v>
      </c>
      <c r="E445" s="121">
        <v>1</v>
      </c>
      <c r="F445" s="121"/>
      <c r="G445" s="121">
        <v>529473072</v>
      </c>
      <c r="H445" s="121">
        <v>2472789592</v>
      </c>
      <c r="I445" s="121">
        <v>7519616000</v>
      </c>
      <c r="J445" s="121"/>
      <c r="K445" s="18">
        <f t="shared" si="12"/>
        <v>23</v>
      </c>
      <c r="L445" s="18">
        <f t="shared" si="13"/>
        <v>10521878664</v>
      </c>
    </row>
    <row r="446" spans="1:12" x14ac:dyDescent="0.35">
      <c r="A446" s="155" t="s">
        <v>1102</v>
      </c>
      <c r="B446" s="155" t="s">
        <v>1103</v>
      </c>
      <c r="C446" s="121">
        <v>356</v>
      </c>
      <c r="D446" s="121">
        <v>37</v>
      </c>
      <c r="E446" s="121">
        <v>8</v>
      </c>
      <c r="F446" s="121">
        <v>1</v>
      </c>
      <c r="G446" s="121">
        <v>17700411917</v>
      </c>
      <c r="H446" s="121">
        <v>90741780340</v>
      </c>
      <c r="I446" s="121">
        <v>146850508199</v>
      </c>
      <c r="J446" s="121">
        <v>55740931151</v>
      </c>
      <c r="K446" s="18">
        <f t="shared" si="12"/>
        <v>402</v>
      </c>
      <c r="L446" s="18">
        <f t="shared" si="13"/>
        <v>311033631607</v>
      </c>
    </row>
    <row r="447" spans="1:12" x14ac:dyDescent="0.35">
      <c r="A447" s="155" t="s">
        <v>1104</v>
      </c>
      <c r="B447" s="155" t="s">
        <v>1275</v>
      </c>
      <c r="C447" s="121">
        <v>60</v>
      </c>
      <c r="D447" s="121">
        <v>6</v>
      </c>
      <c r="E447" s="121">
        <v>1</v>
      </c>
      <c r="F447" s="121"/>
      <c r="G447" s="121">
        <v>2696328903</v>
      </c>
      <c r="H447" s="121">
        <v>9751248647</v>
      </c>
      <c r="I447" s="121">
        <v>7818771000</v>
      </c>
      <c r="J447" s="121"/>
      <c r="K447" s="18">
        <f t="shared" si="12"/>
        <v>67</v>
      </c>
      <c r="L447" s="18">
        <f t="shared" si="13"/>
        <v>20266348550</v>
      </c>
    </row>
    <row r="448" spans="1:12" x14ac:dyDescent="0.35">
      <c r="A448" s="155" t="s">
        <v>1105</v>
      </c>
      <c r="B448" s="155" t="s">
        <v>1106</v>
      </c>
      <c r="C448" s="121">
        <v>11</v>
      </c>
      <c r="D448" s="121">
        <v>1</v>
      </c>
      <c r="E448" s="121"/>
      <c r="F448" s="121"/>
      <c r="G448" s="121">
        <v>1003584271</v>
      </c>
      <c r="H448" s="121">
        <v>4418394565</v>
      </c>
      <c r="I448" s="121"/>
      <c r="J448" s="121"/>
      <c r="K448" s="18">
        <f t="shared" si="12"/>
        <v>12</v>
      </c>
      <c r="L448" s="18">
        <f t="shared" si="13"/>
        <v>5421978836</v>
      </c>
    </row>
    <row r="449" spans="1:12" x14ac:dyDescent="0.35">
      <c r="A449" s="155" t="s">
        <v>1107</v>
      </c>
      <c r="B449" s="155" t="s">
        <v>1108</v>
      </c>
      <c r="C449" s="121">
        <v>5</v>
      </c>
      <c r="D449" s="121"/>
      <c r="E449" s="121"/>
      <c r="F449" s="121"/>
      <c r="G449" s="121">
        <v>143636311</v>
      </c>
      <c r="H449" s="121"/>
      <c r="I449" s="121"/>
      <c r="J449" s="121"/>
      <c r="K449" s="18">
        <f t="shared" si="12"/>
        <v>5</v>
      </c>
      <c r="L449" s="18">
        <f t="shared" si="13"/>
        <v>143636311</v>
      </c>
    </row>
    <row r="450" spans="1:12" x14ac:dyDescent="0.35">
      <c r="A450" s="155" t="s">
        <v>1109</v>
      </c>
      <c r="B450" s="155" t="s">
        <v>1110</v>
      </c>
      <c r="C450" s="121">
        <v>6</v>
      </c>
      <c r="D450" s="121"/>
      <c r="E450" s="121"/>
      <c r="F450" s="121">
        <v>1</v>
      </c>
      <c r="G450" s="121">
        <v>394678767</v>
      </c>
      <c r="H450" s="121"/>
      <c r="I450" s="121"/>
      <c r="J450" s="121">
        <v>52540236910</v>
      </c>
      <c r="K450" s="18">
        <f t="shared" si="12"/>
        <v>7</v>
      </c>
      <c r="L450" s="18">
        <f t="shared" si="13"/>
        <v>52934915677</v>
      </c>
    </row>
    <row r="451" spans="1:12" x14ac:dyDescent="0.35">
      <c r="A451" s="155" t="s">
        <v>1111</v>
      </c>
      <c r="B451" s="155" t="s">
        <v>245</v>
      </c>
      <c r="C451" s="121">
        <v>747</v>
      </c>
      <c r="D451" s="121">
        <v>54</v>
      </c>
      <c r="E451" s="121">
        <v>14</v>
      </c>
      <c r="F451" s="121">
        <v>2</v>
      </c>
      <c r="G451" s="121">
        <v>13320195988</v>
      </c>
      <c r="H451" s="121">
        <v>123534041555</v>
      </c>
      <c r="I451" s="121">
        <v>177226732826</v>
      </c>
      <c r="J451" s="121">
        <v>149345759000</v>
      </c>
      <c r="K451" s="18">
        <f t="shared" si="12"/>
        <v>817</v>
      </c>
      <c r="L451" s="18">
        <f t="shared" si="13"/>
        <v>463426729369</v>
      </c>
    </row>
    <row r="452" spans="1:12" x14ac:dyDescent="0.35">
      <c r="A452" s="155" t="s">
        <v>1112</v>
      </c>
      <c r="B452" s="155" t="s">
        <v>1113</v>
      </c>
      <c r="C452" s="121">
        <v>217</v>
      </c>
      <c r="D452" s="121">
        <v>6</v>
      </c>
      <c r="E452" s="121"/>
      <c r="F452" s="121">
        <v>1</v>
      </c>
      <c r="G452" s="121">
        <v>6127006058</v>
      </c>
      <c r="H452" s="121">
        <v>6637144000</v>
      </c>
      <c r="I452" s="121"/>
      <c r="J452" s="121">
        <v>766713212000</v>
      </c>
      <c r="K452" s="18">
        <f t="shared" si="12"/>
        <v>224</v>
      </c>
      <c r="L452" s="18">
        <f t="shared" si="13"/>
        <v>779477362058</v>
      </c>
    </row>
    <row r="453" spans="1:12" x14ac:dyDescent="0.35">
      <c r="A453" s="155" t="s">
        <v>1114</v>
      </c>
      <c r="B453" s="155" t="s">
        <v>1115</v>
      </c>
      <c r="C453" s="121">
        <v>30</v>
      </c>
      <c r="D453" s="121">
        <v>1</v>
      </c>
      <c r="E453" s="121">
        <v>1</v>
      </c>
      <c r="F453" s="121">
        <v>2</v>
      </c>
      <c r="G453" s="121">
        <v>947493459</v>
      </c>
      <c r="H453" s="121">
        <v>1018712324</v>
      </c>
      <c r="I453" s="121">
        <v>10285300303</v>
      </c>
      <c r="J453" s="121">
        <v>503547526862</v>
      </c>
      <c r="K453" s="18">
        <f t="shared" si="12"/>
        <v>34</v>
      </c>
      <c r="L453" s="18">
        <f t="shared" si="13"/>
        <v>515799032948</v>
      </c>
    </row>
    <row r="454" spans="1:12" x14ac:dyDescent="0.35">
      <c r="A454" s="155" t="s">
        <v>1116</v>
      </c>
      <c r="B454" s="155" t="s">
        <v>1117</v>
      </c>
      <c r="C454" s="121">
        <v>150</v>
      </c>
      <c r="D454" s="121">
        <v>3</v>
      </c>
      <c r="E454" s="121"/>
      <c r="F454" s="121"/>
      <c r="G454" s="121">
        <v>4792791327</v>
      </c>
      <c r="H454" s="121">
        <v>3480095595</v>
      </c>
      <c r="I454" s="121"/>
      <c r="J454" s="121"/>
      <c r="K454" s="18">
        <f t="shared" ref="K454:K476" si="14">+SUM(C454:F454)</f>
        <v>153</v>
      </c>
      <c r="L454" s="18">
        <f t="shared" ref="L454:L476" si="15">+SUM(G454:J454)</f>
        <v>8272886922</v>
      </c>
    </row>
    <row r="455" spans="1:12" x14ac:dyDescent="0.35">
      <c r="A455" s="155" t="s">
        <v>1118</v>
      </c>
      <c r="B455" s="155" t="s">
        <v>1119</v>
      </c>
      <c r="C455" s="121">
        <v>23</v>
      </c>
      <c r="D455" s="121">
        <v>7</v>
      </c>
      <c r="E455" s="121">
        <v>1</v>
      </c>
      <c r="F455" s="121"/>
      <c r="G455" s="121">
        <v>1241450400</v>
      </c>
      <c r="H455" s="121">
        <v>9884389620</v>
      </c>
      <c r="I455" s="121">
        <v>34117259305</v>
      </c>
      <c r="J455" s="121"/>
      <c r="K455" s="18">
        <f t="shared" si="14"/>
        <v>31</v>
      </c>
      <c r="L455" s="18">
        <f t="shared" si="15"/>
        <v>45243099325</v>
      </c>
    </row>
    <row r="456" spans="1:12" x14ac:dyDescent="0.35">
      <c r="A456" s="155" t="s">
        <v>1120</v>
      </c>
      <c r="B456" s="155" t="s">
        <v>1121</v>
      </c>
      <c r="C456" s="121">
        <v>317</v>
      </c>
      <c r="D456" s="121">
        <v>6</v>
      </c>
      <c r="E456" s="121">
        <v>1</v>
      </c>
      <c r="F456" s="121">
        <v>1</v>
      </c>
      <c r="G456" s="121">
        <v>8027524675</v>
      </c>
      <c r="H456" s="121">
        <v>9943260131</v>
      </c>
      <c r="I456" s="121">
        <v>13864529141</v>
      </c>
      <c r="J456" s="121">
        <v>73971895000</v>
      </c>
      <c r="K456" s="18">
        <f t="shared" si="14"/>
        <v>325</v>
      </c>
      <c r="L456" s="18">
        <f t="shared" si="15"/>
        <v>105807208947</v>
      </c>
    </row>
    <row r="457" spans="1:12" x14ac:dyDescent="0.35">
      <c r="A457" s="155" t="s">
        <v>1122</v>
      </c>
      <c r="B457" s="155" t="s">
        <v>1123</v>
      </c>
      <c r="C457" s="121">
        <v>16</v>
      </c>
      <c r="D457" s="121">
        <v>1</v>
      </c>
      <c r="E457" s="121"/>
      <c r="F457" s="121"/>
      <c r="G457" s="121">
        <v>2522925752</v>
      </c>
      <c r="H457" s="121">
        <v>3068706609</v>
      </c>
      <c r="I457" s="121"/>
      <c r="J457" s="121"/>
      <c r="K457" s="18">
        <f t="shared" si="14"/>
        <v>17</v>
      </c>
      <c r="L457" s="18">
        <f t="shared" si="15"/>
        <v>5591632361</v>
      </c>
    </row>
    <row r="458" spans="1:12" x14ac:dyDescent="0.35">
      <c r="A458" s="155" t="s">
        <v>1124</v>
      </c>
      <c r="B458" s="155" t="s">
        <v>1125</v>
      </c>
      <c r="C458" s="121">
        <v>4</v>
      </c>
      <c r="D458" s="121"/>
      <c r="E458" s="121"/>
      <c r="F458" s="121"/>
      <c r="G458" s="121">
        <v>68112000</v>
      </c>
      <c r="H458" s="121"/>
      <c r="I458" s="121"/>
      <c r="J458" s="121"/>
      <c r="K458" s="18">
        <f t="shared" si="14"/>
        <v>4</v>
      </c>
      <c r="L458" s="18">
        <f t="shared" si="15"/>
        <v>68112000</v>
      </c>
    </row>
    <row r="459" spans="1:12" x14ac:dyDescent="0.35">
      <c r="A459" s="155" t="s">
        <v>1126</v>
      </c>
      <c r="B459" s="155" t="s">
        <v>1127</v>
      </c>
      <c r="C459" s="121">
        <v>2</v>
      </c>
      <c r="D459" s="121"/>
      <c r="E459" s="121"/>
      <c r="F459" s="121"/>
      <c r="G459" s="121">
        <v>4000000</v>
      </c>
      <c r="H459" s="121"/>
      <c r="I459" s="121"/>
      <c r="J459" s="121"/>
      <c r="K459" s="18">
        <f t="shared" si="14"/>
        <v>2</v>
      </c>
      <c r="L459" s="18">
        <f t="shared" si="15"/>
        <v>4000000</v>
      </c>
    </row>
    <row r="460" spans="1:12" x14ac:dyDescent="0.35">
      <c r="A460" s="155" t="s">
        <v>1128</v>
      </c>
      <c r="B460" s="155" t="s">
        <v>1129</v>
      </c>
      <c r="C460" s="121">
        <v>17</v>
      </c>
      <c r="D460" s="121"/>
      <c r="E460" s="121"/>
      <c r="F460" s="121"/>
      <c r="G460" s="121">
        <v>770702949</v>
      </c>
      <c r="H460" s="121"/>
      <c r="I460" s="121"/>
      <c r="J460" s="121"/>
      <c r="K460" s="18">
        <f t="shared" si="14"/>
        <v>17</v>
      </c>
      <c r="L460" s="18">
        <f t="shared" si="15"/>
        <v>770702949</v>
      </c>
    </row>
    <row r="461" spans="1:12" x14ac:dyDescent="0.35">
      <c r="A461" s="155" t="s">
        <v>1130</v>
      </c>
      <c r="B461" s="155" t="s">
        <v>1131</v>
      </c>
      <c r="C461" s="121">
        <v>279</v>
      </c>
      <c r="D461" s="121">
        <v>10</v>
      </c>
      <c r="E461" s="121"/>
      <c r="F461" s="121"/>
      <c r="G461" s="121">
        <v>5590695322</v>
      </c>
      <c r="H461" s="121">
        <v>17523955361</v>
      </c>
      <c r="I461" s="121"/>
      <c r="J461" s="121"/>
      <c r="K461" s="18">
        <f t="shared" si="14"/>
        <v>289</v>
      </c>
      <c r="L461" s="18">
        <f t="shared" si="15"/>
        <v>23114650683</v>
      </c>
    </row>
    <row r="462" spans="1:12" x14ac:dyDescent="0.35">
      <c r="A462" s="155" t="s">
        <v>1132</v>
      </c>
      <c r="B462" s="155" t="s">
        <v>1133</v>
      </c>
      <c r="C462" s="121">
        <v>276</v>
      </c>
      <c r="D462" s="121"/>
      <c r="E462" s="121">
        <v>1</v>
      </c>
      <c r="F462" s="121"/>
      <c r="G462" s="121">
        <v>3147999938</v>
      </c>
      <c r="H462" s="121"/>
      <c r="I462" s="121">
        <v>19925592084</v>
      </c>
      <c r="J462" s="121"/>
      <c r="K462" s="18">
        <f t="shared" si="14"/>
        <v>277</v>
      </c>
      <c r="L462" s="18">
        <f t="shared" si="15"/>
        <v>23073592022</v>
      </c>
    </row>
    <row r="463" spans="1:12" x14ac:dyDescent="0.35">
      <c r="A463" s="155" t="s">
        <v>1134</v>
      </c>
      <c r="B463" s="155" t="s">
        <v>1135</v>
      </c>
      <c r="C463" s="121">
        <v>92</v>
      </c>
      <c r="D463" s="121"/>
      <c r="E463" s="121"/>
      <c r="F463" s="121"/>
      <c r="G463" s="121">
        <v>1432860504</v>
      </c>
      <c r="H463" s="121"/>
      <c r="I463" s="121"/>
      <c r="J463" s="121"/>
      <c r="K463" s="18">
        <f t="shared" si="14"/>
        <v>92</v>
      </c>
      <c r="L463" s="18">
        <f t="shared" si="15"/>
        <v>1432860504</v>
      </c>
    </row>
    <row r="464" spans="1:12" x14ac:dyDescent="0.35">
      <c r="A464" s="155" t="s">
        <v>1136</v>
      </c>
      <c r="B464" s="155" t="s">
        <v>1276</v>
      </c>
      <c r="C464" s="121">
        <v>150</v>
      </c>
      <c r="D464" s="121">
        <v>1</v>
      </c>
      <c r="E464" s="121"/>
      <c r="F464" s="121"/>
      <c r="G464" s="121">
        <v>888090617</v>
      </c>
      <c r="H464" s="121">
        <v>4970354503</v>
      </c>
      <c r="I464" s="121"/>
      <c r="J464" s="121"/>
      <c r="K464" s="18">
        <f t="shared" si="14"/>
        <v>151</v>
      </c>
      <c r="L464" s="18">
        <f t="shared" si="15"/>
        <v>5858445120</v>
      </c>
    </row>
    <row r="465" spans="1:12" x14ac:dyDescent="0.35">
      <c r="A465" s="155" t="s">
        <v>1137</v>
      </c>
      <c r="B465" s="155" t="s">
        <v>1138</v>
      </c>
      <c r="C465" s="121">
        <v>24</v>
      </c>
      <c r="D465" s="121"/>
      <c r="E465" s="121"/>
      <c r="F465" s="121"/>
      <c r="G465" s="121">
        <v>166558000</v>
      </c>
      <c r="H465" s="121"/>
      <c r="I465" s="121"/>
      <c r="J465" s="121"/>
      <c r="K465" s="18">
        <f t="shared" si="14"/>
        <v>24</v>
      </c>
      <c r="L465" s="18">
        <f t="shared" si="15"/>
        <v>166558000</v>
      </c>
    </row>
    <row r="466" spans="1:12" x14ac:dyDescent="0.35">
      <c r="A466" s="155" t="s">
        <v>1139</v>
      </c>
      <c r="B466" s="155" t="s">
        <v>1140</v>
      </c>
      <c r="C466" s="121">
        <v>83</v>
      </c>
      <c r="D466" s="121">
        <v>1</v>
      </c>
      <c r="E466" s="121"/>
      <c r="F466" s="121"/>
      <c r="G466" s="121">
        <v>1804988151</v>
      </c>
      <c r="H466" s="121">
        <v>841379000</v>
      </c>
      <c r="I466" s="121"/>
      <c r="J466" s="121"/>
      <c r="K466" s="18">
        <f t="shared" si="14"/>
        <v>84</v>
      </c>
      <c r="L466" s="18">
        <f t="shared" si="15"/>
        <v>2646367151</v>
      </c>
    </row>
    <row r="467" spans="1:12" x14ac:dyDescent="0.35">
      <c r="A467" s="155" t="s">
        <v>1141</v>
      </c>
      <c r="B467" s="155" t="s">
        <v>1142</v>
      </c>
      <c r="C467" s="121">
        <v>206</v>
      </c>
      <c r="D467" s="121"/>
      <c r="E467" s="121"/>
      <c r="F467" s="121"/>
      <c r="G467" s="121">
        <v>2071396774</v>
      </c>
      <c r="H467" s="121"/>
      <c r="I467" s="121"/>
      <c r="J467" s="121"/>
      <c r="K467" s="18">
        <f t="shared" si="14"/>
        <v>206</v>
      </c>
      <c r="L467" s="18">
        <f t="shared" si="15"/>
        <v>2071396774</v>
      </c>
    </row>
    <row r="468" spans="1:12" x14ac:dyDescent="0.35">
      <c r="A468" s="155" t="s">
        <v>1143</v>
      </c>
      <c r="B468" s="155" t="s">
        <v>1144</v>
      </c>
      <c r="C468" s="121">
        <v>109</v>
      </c>
      <c r="D468" s="121">
        <v>5</v>
      </c>
      <c r="E468" s="121"/>
      <c r="F468" s="121"/>
      <c r="G468" s="121">
        <v>2772773258</v>
      </c>
      <c r="H468" s="121">
        <v>15035996979</v>
      </c>
      <c r="I468" s="121"/>
      <c r="J468" s="121"/>
      <c r="K468" s="18">
        <f t="shared" si="14"/>
        <v>114</v>
      </c>
      <c r="L468" s="18">
        <f t="shared" si="15"/>
        <v>17808770237</v>
      </c>
    </row>
    <row r="469" spans="1:12" x14ac:dyDescent="0.35">
      <c r="A469" s="155" t="s">
        <v>1145</v>
      </c>
      <c r="B469" s="155" t="s">
        <v>1146</v>
      </c>
      <c r="C469" s="121">
        <v>4129</v>
      </c>
      <c r="D469" s="121">
        <v>13</v>
      </c>
      <c r="E469" s="121">
        <v>1</v>
      </c>
      <c r="F469" s="121"/>
      <c r="G469" s="121">
        <v>37778800340</v>
      </c>
      <c r="H469" s="121">
        <v>25711714049</v>
      </c>
      <c r="I469" s="121">
        <v>7713059355</v>
      </c>
      <c r="J469" s="121"/>
      <c r="K469" s="18">
        <f t="shared" si="14"/>
        <v>4143</v>
      </c>
      <c r="L469" s="18">
        <f t="shared" si="15"/>
        <v>71203573744</v>
      </c>
    </row>
    <row r="470" spans="1:12" x14ac:dyDescent="0.35">
      <c r="A470" s="155" t="s">
        <v>1147</v>
      </c>
      <c r="B470" s="155" t="s">
        <v>1148</v>
      </c>
      <c r="C470" s="121">
        <v>76</v>
      </c>
      <c r="D470" s="121">
        <v>8</v>
      </c>
      <c r="E470" s="121">
        <v>5</v>
      </c>
      <c r="F470" s="121">
        <v>1</v>
      </c>
      <c r="G470" s="121">
        <v>5752901224</v>
      </c>
      <c r="H470" s="121">
        <v>20483527686</v>
      </c>
      <c r="I470" s="121">
        <v>65839779669</v>
      </c>
      <c r="J470" s="121">
        <v>82934793000</v>
      </c>
      <c r="K470" s="18">
        <f t="shared" si="14"/>
        <v>90</v>
      </c>
      <c r="L470" s="18">
        <f t="shared" si="15"/>
        <v>175011001579</v>
      </c>
    </row>
    <row r="471" spans="1:12" x14ac:dyDescent="0.35">
      <c r="A471" s="155" t="s">
        <v>1149</v>
      </c>
      <c r="B471" s="155" t="s">
        <v>1150</v>
      </c>
      <c r="C471" s="121">
        <v>761</v>
      </c>
      <c r="D471" s="121">
        <v>11</v>
      </c>
      <c r="E471" s="121">
        <v>3</v>
      </c>
      <c r="F471" s="121"/>
      <c r="G471" s="121">
        <v>10065014150</v>
      </c>
      <c r="H471" s="121">
        <v>19328607682</v>
      </c>
      <c r="I471" s="121">
        <v>60063843322</v>
      </c>
      <c r="J471" s="121"/>
      <c r="K471" s="18">
        <f t="shared" si="14"/>
        <v>775</v>
      </c>
      <c r="L471" s="18">
        <f t="shared" si="15"/>
        <v>89457465154</v>
      </c>
    </row>
    <row r="472" spans="1:12" x14ac:dyDescent="0.35">
      <c r="A472" s="155" t="s">
        <v>1151</v>
      </c>
      <c r="B472" s="155" t="s">
        <v>255</v>
      </c>
      <c r="C472" s="121">
        <v>14</v>
      </c>
      <c r="D472" s="121"/>
      <c r="E472" s="121"/>
      <c r="F472" s="121"/>
      <c r="G472" s="121">
        <v>442700320</v>
      </c>
      <c r="H472" s="121"/>
      <c r="I472" s="121"/>
      <c r="J472" s="121"/>
      <c r="K472" s="18">
        <f t="shared" si="14"/>
        <v>14</v>
      </c>
      <c r="L472" s="18">
        <f t="shared" si="15"/>
        <v>442700320</v>
      </c>
    </row>
    <row r="473" spans="1:12" x14ac:dyDescent="0.35">
      <c r="A473" s="155" t="s">
        <v>1152</v>
      </c>
      <c r="B473" s="155" t="s">
        <v>1153</v>
      </c>
      <c r="C473" s="121">
        <v>1</v>
      </c>
      <c r="D473" s="121"/>
      <c r="E473" s="121"/>
      <c r="F473" s="121"/>
      <c r="G473" s="121">
        <v>300000000</v>
      </c>
      <c r="H473" s="121"/>
      <c r="I473" s="121"/>
      <c r="J473" s="121"/>
      <c r="K473" s="18">
        <f t="shared" si="14"/>
        <v>1</v>
      </c>
      <c r="L473" s="18">
        <f t="shared" si="15"/>
        <v>300000000</v>
      </c>
    </row>
    <row r="474" spans="1:12" x14ac:dyDescent="0.35">
      <c r="A474" s="155" t="s">
        <v>1154</v>
      </c>
      <c r="B474" s="155" t="s">
        <v>1155</v>
      </c>
      <c r="C474" s="121">
        <v>5</v>
      </c>
      <c r="D474" s="121">
        <v>5</v>
      </c>
      <c r="E474" s="121"/>
      <c r="F474" s="121"/>
      <c r="G474" s="121">
        <v>760875004</v>
      </c>
      <c r="H474" s="121">
        <v>11665265598</v>
      </c>
      <c r="I474" s="121"/>
      <c r="J474" s="121"/>
      <c r="K474" s="18">
        <f t="shared" si="14"/>
        <v>10</v>
      </c>
      <c r="L474" s="18">
        <f t="shared" si="15"/>
        <v>12426140602</v>
      </c>
    </row>
    <row r="475" spans="1:12" x14ac:dyDescent="0.35">
      <c r="A475" s="155" t="s">
        <v>1204</v>
      </c>
      <c r="B475" s="155" t="s">
        <v>67</v>
      </c>
      <c r="C475" s="121">
        <v>1</v>
      </c>
      <c r="D475" s="121"/>
      <c r="E475" s="121"/>
      <c r="F475" s="121"/>
      <c r="G475" s="121">
        <v>3000000</v>
      </c>
      <c r="H475" s="121"/>
      <c r="I475" s="121"/>
      <c r="J475" s="121"/>
      <c r="K475" s="18">
        <f t="shared" si="14"/>
        <v>1</v>
      </c>
      <c r="L475" s="18">
        <f t="shared" si="15"/>
        <v>3000000</v>
      </c>
    </row>
    <row r="476" spans="1:12" x14ac:dyDescent="0.35">
      <c r="A476" s="155" t="s">
        <v>1193</v>
      </c>
      <c r="B476" s="155" t="s">
        <v>1193</v>
      </c>
      <c r="C476" s="121">
        <v>2</v>
      </c>
      <c r="D476" s="121">
        <v>3</v>
      </c>
      <c r="E476" s="121">
        <v>2</v>
      </c>
      <c r="F476" s="121"/>
      <c r="G476" s="121">
        <v>593851834</v>
      </c>
      <c r="H476" s="121">
        <v>15278015744</v>
      </c>
      <c r="I476" s="121">
        <v>43901139783</v>
      </c>
      <c r="J476" s="121"/>
      <c r="K476" s="18">
        <f t="shared" si="14"/>
        <v>7</v>
      </c>
      <c r="L476" s="18">
        <f t="shared" si="15"/>
        <v>59773007361</v>
      </c>
    </row>
    <row r="477" spans="1:12" x14ac:dyDescent="0.35">
      <c r="A477" s="53" t="s">
        <v>16</v>
      </c>
      <c r="B477" s="54"/>
      <c r="C477" s="39">
        <f>SUM(C5:C476)</f>
        <v>140058</v>
      </c>
      <c r="D477" s="39">
        <f>SUM(D5:D476)</f>
        <v>14400</v>
      </c>
      <c r="E477" s="39">
        <f>SUM(E5:E476)</f>
        <v>3593</v>
      </c>
      <c r="F477" s="39">
        <f>SUM(F5:F476)</f>
        <v>958</v>
      </c>
      <c r="G477" s="39">
        <f>SUM(G5:G476)</f>
        <v>5771164976496</v>
      </c>
      <c r="H477" s="39">
        <f>SUM(H5:H476)</f>
        <v>31752866161793</v>
      </c>
      <c r="I477" s="39">
        <f>SUM(I5:I476)</f>
        <v>55108152265499</v>
      </c>
      <c r="J477" s="39">
        <f>SUM(J5:J476)</f>
        <v>819051758902067</v>
      </c>
      <c r="K477" s="39">
        <f>SUM(K5:K476)</f>
        <v>159009</v>
      </c>
      <c r="L477" s="39">
        <f>SUM(L5:L476)</f>
        <v>911683942305855</v>
      </c>
    </row>
    <row r="479" spans="1:12" x14ac:dyDescent="0.35">
      <c r="A479" s="154" t="s">
        <v>1356</v>
      </c>
      <c r="B479" s="154"/>
    </row>
    <row r="480" spans="1:12" x14ac:dyDescent="0.35">
      <c r="A480" s="154" t="s">
        <v>1318</v>
      </c>
      <c r="B480" s="154"/>
    </row>
    <row r="481" spans="1:1" x14ac:dyDescent="0.35">
      <c r="A481" s="154" t="s">
        <v>17</v>
      </c>
    </row>
    <row r="482" spans="1:1" x14ac:dyDescent="0.35">
      <c r="A482" s="154" t="s">
        <v>1320</v>
      </c>
    </row>
  </sheetData>
  <mergeCells count="7">
    <mergeCell ref="A477:B477"/>
    <mergeCell ref="C3:F3"/>
    <mergeCell ref="G3:J3"/>
    <mergeCell ref="K3:K4"/>
    <mergeCell ref="L3:L4"/>
    <mergeCell ref="A3:A4"/>
    <mergeCell ref="B3:B4"/>
  </mergeCells>
  <hyperlinks>
    <hyperlink ref="E1" location="Índice!A1" display="Volver al índice" xr:uid="{44ACF24A-8117-44F8-B1C0-2719DE33BF7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6EAC-33E1-4EFD-9DEB-11A63856223B}">
  <dimension ref="A1:J482"/>
  <sheetViews>
    <sheetView workbookViewId="0">
      <selection activeCell="J1" sqref="J1"/>
    </sheetView>
  </sheetViews>
  <sheetFormatPr baseColWidth="10" defaultColWidth="11.453125" defaultRowHeight="14.5" x14ac:dyDescent="0.35"/>
  <cols>
    <col min="2" max="2" width="68.1796875" customWidth="1"/>
    <col min="3" max="3" width="14.81640625" bestFit="1" customWidth="1"/>
    <col min="4" max="4" width="9.54296875" bestFit="1" customWidth="1"/>
    <col min="5" max="6" width="9" bestFit="1" customWidth="1"/>
    <col min="7" max="7" width="7.7265625" bestFit="1" customWidth="1"/>
    <col min="8" max="8" width="15" bestFit="1" customWidth="1"/>
    <col min="9" max="9" width="15.81640625" bestFit="1" customWidth="1"/>
    <col min="11" max="12" width="11.81640625" bestFit="1" customWidth="1"/>
  </cols>
  <sheetData>
    <row r="1" spans="1:10" ht="18.5" x14ac:dyDescent="0.45">
      <c r="A1" s="21" t="s">
        <v>1297</v>
      </c>
      <c r="J1" s="17" t="s">
        <v>1</v>
      </c>
    </row>
    <row r="3" spans="1:10" x14ac:dyDescent="0.35">
      <c r="A3" s="2" t="s">
        <v>327</v>
      </c>
      <c r="B3" s="2" t="s">
        <v>19</v>
      </c>
      <c r="C3" s="2" t="s">
        <v>1301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1183</v>
      </c>
      <c r="I3" s="14" t="s">
        <v>3</v>
      </c>
    </row>
    <row r="4" spans="1:10" x14ac:dyDescent="0.35">
      <c r="A4" s="118" t="s">
        <v>329</v>
      </c>
      <c r="B4" s="118" t="s">
        <v>1207</v>
      </c>
      <c r="C4" s="118" t="s">
        <v>1293</v>
      </c>
      <c r="D4" s="121">
        <v>24</v>
      </c>
      <c r="E4" s="121">
        <v>4</v>
      </c>
      <c r="F4" s="121"/>
      <c r="G4" s="121"/>
      <c r="H4" s="41"/>
      <c r="I4" s="18">
        <f>SUM(D4:H4)</f>
        <v>28</v>
      </c>
    </row>
    <row r="5" spans="1:10" x14ac:dyDescent="0.35">
      <c r="A5" s="118" t="s">
        <v>330</v>
      </c>
      <c r="B5" s="118" t="s">
        <v>1208</v>
      </c>
      <c r="C5" s="118" t="s">
        <v>1293</v>
      </c>
      <c r="D5" s="121">
        <v>7</v>
      </c>
      <c r="E5" s="121">
        <v>3</v>
      </c>
      <c r="F5" s="121"/>
      <c r="G5" s="121"/>
      <c r="H5" s="41"/>
      <c r="I5" s="18">
        <f t="shared" ref="I5:I68" si="0">SUM(D5:H5)</f>
        <v>10</v>
      </c>
    </row>
    <row r="6" spans="1:10" x14ac:dyDescent="0.35">
      <c r="A6" s="118" t="s">
        <v>331</v>
      </c>
      <c r="B6" s="118" t="s">
        <v>1209</v>
      </c>
      <c r="C6" s="118" t="s">
        <v>1293</v>
      </c>
      <c r="D6" s="121">
        <v>59</v>
      </c>
      <c r="E6" s="121">
        <v>5</v>
      </c>
      <c r="F6" s="121">
        <v>2</v>
      </c>
      <c r="G6" s="121">
        <v>1</v>
      </c>
      <c r="H6" s="41"/>
      <c r="I6" s="18">
        <f t="shared" si="0"/>
        <v>67</v>
      </c>
    </row>
    <row r="7" spans="1:10" x14ac:dyDescent="0.35">
      <c r="A7" s="118" t="s">
        <v>332</v>
      </c>
      <c r="B7" s="118" t="s">
        <v>1210</v>
      </c>
      <c r="C7" s="118" t="s">
        <v>1293</v>
      </c>
      <c r="D7" s="121">
        <v>2</v>
      </c>
      <c r="E7" s="121"/>
      <c r="F7" s="121"/>
      <c r="G7" s="121"/>
      <c r="H7" s="41"/>
      <c r="I7" s="18">
        <f t="shared" si="0"/>
        <v>2</v>
      </c>
    </row>
    <row r="8" spans="1:10" x14ac:dyDescent="0.35">
      <c r="A8" s="118" t="s">
        <v>333</v>
      </c>
      <c r="B8" s="118" t="s">
        <v>334</v>
      </c>
      <c r="C8" s="118" t="s">
        <v>1293</v>
      </c>
      <c r="D8" s="121">
        <v>21</v>
      </c>
      <c r="E8" s="121">
        <v>1</v>
      </c>
      <c r="F8" s="121">
        <v>1</v>
      </c>
      <c r="G8" s="121">
        <v>1</v>
      </c>
      <c r="H8" s="41"/>
      <c r="I8" s="18">
        <f t="shared" si="0"/>
        <v>24</v>
      </c>
    </row>
    <row r="9" spans="1:10" x14ac:dyDescent="0.35">
      <c r="A9" s="118" t="s">
        <v>335</v>
      </c>
      <c r="B9" s="118" t="s">
        <v>336</v>
      </c>
      <c r="C9" s="118" t="s">
        <v>1293</v>
      </c>
      <c r="D9" s="121">
        <v>258</v>
      </c>
      <c r="E9" s="121">
        <v>54</v>
      </c>
      <c r="F9" s="121">
        <v>5</v>
      </c>
      <c r="G9" s="121"/>
      <c r="H9" s="41"/>
      <c r="I9" s="18">
        <f t="shared" si="0"/>
        <v>317</v>
      </c>
    </row>
    <row r="10" spans="1:10" x14ac:dyDescent="0.35">
      <c r="A10" s="118" t="s">
        <v>337</v>
      </c>
      <c r="B10" s="118" t="s">
        <v>338</v>
      </c>
      <c r="C10" s="118" t="s">
        <v>1293</v>
      </c>
      <c r="D10" s="121">
        <v>37</v>
      </c>
      <c r="E10" s="121">
        <v>37</v>
      </c>
      <c r="F10" s="121">
        <v>26</v>
      </c>
      <c r="G10" s="121">
        <v>2</v>
      </c>
      <c r="H10" s="41"/>
      <c r="I10" s="18">
        <f t="shared" si="0"/>
        <v>102</v>
      </c>
    </row>
    <row r="11" spans="1:10" x14ac:dyDescent="0.35">
      <c r="A11" s="118" t="s">
        <v>339</v>
      </c>
      <c r="B11" s="118" t="s">
        <v>340</v>
      </c>
      <c r="C11" s="118" t="s">
        <v>1293</v>
      </c>
      <c r="D11" s="121">
        <v>215</v>
      </c>
      <c r="E11" s="121">
        <v>24</v>
      </c>
      <c r="F11" s="121">
        <v>2</v>
      </c>
      <c r="G11" s="121"/>
      <c r="H11" s="41"/>
      <c r="I11" s="18">
        <f t="shared" si="0"/>
        <v>241</v>
      </c>
    </row>
    <row r="12" spans="1:10" x14ac:dyDescent="0.35">
      <c r="A12" s="118" t="s">
        <v>341</v>
      </c>
      <c r="B12" s="118" t="s">
        <v>342</v>
      </c>
      <c r="C12" s="118" t="s">
        <v>1293</v>
      </c>
      <c r="D12" s="121">
        <v>11</v>
      </c>
      <c r="E12" s="121">
        <v>1</v>
      </c>
      <c r="F12" s="121"/>
      <c r="G12" s="121"/>
      <c r="H12" s="41"/>
      <c r="I12" s="18">
        <f t="shared" si="0"/>
        <v>12</v>
      </c>
    </row>
    <row r="13" spans="1:10" x14ac:dyDescent="0.35">
      <c r="A13" s="118" t="s">
        <v>343</v>
      </c>
      <c r="B13" s="118" t="s">
        <v>344</v>
      </c>
      <c r="C13" s="118" t="s">
        <v>1293</v>
      </c>
      <c r="D13" s="121">
        <v>25</v>
      </c>
      <c r="E13" s="121">
        <v>4</v>
      </c>
      <c r="F13" s="121">
        <v>3</v>
      </c>
      <c r="G13" s="121">
        <v>1</v>
      </c>
      <c r="H13" s="41"/>
      <c r="I13" s="18">
        <f t="shared" si="0"/>
        <v>33</v>
      </c>
    </row>
    <row r="14" spans="1:10" x14ac:dyDescent="0.35">
      <c r="A14" s="118" t="s">
        <v>345</v>
      </c>
      <c r="B14" s="118" t="s">
        <v>346</v>
      </c>
      <c r="C14" s="118" t="s">
        <v>1293</v>
      </c>
      <c r="D14" s="121">
        <v>20</v>
      </c>
      <c r="E14" s="121">
        <v>16</v>
      </c>
      <c r="F14" s="121">
        <v>4</v>
      </c>
      <c r="G14" s="121"/>
      <c r="H14" s="41"/>
      <c r="I14" s="18">
        <f t="shared" si="0"/>
        <v>40</v>
      </c>
    </row>
    <row r="15" spans="1:10" x14ac:dyDescent="0.35">
      <c r="A15" s="118" t="s">
        <v>347</v>
      </c>
      <c r="B15" s="118" t="s">
        <v>348</v>
      </c>
      <c r="C15" s="118" t="s">
        <v>1293</v>
      </c>
      <c r="D15" s="121">
        <v>7</v>
      </c>
      <c r="E15" s="121">
        <v>2</v>
      </c>
      <c r="F15" s="121"/>
      <c r="G15" s="121">
        <v>1</v>
      </c>
      <c r="H15" s="41"/>
      <c r="I15" s="18">
        <f t="shared" si="0"/>
        <v>10</v>
      </c>
    </row>
    <row r="16" spans="1:10" x14ac:dyDescent="0.35">
      <c r="A16" s="118" t="s">
        <v>349</v>
      </c>
      <c r="B16" s="118" t="s">
        <v>1211</v>
      </c>
      <c r="C16" s="118" t="s">
        <v>1293</v>
      </c>
      <c r="D16" s="121">
        <v>82</v>
      </c>
      <c r="E16" s="121">
        <v>1</v>
      </c>
      <c r="F16" s="121"/>
      <c r="G16" s="121"/>
      <c r="H16" s="41"/>
      <c r="I16" s="18">
        <f t="shared" si="0"/>
        <v>83</v>
      </c>
    </row>
    <row r="17" spans="1:9" x14ac:dyDescent="0.35">
      <c r="A17" s="118" t="s">
        <v>350</v>
      </c>
      <c r="B17" s="118" t="s">
        <v>351</v>
      </c>
      <c r="C17" s="118" t="s">
        <v>1293</v>
      </c>
      <c r="D17" s="121">
        <v>36</v>
      </c>
      <c r="E17" s="121">
        <v>5</v>
      </c>
      <c r="F17" s="121">
        <v>1</v>
      </c>
      <c r="G17" s="121"/>
      <c r="H17" s="41"/>
      <c r="I17" s="18">
        <f t="shared" si="0"/>
        <v>42</v>
      </c>
    </row>
    <row r="18" spans="1:9" x14ac:dyDescent="0.35">
      <c r="A18" s="118" t="s">
        <v>352</v>
      </c>
      <c r="B18" s="118" t="s">
        <v>1212</v>
      </c>
      <c r="C18" s="118" t="s">
        <v>1293</v>
      </c>
      <c r="D18" s="121">
        <v>122</v>
      </c>
      <c r="E18" s="121">
        <v>2</v>
      </c>
      <c r="F18" s="121"/>
      <c r="G18" s="121"/>
      <c r="H18" s="41"/>
      <c r="I18" s="18">
        <f t="shared" si="0"/>
        <v>124</v>
      </c>
    </row>
    <row r="19" spans="1:9" x14ac:dyDescent="0.35">
      <c r="A19" s="118" t="s">
        <v>353</v>
      </c>
      <c r="B19" s="118" t="s">
        <v>354</v>
      </c>
      <c r="C19" s="118" t="s">
        <v>1293</v>
      </c>
      <c r="D19" s="121">
        <v>719</v>
      </c>
      <c r="E19" s="121">
        <v>223</v>
      </c>
      <c r="F19" s="121">
        <v>29</v>
      </c>
      <c r="G19" s="121">
        <v>1</v>
      </c>
      <c r="H19" s="41"/>
      <c r="I19" s="18">
        <f t="shared" si="0"/>
        <v>972</v>
      </c>
    </row>
    <row r="20" spans="1:9" x14ac:dyDescent="0.35">
      <c r="A20" s="118" t="s">
        <v>355</v>
      </c>
      <c r="B20" s="118" t="s">
        <v>1213</v>
      </c>
      <c r="C20" s="118" t="s">
        <v>1293</v>
      </c>
      <c r="D20" s="121">
        <v>34</v>
      </c>
      <c r="E20" s="121"/>
      <c r="F20" s="121"/>
      <c r="G20" s="121"/>
      <c r="H20" s="41"/>
      <c r="I20" s="18">
        <f t="shared" si="0"/>
        <v>34</v>
      </c>
    </row>
    <row r="21" spans="1:9" x14ac:dyDescent="0.35">
      <c r="A21" s="118" t="s">
        <v>356</v>
      </c>
      <c r="B21" s="118" t="s">
        <v>1214</v>
      </c>
      <c r="C21" s="118" t="s">
        <v>1293</v>
      </c>
      <c r="D21" s="121">
        <v>3</v>
      </c>
      <c r="E21" s="121"/>
      <c r="F21" s="121"/>
      <c r="G21" s="121"/>
      <c r="H21" s="41"/>
      <c r="I21" s="18">
        <f t="shared" si="0"/>
        <v>3</v>
      </c>
    </row>
    <row r="22" spans="1:9" x14ac:dyDescent="0.35">
      <c r="A22" s="118" t="s">
        <v>357</v>
      </c>
      <c r="B22" s="118" t="s">
        <v>358</v>
      </c>
      <c r="C22" s="118" t="s">
        <v>1293</v>
      </c>
      <c r="D22" s="121">
        <v>110</v>
      </c>
      <c r="E22" s="121">
        <v>64</v>
      </c>
      <c r="F22" s="121">
        <v>35</v>
      </c>
      <c r="G22" s="121">
        <v>2</v>
      </c>
      <c r="H22" s="41"/>
      <c r="I22" s="18">
        <f t="shared" si="0"/>
        <v>211</v>
      </c>
    </row>
    <row r="23" spans="1:9" x14ac:dyDescent="0.35">
      <c r="A23" s="118" t="s">
        <v>359</v>
      </c>
      <c r="B23" s="118" t="s">
        <v>360</v>
      </c>
      <c r="C23" s="118" t="s">
        <v>1293</v>
      </c>
      <c r="D23" s="121">
        <v>80</v>
      </c>
      <c r="E23" s="121">
        <v>4</v>
      </c>
      <c r="F23" s="121">
        <v>5</v>
      </c>
      <c r="G23" s="121">
        <v>3</v>
      </c>
      <c r="H23" s="41"/>
      <c r="I23" s="18">
        <f t="shared" si="0"/>
        <v>92</v>
      </c>
    </row>
    <row r="24" spans="1:9" x14ac:dyDescent="0.35">
      <c r="A24" s="118" t="s">
        <v>361</v>
      </c>
      <c r="B24" s="118" t="s">
        <v>362</v>
      </c>
      <c r="C24" s="118" t="s">
        <v>1293</v>
      </c>
      <c r="D24" s="121">
        <v>59</v>
      </c>
      <c r="E24" s="121">
        <v>1</v>
      </c>
      <c r="F24" s="121"/>
      <c r="G24" s="121"/>
      <c r="H24" s="41"/>
      <c r="I24" s="18">
        <f t="shared" si="0"/>
        <v>60</v>
      </c>
    </row>
    <row r="25" spans="1:9" x14ac:dyDescent="0.35">
      <c r="A25" s="118" t="s">
        <v>363</v>
      </c>
      <c r="B25" s="118" t="s">
        <v>1215</v>
      </c>
      <c r="C25" s="118" t="s">
        <v>1293</v>
      </c>
      <c r="D25" s="121">
        <v>207</v>
      </c>
      <c r="E25" s="121">
        <v>30</v>
      </c>
      <c r="F25" s="121">
        <v>6</v>
      </c>
      <c r="G25" s="121"/>
      <c r="H25" s="41"/>
      <c r="I25" s="18">
        <f t="shared" si="0"/>
        <v>243</v>
      </c>
    </row>
    <row r="26" spans="1:9" x14ac:dyDescent="0.35">
      <c r="A26" s="118" t="s">
        <v>364</v>
      </c>
      <c r="B26" s="118" t="s">
        <v>1216</v>
      </c>
      <c r="C26" s="118" t="s">
        <v>1294</v>
      </c>
      <c r="D26" s="121">
        <v>240</v>
      </c>
      <c r="E26" s="121">
        <v>10</v>
      </c>
      <c r="F26" s="121">
        <v>1</v>
      </c>
      <c r="G26" s="121">
        <v>1</v>
      </c>
      <c r="H26" s="41"/>
      <c r="I26" s="18">
        <f t="shared" si="0"/>
        <v>252</v>
      </c>
    </row>
    <row r="27" spans="1:9" x14ac:dyDescent="0.35">
      <c r="A27" s="118" t="s">
        <v>365</v>
      </c>
      <c r="B27" s="118" t="s">
        <v>366</v>
      </c>
      <c r="C27" s="118" t="s">
        <v>1294</v>
      </c>
      <c r="D27" s="121">
        <v>112</v>
      </c>
      <c r="E27" s="121">
        <v>3</v>
      </c>
      <c r="F27" s="121">
        <v>3</v>
      </c>
      <c r="G27" s="121"/>
      <c r="H27" s="41"/>
      <c r="I27" s="18">
        <f t="shared" si="0"/>
        <v>118</v>
      </c>
    </row>
    <row r="28" spans="1:9" x14ac:dyDescent="0.35">
      <c r="A28" s="118" t="s">
        <v>367</v>
      </c>
      <c r="B28" s="118" t="s">
        <v>1217</v>
      </c>
      <c r="C28" s="118" t="s">
        <v>1294</v>
      </c>
      <c r="D28" s="121">
        <v>36</v>
      </c>
      <c r="E28" s="121">
        <v>3</v>
      </c>
      <c r="F28" s="121"/>
      <c r="G28" s="121">
        <v>1</v>
      </c>
      <c r="H28" s="41"/>
      <c r="I28" s="18">
        <f t="shared" si="0"/>
        <v>40</v>
      </c>
    </row>
    <row r="29" spans="1:9" x14ac:dyDescent="0.35">
      <c r="A29" s="118" t="s">
        <v>368</v>
      </c>
      <c r="B29" s="118" t="s">
        <v>1218</v>
      </c>
      <c r="C29" s="118" t="s">
        <v>1294</v>
      </c>
      <c r="D29" s="121">
        <v>5</v>
      </c>
      <c r="E29" s="121"/>
      <c r="F29" s="121"/>
      <c r="G29" s="121"/>
      <c r="H29" s="41"/>
      <c r="I29" s="18">
        <f t="shared" si="0"/>
        <v>5</v>
      </c>
    </row>
    <row r="30" spans="1:9" x14ac:dyDescent="0.35">
      <c r="A30" s="118" t="s">
        <v>369</v>
      </c>
      <c r="B30" s="118" t="s">
        <v>370</v>
      </c>
      <c r="C30" s="118" t="s">
        <v>1294</v>
      </c>
      <c r="D30" s="121">
        <v>91</v>
      </c>
      <c r="E30" s="121">
        <v>7</v>
      </c>
      <c r="F30" s="121">
        <v>6</v>
      </c>
      <c r="G30" s="121">
        <v>1</v>
      </c>
      <c r="H30" s="41"/>
      <c r="I30" s="18">
        <f t="shared" si="0"/>
        <v>105</v>
      </c>
    </row>
    <row r="31" spans="1:9" x14ac:dyDescent="0.35">
      <c r="A31" s="118" t="s">
        <v>371</v>
      </c>
      <c r="B31" s="118" t="s">
        <v>1219</v>
      </c>
      <c r="C31" s="118" t="s">
        <v>1293</v>
      </c>
      <c r="D31" s="121">
        <v>41</v>
      </c>
      <c r="E31" s="121">
        <v>3</v>
      </c>
      <c r="F31" s="121"/>
      <c r="G31" s="121"/>
      <c r="H31" s="41"/>
      <c r="I31" s="18">
        <f t="shared" si="0"/>
        <v>44</v>
      </c>
    </row>
    <row r="32" spans="1:9" x14ac:dyDescent="0.35">
      <c r="A32" s="118" t="s">
        <v>372</v>
      </c>
      <c r="B32" s="118" t="s">
        <v>373</v>
      </c>
      <c r="C32" s="118" t="s">
        <v>1293</v>
      </c>
      <c r="D32" s="121">
        <v>2</v>
      </c>
      <c r="E32" s="121"/>
      <c r="F32" s="121"/>
      <c r="G32" s="121"/>
      <c r="H32" s="41"/>
      <c r="I32" s="18">
        <f t="shared" si="0"/>
        <v>2</v>
      </c>
    </row>
    <row r="33" spans="1:9" x14ac:dyDescent="0.35">
      <c r="A33" s="118" t="s">
        <v>374</v>
      </c>
      <c r="B33" s="118" t="s">
        <v>1220</v>
      </c>
      <c r="C33" s="118" t="s">
        <v>1294</v>
      </c>
      <c r="D33" s="121">
        <v>8</v>
      </c>
      <c r="E33" s="121">
        <v>5</v>
      </c>
      <c r="F33" s="121"/>
      <c r="G33" s="121"/>
      <c r="H33" s="41"/>
      <c r="I33" s="18">
        <f t="shared" si="0"/>
        <v>13</v>
      </c>
    </row>
    <row r="34" spans="1:9" x14ac:dyDescent="0.35">
      <c r="A34" s="118" t="s">
        <v>375</v>
      </c>
      <c r="B34" s="118" t="s">
        <v>1221</v>
      </c>
      <c r="C34" s="118" t="s">
        <v>1293</v>
      </c>
      <c r="D34" s="121">
        <v>5</v>
      </c>
      <c r="E34" s="121"/>
      <c r="F34" s="121"/>
      <c r="G34" s="121"/>
      <c r="H34" s="41"/>
      <c r="I34" s="18">
        <f t="shared" si="0"/>
        <v>5</v>
      </c>
    </row>
    <row r="35" spans="1:9" x14ac:dyDescent="0.35">
      <c r="A35" s="118" t="s">
        <v>376</v>
      </c>
      <c r="B35" s="118" t="s">
        <v>1222</v>
      </c>
      <c r="C35" s="118" t="s">
        <v>1293</v>
      </c>
      <c r="D35" s="121">
        <v>1</v>
      </c>
      <c r="E35" s="121"/>
      <c r="F35" s="121"/>
      <c r="G35" s="121"/>
      <c r="H35" s="41"/>
      <c r="I35" s="18">
        <f t="shared" si="0"/>
        <v>1</v>
      </c>
    </row>
    <row r="36" spans="1:9" x14ac:dyDescent="0.35">
      <c r="A36" s="118" t="s">
        <v>377</v>
      </c>
      <c r="B36" s="118" t="s">
        <v>378</v>
      </c>
      <c r="C36" s="118" t="s">
        <v>1293</v>
      </c>
      <c r="D36" s="121">
        <v>42</v>
      </c>
      <c r="E36" s="121">
        <v>4</v>
      </c>
      <c r="F36" s="121">
        <v>1</v>
      </c>
      <c r="G36" s="121"/>
      <c r="H36" s="41"/>
      <c r="I36" s="18">
        <f t="shared" si="0"/>
        <v>47</v>
      </c>
    </row>
    <row r="37" spans="1:9" x14ac:dyDescent="0.35">
      <c r="A37" s="118" t="s">
        <v>379</v>
      </c>
      <c r="B37" s="118" t="s">
        <v>380</v>
      </c>
      <c r="C37" s="118" t="s">
        <v>1293</v>
      </c>
      <c r="D37" s="121">
        <v>53</v>
      </c>
      <c r="E37" s="121">
        <v>7</v>
      </c>
      <c r="F37" s="121">
        <v>5</v>
      </c>
      <c r="G37" s="121">
        <v>1</v>
      </c>
      <c r="H37" s="41"/>
      <c r="I37" s="18">
        <f t="shared" si="0"/>
        <v>66</v>
      </c>
    </row>
    <row r="38" spans="1:9" x14ac:dyDescent="0.35">
      <c r="A38" s="118" t="s">
        <v>1196</v>
      </c>
      <c r="B38" s="118" t="s">
        <v>1205</v>
      </c>
      <c r="C38" s="118" t="s">
        <v>1293</v>
      </c>
      <c r="D38" s="121">
        <v>1</v>
      </c>
      <c r="E38" s="121"/>
      <c r="F38" s="121"/>
      <c r="G38" s="121"/>
      <c r="H38" s="41"/>
      <c r="I38" s="18">
        <f t="shared" si="0"/>
        <v>1</v>
      </c>
    </row>
    <row r="39" spans="1:9" x14ac:dyDescent="0.35">
      <c r="A39" s="118" t="s">
        <v>381</v>
      </c>
      <c r="B39" s="118" t="s">
        <v>382</v>
      </c>
      <c r="C39" s="118" t="s">
        <v>1293</v>
      </c>
      <c r="D39" s="121">
        <v>1</v>
      </c>
      <c r="E39" s="121"/>
      <c r="F39" s="121"/>
      <c r="G39" s="121"/>
      <c r="H39" s="41"/>
      <c r="I39" s="18">
        <f t="shared" si="0"/>
        <v>1</v>
      </c>
    </row>
    <row r="40" spans="1:9" x14ac:dyDescent="0.35">
      <c r="A40" s="118" t="s">
        <v>383</v>
      </c>
      <c r="B40" s="118" t="s">
        <v>384</v>
      </c>
      <c r="C40" s="118" t="s">
        <v>1293</v>
      </c>
      <c r="D40" s="121">
        <v>248</v>
      </c>
      <c r="E40" s="121">
        <v>23</v>
      </c>
      <c r="F40" s="121">
        <v>8</v>
      </c>
      <c r="G40" s="121">
        <v>5</v>
      </c>
      <c r="H40" s="41"/>
      <c r="I40" s="18">
        <f t="shared" si="0"/>
        <v>284</v>
      </c>
    </row>
    <row r="41" spans="1:9" x14ac:dyDescent="0.35">
      <c r="A41" s="118" t="s">
        <v>385</v>
      </c>
      <c r="B41" s="118" t="s">
        <v>386</v>
      </c>
      <c r="C41" s="118" t="s">
        <v>1293</v>
      </c>
      <c r="D41" s="121">
        <v>9</v>
      </c>
      <c r="E41" s="121"/>
      <c r="F41" s="121"/>
      <c r="G41" s="121">
        <v>1</v>
      </c>
      <c r="H41" s="41"/>
      <c r="I41" s="18">
        <f t="shared" si="0"/>
        <v>10</v>
      </c>
    </row>
    <row r="42" spans="1:9" x14ac:dyDescent="0.35">
      <c r="A42" s="118" t="s">
        <v>387</v>
      </c>
      <c r="B42" s="118" t="s">
        <v>388</v>
      </c>
      <c r="C42" s="118" t="s">
        <v>1293</v>
      </c>
      <c r="D42" s="121">
        <v>88</v>
      </c>
      <c r="E42" s="121">
        <v>15</v>
      </c>
      <c r="F42" s="121">
        <v>6</v>
      </c>
      <c r="G42" s="121"/>
      <c r="H42" s="41"/>
      <c r="I42" s="18">
        <f t="shared" si="0"/>
        <v>109</v>
      </c>
    </row>
    <row r="43" spans="1:9" x14ac:dyDescent="0.35">
      <c r="A43" s="118" t="s">
        <v>389</v>
      </c>
      <c r="B43" s="118" t="s">
        <v>390</v>
      </c>
      <c r="C43" s="118" t="s">
        <v>1293</v>
      </c>
      <c r="D43" s="121">
        <v>8</v>
      </c>
      <c r="E43" s="121">
        <v>2</v>
      </c>
      <c r="F43" s="121"/>
      <c r="G43" s="121"/>
      <c r="H43" s="41"/>
      <c r="I43" s="18">
        <f t="shared" si="0"/>
        <v>10</v>
      </c>
    </row>
    <row r="44" spans="1:9" x14ac:dyDescent="0.35">
      <c r="A44" s="118" t="s">
        <v>391</v>
      </c>
      <c r="B44" s="118" t="s">
        <v>392</v>
      </c>
      <c r="C44" s="118" t="s">
        <v>1293</v>
      </c>
      <c r="D44" s="121">
        <v>9</v>
      </c>
      <c r="E44" s="121"/>
      <c r="F44" s="121"/>
      <c r="G44" s="121"/>
      <c r="H44" s="41"/>
      <c r="I44" s="18">
        <f t="shared" si="0"/>
        <v>9</v>
      </c>
    </row>
    <row r="45" spans="1:9" x14ac:dyDescent="0.35">
      <c r="A45" s="118" t="s">
        <v>393</v>
      </c>
      <c r="B45" s="118" t="s">
        <v>394</v>
      </c>
      <c r="C45" s="118" t="s">
        <v>1293</v>
      </c>
      <c r="D45" s="121">
        <v>4</v>
      </c>
      <c r="E45" s="121"/>
      <c r="F45" s="121"/>
      <c r="G45" s="121"/>
      <c r="H45" s="41"/>
      <c r="I45" s="18">
        <f t="shared" si="0"/>
        <v>4</v>
      </c>
    </row>
    <row r="46" spans="1:9" x14ac:dyDescent="0.35">
      <c r="A46" s="118" t="s">
        <v>1197</v>
      </c>
      <c r="B46" s="118" t="s">
        <v>1206</v>
      </c>
      <c r="C46" s="118" t="s">
        <v>1293</v>
      </c>
      <c r="D46" s="121">
        <v>1</v>
      </c>
      <c r="E46" s="121"/>
      <c r="F46" s="121"/>
      <c r="G46" s="121"/>
      <c r="H46" s="41"/>
      <c r="I46" s="18">
        <f t="shared" si="0"/>
        <v>1</v>
      </c>
    </row>
    <row r="47" spans="1:9" x14ac:dyDescent="0.35">
      <c r="A47" s="118" t="s">
        <v>395</v>
      </c>
      <c r="B47" s="118" t="s">
        <v>396</v>
      </c>
      <c r="C47" s="118" t="s">
        <v>1293</v>
      </c>
      <c r="D47" s="121">
        <v>1</v>
      </c>
      <c r="E47" s="121">
        <v>1</v>
      </c>
      <c r="F47" s="121">
        <v>1</v>
      </c>
      <c r="G47" s="121"/>
      <c r="H47" s="41"/>
      <c r="I47" s="18">
        <f t="shared" si="0"/>
        <v>3</v>
      </c>
    </row>
    <row r="48" spans="1:9" x14ac:dyDescent="0.35">
      <c r="A48" s="118" t="s">
        <v>397</v>
      </c>
      <c r="B48" s="118" t="s">
        <v>398</v>
      </c>
      <c r="C48" s="118" t="s">
        <v>1294</v>
      </c>
      <c r="D48" s="121">
        <v>3</v>
      </c>
      <c r="E48" s="121"/>
      <c r="F48" s="121">
        <v>1</v>
      </c>
      <c r="G48" s="121"/>
      <c r="H48" s="41"/>
      <c r="I48" s="18">
        <f t="shared" si="0"/>
        <v>4</v>
      </c>
    </row>
    <row r="49" spans="1:9" x14ac:dyDescent="0.35">
      <c r="A49" s="118" t="s">
        <v>399</v>
      </c>
      <c r="B49" s="118" t="s">
        <v>400</v>
      </c>
      <c r="C49" s="118" t="s">
        <v>1294</v>
      </c>
      <c r="D49" s="121">
        <v>70</v>
      </c>
      <c r="E49" s="121">
        <v>8</v>
      </c>
      <c r="F49" s="121">
        <v>4</v>
      </c>
      <c r="G49" s="121">
        <v>5</v>
      </c>
      <c r="H49" s="41"/>
      <c r="I49" s="18">
        <f t="shared" si="0"/>
        <v>87</v>
      </c>
    </row>
    <row r="50" spans="1:9" x14ac:dyDescent="0.35">
      <c r="A50" s="118" t="s">
        <v>401</v>
      </c>
      <c r="B50" s="118" t="s">
        <v>402</v>
      </c>
      <c r="C50" s="118" t="s">
        <v>1293</v>
      </c>
      <c r="D50" s="121">
        <v>247</v>
      </c>
      <c r="E50" s="121">
        <v>51</v>
      </c>
      <c r="F50" s="121">
        <v>32</v>
      </c>
      <c r="G50" s="121">
        <v>8</v>
      </c>
      <c r="H50" s="41"/>
      <c r="I50" s="18">
        <f t="shared" si="0"/>
        <v>338</v>
      </c>
    </row>
    <row r="51" spans="1:9" x14ac:dyDescent="0.35">
      <c r="A51" s="118" t="s">
        <v>403</v>
      </c>
      <c r="B51" s="118" t="s">
        <v>404</v>
      </c>
      <c r="C51" s="118" t="s">
        <v>1293</v>
      </c>
      <c r="D51" s="121">
        <v>6</v>
      </c>
      <c r="E51" s="121">
        <v>5</v>
      </c>
      <c r="F51" s="121">
        <v>3</v>
      </c>
      <c r="G51" s="121"/>
      <c r="H51" s="41"/>
      <c r="I51" s="18">
        <f t="shared" si="0"/>
        <v>14</v>
      </c>
    </row>
    <row r="52" spans="1:9" x14ac:dyDescent="0.35">
      <c r="A52" s="118" t="s">
        <v>405</v>
      </c>
      <c r="B52" s="118" t="s">
        <v>406</v>
      </c>
      <c r="C52" s="118" t="s">
        <v>1293</v>
      </c>
      <c r="D52" s="121">
        <v>260</v>
      </c>
      <c r="E52" s="121">
        <v>15</v>
      </c>
      <c r="F52" s="121">
        <v>2</v>
      </c>
      <c r="G52" s="121">
        <v>2</v>
      </c>
      <c r="H52" s="41"/>
      <c r="I52" s="18">
        <f t="shared" si="0"/>
        <v>279</v>
      </c>
    </row>
    <row r="53" spans="1:9" x14ac:dyDescent="0.35">
      <c r="A53" s="118" t="s">
        <v>1357</v>
      </c>
      <c r="B53" s="118" t="s">
        <v>1358</v>
      </c>
      <c r="C53" s="118" t="s">
        <v>1293</v>
      </c>
      <c r="D53" s="121">
        <v>5</v>
      </c>
      <c r="E53" s="121">
        <v>1</v>
      </c>
      <c r="F53" s="121">
        <v>1</v>
      </c>
      <c r="G53" s="121"/>
      <c r="H53" s="41"/>
      <c r="I53" s="18">
        <f t="shared" si="0"/>
        <v>7</v>
      </c>
    </row>
    <row r="54" spans="1:9" x14ac:dyDescent="0.35">
      <c r="A54" s="118" t="s">
        <v>1359</v>
      </c>
      <c r="B54" s="118" t="s">
        <v>1360</v>
      </c>
      <c r="C54" s="118" t="s">
        <v>1293</v>
      </c>
      <c r="D54" s="121">
        <v>4</v>
      </c>
      <c r="E54" s="121"/>
      <c r="F54" s="121"/>
      <c r="G54" s="121"/>
      <c r="H54" s="41"/>
      <c r="I54" s="18">
        <f t="shared" si="0"/>
        <v>4</v>
      </c>
    </row>
    <row r="55" spans="1:9" x14ac:dyDescent="0.35">
      <c r="A55" s="118" t="s">
        <v>1361</v>
      </c>
      <c r="B55" s="118" t="s">
        <v>1362</v>
      </c>
      <c r="C55" s="118" t="s">
        <v>1293</v>
      </c>
      <c r="D55" s="121"/>
      <c r="E55" s="121">
        <v>2</v>
      </c>
      <c r="F55" s="121"/>
      <c r="G55" s="121">
        <v>1</v>
      </c>
      <c r="H55" s="41"/>
      <c r="I55" s="18">
        <f t="shared" si="0"/>
        <v>3</v>
      </c>
    </row>
    <row r="56" spans="1:9" x14ac:dyDescent="0.35">
      <c r="A56" s="118" t="s">
        <v>407</v>
      </c>
      <c r="B56" s="118" t="s">
        <v>408</v>
      </c>
      <c r="C56" s="118" t="s">
        <v>1293</v>
      </c>
      <c r="D56" s="121">
        <v>139</v>
      </c>
      <c r="E56" s="121">
        <v>18</v>
      </c>
      <c r="F56" s="121">
        <v>11</v>
      </c>
      <c r="G56" s="121">
        <v>4</v>
      </c>
      <c r="H56" s="41"/>
      <c r="I56" s="18">
        <f t="shared" si="0"/>
        <v>172</v>
      </c>
    </row>
    <row r="57" spans="1:9" x14ac:dyDescent="0.35">
      <c r="A57" s="118" t="s">
        <v>409</v>
      </c>
      <c r="B57" s="118" t="s">
        <v>410</v>
      </c>
      <c r="C57" s="118" t="s">
        <v>1293</v>
      </c>
      <c r="D57" s="121">
        <v>192</v>
      </c>
      <c r="E57" s="121">
        <v>9</v>
      </c>
      <c r="F57" s="121">
        <v>1</v>
      </c>
      <c r="G57" s="121">
        <v>1</v>
      </c>
      <c r="H57" s="41"/>
      <c r="I57" s="18">
        <f t="shared" si="0"/>
        <v>203</v>
      </c>
    </row>
    <row r="58" spans="1:9" x14ac:dyDescent="0.35">
      <c r="A58" s="118" t="s">
        <v>411</v>
      </c>
      <c r="B58" s="118" t="s">
        <v>412</v>
      </c>
      <c r="C58" s="118" t="s">
        <v>1293</v>
      </c>
      <c r="D58" s="121">
        <v>1</v>
      </c>
      <c r="E58" s="121"/>
      <c r="F58" s="121"/>
      <c r="G58" s="121"/>
      <c r="H58" s="41"/>
      <c r="I58" s="18">
        <f t="shared" si="0"/>
        <v>1</v>
      </c>
    </row>
    <row r="59" spans="1:9" x14ac:dyDescent="0.35">
      <c r="A59" s="118" t="s">
        <v>413</v>
      </c>
      <c r="B59" s="118" t="s">
        <v>414</v>
      </c>
      <c r="C59" s="118" t="s">
        <v>1293</v>
      </c>
      <c r="D59" s="121">
        <v>10</v>
      </c>
      <c r="E59" s="121">
        <v>4</v>
      </c>
      <c r="F59" s="121"/>
      <c r="G59" s="121"/>
      <c r="H59" s="41"/>
      <c r="I59" s="18">
        <f t="shared" si="0"/>
        <v>14</v>
      </c>
    </row>
    <row r="60" spans="1:9" x14ac:dyDescent="0.35">
      <c r="A60" s="118" t="s">
        <v>415</v>
      </c>
      <c r="B60" s="118" t="s">
        <v>416</v>
      </c>
      <c r="C60" s="118" t="s">
        <v>1293</v>
      </c>
      <c r="D60" s="121">
        <v>82</v>
      </c>
      <c r="E60" s="121">
        <v>3</v>
      </c>
      <c r="F60" s="121">
        <v>1</v>
      </c>
      <c r="G60" s="121">
        <v>1</v>
      </c>
      <c r="H60" s="41"/>
      <c r="I60" s="18">
        <f t="shared" si="0"/>
        <v>87</v>
      </c>
    </row>
    <row r="61" spans="1:9" x14ac:dyDescent="0.35">
      <c r="A61" s="118" t="s">
        <v>417</v>
      </c>
      <c r="B61" s="118" t="s">
        <v>418</v>
      </c>
      <c r="C61" s="118" t="s">
        <v>1293</v>
      </c>
      <c r="D61" s="121">
        <v>42</v>
      </c>
      <c r="E61" s="121"/>
      <c r="F61" s="121"/>
      <c r="G61" s="121">
        <v>1</v>
      </c>
      <c r="H61" s="41"/>
      <c r="I61" s="18">
        <f t="shared" si="0"/>
        <v>43</v>
      </c>
    </row>
    <row r="62" spans="1:9" x14ac:dyDescent="0.35">
      <c r="A62" s="118" t="s">
        <v>419</v>
      </c>
      <c r="B62" s="118" t="s">
        <v>420</v>
      </c>
      <c r="C62" s="118" t="s">
        <v>1293</v>
      </c>
      <c r="D62" s="121">
        <v>3</v>
      </c>
      <c r="E62" s="121"/>
      <c r="F62" s="121"/>
      <c r="G62" s="121"/>
      <c r="H62" s="41"/>
      <c r="I62" s="18">
        <f t="shared" si="0"/>
        <v>3</v>
      </c>
    </row>
    <row r="63" spans="1:9" x14ac:dyDescent="0.35">
      <c r="A63" s="118" t="s">
        <v>421</v>
      </c>
      <c r="B63" s="118" t="s">
        <v>422</v>
      </c>
      <c r="C63" s="118" t="s">
        <v>1293</v>
      </c>
      <c r="D63" s="121">
        <v>25</v>
      </c>
      <c r="E63" s="121">
        <v>2</v>
      </c>
      <c r="F63" s="121">
        <v>1</v>
      </c>
      <c r="G63" s="121"/>
      <c r="H63" s="41"/>
      <c r="I63" s="18">
        <f t="shared" si="0"/>
        <v>28</v>
      </c>
    </row>
    <row r="64" spans="1:9" x14ac:dyDescent="0.35">
      <c r="A64" s="118" t="s">
        <v>423</v>
      </c>
      <c r="B64" s="118" t="s">
        <v>424</v>
      </c>
      <c r="C64" s="118" t="s">
        <v>1293</v>
      </c>
      <c r="D64" s="121">
        <v>2037</v>
      </c>
      <c r="E64" s="121">
        <v>46</v>
      </c>
      <c r="F64" s="121">
        <v>21</v>
      </c>
      <c r="G64" s="121">
        <v>2</v>
      </c>
      <c r="H64" s="41"/>
      <c r="I64" s="18">
        <f t="shared" si="0"/>
        <v>2106</v>
      </c>
    </row>
    <row r="65" spans="1:9" x14ac:dyDescent="0.35">
      <c r="A65" s="118" t="s">
        <v>425</v>
      </c>
      <c r="B65" s="118" t="s">
        <v>426</v>
      </c>
      <c r="C65" s="118" t="s">
        <v>1293</v>
      </c>
      <c r="D65" s="121">
        <v>70</v>
      </c>
      <c r="E65" s="121">
        <v>3</v>
      </c>
      <c r="F65" s="121"/>
      <c r="G65" s="121">
        <v>1</v>
      </c>
      <c r="H65" s="41"/>
      <c r="I65" s="18">
        <f t="shared" si="0"/>
        <v>74</v>
      </c>
    </row>
    <row r="66" spans="1:9" x14ac:dyDescent="0.35">
      <c r="A66" s="118" t="s">
        <v>427</v>
      </c>
      <c r="B66" s="118" t="s">
        <v>428</v>
      </c>
      <c r="C66" s="118" t="s">
        <v>1293</v>
      </c>
      <c r="D66" s="121">
        <v>3</v>
      </c>
      <c r="E66" s="121"/>
      <c r="F66" s="121">
        <v>1</v>
      </c>
      <c r="G66" s="121"/>
      <c r="H66" s="41"/>
      <c r="I66" s="18">
        <f t="shared" si="0"/>
        <v>4</v>
      </c>
    </row>
    <row r="67" spans="1:9" x14ac:dyDescent="0.35">
      <c r="A67" s="118" t="s">
        <v>429</v>
      </c>
      <c r="B67" s="118" t="s">
        <v>430</v>
      </c>
      <c r="C67" s="118" t="s">
        <v>1293</v>
      </c>
      <c r="D67" s="121">
        <v>669</v>
      </c>
      <c r="E67" s="121">
        <v>21</v>
      </c>
      <c r="F67" s="121">
        <v>11</v>
      </c>
      <c r="G67" s="121">
        <v>1</v>
      </c>
      <c r="H67" s="41"/>
      <c r="I67" s="18">
        <f t="shared" si="0"/>
        <v>702</v>
      </c>
    </row>
    <row r="68" spans="1:9" x14ac:dyDescent="0.35">
      <c r="A68" s="118" t="s">
        <v>431</v>
      </c>
      <c r="B68" s="118" t="s">
        <v>432</v>
      </c>
      <c r="C68" s="118" t="s">
        <v>1293</v>
      </c>
      <c r="D68" s="121">
        <v>623</v>
      </c>
      <c r="E68" s="121">
        <v>37</v>
      </c>
      <c r="F68" s="121">
        <v>6</v>
      </c>
      <c r="G68" s="121">
        <v>2</v>
      </c>
      <c r="H68" s="41"/>
      <c r="I68" s="18">
        <f t="shared" si="0"/>
        <v>668</v>
      </c>
    </row>
    <row r="69" spans="1:9" x14ac:dyDescent="0.35">
      <c r="A69" s="118" t="s">
        <v>433</v>
      </c>
      <c r="B69" s="118" t="s">
        <v>434</v>
      </c>
      <c r="C69" s="118" t="s">
        <v>1293</v>
      </c>
      <c r="D69" s="121">
        <v>67</v>
      </c>
      <c r="E69" s="121">
        <v>13</v>
      </c>
      <c r="F69" s="121">
        <v>2</v>
      </c>
      <c r="G69" s="121">
        <v>5</v>
      </c>
      <c r="H69" s="41"/>
      <c r="I69" s="18">
        <f t="shared" ref="I69:I132" si="1">SUM(D69:H69)</f>
        <v>87</v>
      </c>
    </row>
    <row r="70" spans="1:9" x14ac:dyDescent="0.35">
      <c r="A70" s="118" t="s">
        <v>435</v>
      </c>
      <c r="B70" s="118" t="s">
        <v>436</v>
      </c>
      <c r="C70" s="118" t="s">
        <v>1293</v>
      </c>
      <c r="D70" s="121">
        <v>22</v>
      </c>
      <c r="E70" s="121">
        <v>1</v>
      </c>
      <c r="F70" s="121"/>
      <c r="G70" s="121"/>
      <c r="H70" s="41"/>
      <c r="I70" s="18">
        <f t="shared" si="1"/>
        <v>23</v>
      </c>
    </row>
    <row r="71" spans="1:9" x14ac:dyDescent="0.35">
      <c r="A71" s="118" t="s">
        <v>437</v>
      </c>
      <c r="B71" s="118" t="s">
        <v>438</v>
      </c>
      <c r="C71" s="118" t="s">
        <v>1293</v>
      </c>
      <c r="D71" s="121">
        <v>21</v>
      </c>
      <c r="E71" s="121">
        <v>1</v>
      </c>
      <c r="F71" s="121"/>
      <c r="G71" s="121"/>
      <c r="H71" s="41"/>
      <c r="I71" s="18">
        <f t="shared" si="1"/>
        <v>22</v>
      </c>
    </row>
    <row r="72" spans="1:9" x14ac:dyDescent="0.35">
      <c r="A72" s="118" t="s">
        <v>439</v>
      </c>
      <c r="B72" s="118" t="s">
        <v>440</v>
      </c>
      <c r="C72" s="118" t="s">
        <v>1293</v>
      </c>
      <c r="D72" s="121">
        <v>54</v>
      </c>
      <c r="E72" s="121"/>
      <c r="F72" s="121">
        <v>1</v>
      </c>
      <c r="G72" s="121"/>
      <c r="H72" s="41"/>
      <c r="I72" s="18">
        <f t="shared" si="1"/>
        <v>55</v>
      </c>
    </row>
    <row r="73" spans="1:9" x14ac:dyDescent="0.35">
      <c r="A73" s="118" t="s">
        <v>441</v>
      </c>
      <c r="B73" s="118" t="s">
        <v>1223</v>
      </c>
      <c r="C73" s="118" t="s">
        <v>1293</v>
      </c>
      <c r="D73" s="121">
        <v>80</v>
      </c>
      <c r="E73" s="121">
        <v>4</v>
      </c>
      <c r="F73" s="121">
        <v>1</v>
      </c>
      <c r="G73" s="121">
        <v>5</v>
      </c>
      <c r="H73" s="41"/>
      <c r="I73" s="18">
        <f t="shared" si="1"/>
        <v>90</v>
      </c>
    </row>
    <row r="74" spans="1:9" x14ac:dyDescent="0.35">
      <c r="A74" s="118" t="s">
        <v>442</v>
      </c>
      <c r="B74" s="118" t="s">
        <v>443</v>
      </c>
      <c r="C74" s="118" t="s">
        <v>1293</v>
      </c>
      <c r="D74" s="121">
        <v>16</v>
      </c>
      <c r="E74" s="121">
        <v>7</v>
      </c>
      <c r="F74" s="121">
        <v>2</v>
      </c>
      <c r="G74" s="121"/>
      <c r="H74" s="41"/>
      <c r="I74" s="18">
        <f t="shared" si="1"/>
        <v>25</v>
      </c>
    </row>
    <row r="75" spans="1:9" x14ac:dyDescent="0.35">
      <c r="A75" s="118" t="s">
        <v>444</v>
      </c>
      <c r="B75" s="118" t="s">
        <v>445</v>
      </c>
      <c r="C75" s="118" t="s">
        <v>1293</v>
      </c>
      <c r="D75" s="121">
        <v>76</v>
      </c>
      <c r="E75" s="121">
        <v>11</v>
      </c>
      <c r="F75" s="121">
        <v>2</v>
      </c>
      <c r="G75" s="121">
        <v>1</v>
      </c>
      <c r="H75" s="41"/>
      <c r="I75" s="18">
        <f t="shared" si="1"/>
        <v>90</v>
      </c>
    </row>
    <row r="76" spans="1:9" x14ac:dyDescent="0.35">
      <c r="A76" s="118" t="s">
        <v>446</v>
      </c>
      <c r="B76" s="118" t="s">
        <v>447</v>
      </c>
      <c r="C76" s="118" t="s">
        <v>1293</v>
      </c>
      <c r="D76" s="121">
        <v>442</v>
      </c>
      <c r="E76" s="121">
        <v>33</v>
      </c>
      <c r="F76" s="121">
        <v>3</v>
      </c>
      <c r="G76" s="121"/>
      <c r="H76" s="41"/>
      <c r="I76" s="18">
        <f t="shared" si="1"/>
        <v>478</v>
      </c>
    </row>
    <row r="77" spans="1:9" x14ac:dyDescent="0.35">
      <c r="A77" s="118" t="s">
        <v>448</v>
      </c>
      <c r="B77" s="118" t="s">
        <v>449</v>
      </c>
      <c r="C77" s="118" t="s">
        <v>1293</v>
      </c>
      <c r="D77" s="121">
        <v>35</v>
      </c>
      <c r="E77" s="121">
        <v>4</v>
      </c>
      <c r="F77" s="121">
        <v>1</v>
      </c>
      <c r="G77" s="121"/>
      <c r="H77" s="41"/>
      <c r="I77" s="18">
        <f t="shared" si="1"/>
        <v>40</v>
      </c>
    </row>
    <row r="78" spans="1:9" x14ac:dyDescent="0.35">
      <c r="A78" s="118" t="s">
        <v>450</v>
      </c>
      <c r="B78" s="118" t="s">
        <v>451</v>
      </c>
      <c r="C78" s="118" t="s">
        <v>1293</v>
      </c>
      <c r="D78" s="121">
        <v>156</v>
      </c>
      <c r="E78" s="121">
        <v>21</v>
      </c>
      <c r="F78" s="121">
        <v>5</v>
      </c>
      <c r="G78" s="121"/>
      <c r="H78" s="41"/>
      <c r="I78" s="18">
        <f t="shared" si="1"/>
        <v>182</v>
      </c>
    </row>
    <row r="79" spans="1:9" x14ac:dyDescent="0.35">
      <c r="A79" s="118" t="s">
        <v>452</v>
      </c>
      <c r="B79" s="118" t="s">
        <v>453</v>
      </c>
      <c r="C79" s="118" t="s">
        <v>1293</v>
      </c>
      <c r="D79" s="121">
        <v>6</v>
      </c>
      <c r="E79" s="121"/>
      <c r="F79" s="121"/>
      <c r="G79" s="121"/>
      <c r="H79" s="41"/>
      <c r="I79" s="18">
        <f t="shared" si="1"/>
        <v>6</v>
      </c>
    </row>
    <row r="80" spans="1:9" x14ac:dyDescent="0.35">
      <c r="A80" s="118" t="s">
        <v>454</v>
      </c>
      <c r="B80" s="118" t="s">
        <v>455</v>
      </c>
      <c r="C80" s="118" t="s">
        <v>1293</v>
      </c>
      <c r="D80" s="121">
        <v>11</v>
      </c>
      <c r="E80" s="121">
        <v>2</v>
      </c>
      <c r="F80" s="121"/>
      <c r="G80" s="121"/>
      <c r="H80" s="41"/>
      <c r="I80" s="18">
        <f t="shared" si="1"/>
        <v>13</v>
      </c>
    </row>
    <row r="81" spans="1:9" x14ac:dyDescent="0.35">
      <c r="A81" s="118" t="s">
        <v>456</v>
      </c>
      <c r="B81" s="118" t="s">
        <v>457</v>
      </c>
      <c r="C81" s="118" t="s">
        <v>1293</v>
      </c>
      <c r="D81" s="121">
        <v>125</v>
      </c>
      <c r="E81" s="121">
        <v>18</v>
      </c>
      <c r="F81" s="121">
        <v>4</v>
      </c>
      <c r="G81" s="121"/>
      <c r="H81" s="41"/>
      <c r="I81" s="18">
        <f t="shared" si="1"/>
        <v>147</v>
      </c>
    </row>
    <row r="82" spans="1:9" x14ac:dyDescent="0.35">
      <c r="A82" s="118" t="s">
        <v>458</v>
      </c>
      <c r="B82" s="118" t="s">
        <v>459</v>
      </c>
      <c r="C82" s="118" t="s">
        <v>1293</v>
      </c>
      <c r="D82" s="121">
        <v>3370</v>
      </c>
      <c r="E82" s="121">
        <v>438</v>
      </c>
      <c r="F82" s="121">
        <v>51</v>
      </c>
      <c r="G82" s="121">
        <v>7</v>
      </c>
      <c r="H82" s="41"/>
      <c r="I82" s="18">
        <f t="shared" si="1"/>
        <v>3866</v>
      </c>
    </row>
    <row r="83" spans="1:9" x14ac:dyDescent="0.35">
      <c r="A83" s="118" t="s">
        <v>460</v>
      </c>
      <c r="B83" s="118" t="s">
        <v>461</v>
      </c>
      <c r="C83" s="118" t="s">
        <v>1293</v>
      </c>
      <c r="D83" s="121">
        <v>11</v>
      </c>
      <c r="E83" s="121">
        <v>1</v>
      </c>
      <c r="F83" s="121"/>
      <c r="G83" s="121"/>
      <c r="H83" s="41"/>
      <c r="I83" s="18">
        <f t="shared" si="1"/>
        <v>12</v>
      </c>
    </row>
    <row r="84" spans="1:9" x14ac:dyDescent="0.35">
      <c r="A84" s="118" t="s">
        <v>462</v>
      </c>
      <c r="B84" s="118" t="s">
        <v>463</v>
      </c>
      <c r="C84" s="118" t="s">
        <v>1293</v>
      </c>
      <c r="D84" s="121">
        <v>6</v>
      </c>
      <c r="E84" s="121">
        <v>3</v>
      </c>
      <c r="F84" s="121"/>
      <c r="G84" s="121"/>
      <c r="H84" s="41"/>
      <c r="I84" s="18">
        <f t="shared" si="1"/>
        <v>9</v>
      </c>
    </row>
    <row r="85" spans="1:9" x14ac:dyDescent="0.35">
      <c r="A85" s="118" t="s">
        <v>464</v>
      </c>
      <c r="B85" s="118" t="s">
        <v>1363</v>
      </c>
      <c r="C85" s="118" t="s">
        <v>1293</v>
      </c>
      <c r="D85" s="121">
        <v>9</v>
      </c>
      <c r="E85" s="121">
        <v>1</v>
      </c>
      <c r="F85" s="121"/>
      <c r="G85" s="121"/>
      <c r="H85" s="41"/>
      <c r="I85" s="18">
        <f t="shared" si="1"/>
        <v>10</v>
      </c>
    </row>
    <row r="86" spans="1:9" x14ac:dyDescent="0.35">
      <c r="A86" s="118" t="s">
        <v>465</v>
      </c>
      <c r="B86" s="118" t="s">
        <v>466</v>
      </c>
      <c r="C86" s="118" t="s">
        <v>1293</v>
      </c>
      <c r="D86" s="121">
        <v>134</v>
      </c>
      <c r="E86" s="121">
        <v>10</v>
      </c>
      <c r="F86" s="121">
        <v>3</v>
      </c>
      <c r="G86" s="121"/>
      <c r="H86" s="41"/>
      <c r="I86" s="18">
        <f t="shared" si="1"/>
        <v>147</v>
      </c>
    </row>
    <row r="87" spans="1:9" x14ac:dyDescent="0.35">
      <c r="A87" s="118" t="s">
        <v>467</v>
      </c>
      <c r="B87" s="118" t="s">
        <v>1364</v>
      </c>
      <c r="C87" s="118" t="s">
        <v>1293</v>
      </c>
      <c r="D87" s="121">
        <v>76</v>
      </c>
      <c r="E87" s="121">
        <v>4</v>
      </c>
      <c r="F87" s="121"/>
      <c r="G87" s="121"/>
      <c r="H87" s="41"/>
      <c r="I87" s="18">
        <f t="shared" si="1"/>
        <v>80</v>
      </c>
    </row>
    <row r="88" spans="1:9" x14ac:dyDescent="0.35">
      <c r="A88" s="118" t="s">
        <v>468</v>
      </c>
      <c r="B88" s="118" t="s">
        <v>469</v>
      </c>
      <c r="C88" s="118" t="s">
        <v>1293</v>
      </c>
      <c r="D88" s="121">
        <v>145</v>
      </c>
      <c r="E88" s="121">
        <v>12</v>
      </c>
      <c r="F88" s="121">
        <v>4</v>
      </c>
      <c r="G88" s="121">
        <v>1</v>
      </c>
      <c r="H88" s="41"/>
      <c r="I88" s="18">
        <f t="shared" si="1"/>
        <v>162</v>
      </c>
    </row>
    <row r="89" spans="1:9" x14ac:dyDescent="0.35">
      <c r="A89" s="118" t="s">
        <v>470</v>
      </c>
      <c r="B89" s="118" t="s">
        <v>471</v>
      </c>
      <c r="C89" s="118" t="s">
        <v>1293</v>
      </c>
      <c r="D89" s="121">
        <v>76</v>
      </c>
      <c r="E89" s="121">
        <v>10</v>
      </c>
      <c r="F89" s="121">
        <v>2</v>
      </c>
      <c r="G89" s="121"/>
      <c r="H89" s="41"/>
      <c r="I89" s="18">
        <f t="shared" si="1"/>
        <v>88</v>
      </c>
    </row>
    <row r="90" spans="1:9" x14ac:dyDescent="0.35">
      <c r="A90" s="118" t="s">
        <v>472</v>
      </c>
      <c r="B90" s="118" t="s">
        <v>473</v>
      </c>
      <c r="C90" s="118" t="s">
        <v>1293</v>
      </c>
      <c r="D90" s="121">
        <v>17</v>
      </c>
      <c r="E90" s="121">
        <v>2</v>
      </c>
      <c r="F90" s="121">
        <v>1</v>
      </c>
      <c r="G90" s="121"/>
      <c r="H90" s="41"/>
      <c r="I90" s="18">
        <f t="shared" si="1"/>
        <v>20</v>
      </c>
    </row>
    <row r="91" spans="1:9" x14ac:dyDescent="0.35">
      <c r="A91" s="118" t="s">
        <v>474</v>
      </c>
      <c r="B91" s="118" t="s">
        <v>475</v>
      </c>
      <c r="C91" s="118" t="s">
        <v>1293</v>
      </c>
      <c r="D91" s="121">
        <v>148</v>
      </c>
      <c r="E91" s="121">
        <v>21</v>
      </c>
      <c r="F91" s="121">
        <v>6</v>
      </c>
      <c r="G91" s="121">
        <v>1</v>
      </c>
      <c r="H91" s="41"/>
      <c r="I91" s="18">
        <f t="shared" si="1"/>
        <v>176</v>
      </c>
    </row>
    <row r="92" spans="1:9" x14ac:dyDescent="0.35">
      <c r="A92" s="118" t="s">
        <v>476</v>
      </c>
      <c r="B92" s="118" t="s">
        <v>1365</v>
      </c>
      <c r="C92" s="118" t="s">
        <v>1293</v>
      </c>
      <c r="D92" s="121">
        <v>11</v>
      </c>
      <c r="E92" s="121">
        <v>3</v>
      </c>
      <c r="F92" s="121"/>
      <c r="G92" s="121">
        <v>2</v>
      </c>
      <c r="H92" s="41"/>
      <c r="I92" s="18">
        <f t="shared" si="1"/>
        <v>16</v>
      </c>
    </row>
    <row r="93" spans="1:9" x14ac:dyDescent="0.35">
      <c r="A93" s="118" t="s">
        <v>477</v>
      </c>
      <c r="B93" s="118" t="s">
        <v>478</v>
      </c>
      <c r="C93" s="118" t="s">
        <v>1293</v>
      </c>
      <c r="D93" s="121">
        <v>373</v>
      </c>
      <c r="E93" s="121">
        <v>13</v>
      </c>
      <c r="F93" s="121">
        <v>1</v>
      </c>
      <c r="G93" s="121"/>
      <c r="H93" s="41"/>
      <c r="I93" s="18">
        <f t="shared" si="1"/>
        <v>387</v>
      </c>
    </row>
    <row r="94" spans="1:9" x14ac:dyDescent="0.35">
      <c r="A94" s="118" t="s">
        <v>479</v>
      </c>
      <c r="B94" s="118" t="s">
        <v>480</v>
      </c>
      <c r="C94" s="118" t="s">
        <v>1293</v>
      </c>
      <c r="D94" s="121">
        <v>16</v>
      </c>
      <c r="E94" s="121"/>
      <c r="F94" s="121"/>
      <c r="G94" s="121"/>
      <c r="H94" s="41"/>
      <c r="I94" s="18">
        <f t="shared" si="1"/>
        <v>16</v>
      </c>
    </row>
    <row r="95" spans="1:9" x14ac:dyDescent="0.35">
      <c r="A95" s="118" t="s">
        <v>481</v>
      </c>
      <c r="B95" s="118" t="s">
        <v>1366</v>
      </c>
      <c r="C95" s="118" t="s">
        <v>1293</v>
      </c>
      <c r="D95" s="121">
        <v>78</v>
      </c>
      <c r="E95" s="121">
        <v>5</v>
      </c>
      <c r="F95" s="121">
        <v>1</v>
      </c>
      <c r="G95" s="121">
        <v>1</v>
      </c>
      <c r="H95" s="41"/>
      <c r="I95" s="18">
        <f t="shared" si="1"/>
        <v>85</v>
      </c>
    </row>
    <row r="96" spans="1:9" x14ac:dyDescent="0.35">
      <c r="A96" s="118" t="s">
        <v>482</v>
      </c>
      <c r="B96" s="118" t="s">
        <v>1367</v>
      </c>
      <c r="C96" s="118" t="s">
        <v>1293</v>
      </c>
      <c r="D96" s="121">
        <v>5</v>
      </c>
      <c r="E96" s="121"/>
      <c r="F96" s="121"/>
      <c r="G96" s="121"/>
      <c r="H96" s="41"/>
      <c r="I96" s="18">
        <f t="shared" si="1"/>
        <v>5</v>
      </c>
    </row>
    <row r="97" spans="1:9" x14ac:dyDescent="0.35">
      <c r="A97" s="118" t="s">
        <v>483</v>
      </c>
      <c r="B97" s="118" t="s">
        <v>1368</v>
      </c>
      <c r="C97" s="118" t="s">
        <v>1293</v>
      </c>
      <c r="D97" s="121">
        <v>25</v>
      </c>
      <c r="E97" s="121">
        <v>7</v>
      </c>
      <c r="F97" s="121">
        <v>1</v>
      </c>
      <c r="G97" s="121">
        <v>1</v>
      </c>
      <c r="H97" s="41"/>
      <c r="I97" s="18">
        <f t="shared" si="1"/>
        <v>34</v>
      </c>
    </row>
    <row r="98" spans="1:9" x14ac:dyDescent="0.35">
      <c r="A98" s="118" t="s">
        <v>484</v>
      </c>
      <c r="B98" s="118" t="s">
        <v>485</v>
      </c>
      <c r="C98" s="118" t="s">
        <v>1293</v>
      </c>
      <c r="D98" s="121">
        <v>52</v>
      </c>
      <c r="E98" s="121">
        <v>9</v>
      </c>
      <c r="F98" s="121"/>
      <c r="G98" s="121">
        <v>3</v>
      </c>
      <c r="H98" s="41"/>
      <c r="I98" s="18">
        <f t="shared" si="1"/>
        <v>64</v>
      </c>
    </row>
    <row r="99" spans="1:9" x14ac:dyDescent="0.35">
      <c r="A99" s="118" t="s">
        <v>486</v>
      </c>
      <c r="B99" s="118" t="s">
        <v>487</v>
      </c>
      <c r="C99" s="118" t="s">
        <v>1293</v>
      </c>
      <c r="D99" s="121">
        <v>583</v>
      </c>
      <c r="E99" s="121">
        <v>63</v>
      </c>
      <c r="F99" s="121">
        <v>8</v>
      </c>
      <c r="G99" s="121"/>
      <c r="H99" s="41"/>
      <c r="I99" s="18">
        <f t="shared" si="1"/>
        <v>654</v>
      </c>
    </row>
    <row r="100" spans="1:9" x14ac:dyDescent="0.35">
      <c r="A100" s="118" t="s">
        <v>488</v>
      </c>
      <c r="B100" s="118" t="s">
        <v>489</v>
      </c>
      <c r="C100" s="118" t="s">
        <v>1293</v>
      </c>
      <c r="D100" s="121">
        <v>170</v>
      </c>
      <c r="E100" s="121">
        <v>22</v>
      </c>
      <c r="F100" s="121"/>
      <c r="G100" s="121"/>
      <c r="H100" s="41"/>
      <c r="I100" s="18">
        <f t="shared" si="1"/>
        <v>192</v>
      </c>
    </row>
    <row r="101" spans="1:9" x14ac:dyDescent="0.35">
      <c r="A101" s="118" t="s">
        <v>490</v>
      </c>
      <c r="B101" s="118" t="s">
        <v>1224</v>
      </c>
      <c r="C101" s="118" t="s">
        <v>1293</v>
      </c>
      <c r="D101" s="121">
        <v>4</v>
      </c>
      <c r="E101" s="121"/>
      <c r="F101" s="121"/>
      <c r="G101" s="121"/>
      <c r="H101" s="41"/>
      <c r="I101" s="18">
        <f t="shared" si="1"/>
        <v>4</v>
      </c>
    </row>
    <row r="102" spans="1:9" x14ac:dyDescent="0.35">
      <c r="A102" s="118" t="s">
        <v>1330</v>
      </c>
      <c r="B102" s="118" t="s">
        <v>1331</v>
      </c>
      <c r="C102" s="118" t="s">
        <v>1293</v>
      </c>
      <c r="D102" s="121">
        <v>1</v>
      </c>
      <c r="E102" s="121"/>
      <c r="F102" s="121"/>
      <c r="G102" s="121"/>
      <c r="H102" s="41"/>
      <c r="I102" s="18">
        <f t="shared" si="1"/>
        <v>1</v>
      </c>
    </row>
    <row r="103" spans="1:9" x14ac:dyDescent="0.35">
      <c r="A103" s="118" t="s">
        <v>491</v>
      </c>
      <c r="B103" s="118" t="s">
        <v>492</v>
      </c>
      <c r="C103" s="118" t="s">
        <v>1293</v>
      </c>
      <c r="D103" s="121">
        <v>16</v>
      </c>
      <c r="E103" s="121">
        <v>1</v>
      </c>
      <c r="F103" s="121">
        <v>4</v>
      </c>
      <c r="G103" s="121"/>
      <c r="H103" s="41"/>
      <c r="I103" s="18">
        <f t="shared" si="1"/>
        <v>21</v>
      </c>
    </row>
    <row r="104" spans="1:9" x14ac:dyDescent="0.35">
      <c r="A104" s="118" t="s">
        <v>495</v>
      </c>
      <c r="B104" s="118" t="s">
        <v>496</v>
      </c>
      <c r="C104" s="118" t="s">
        <v>1293</v>
      </c>
      <c r="D104" s="121">
        <v>39</v>
      </c>
      <c r="E104" s="121">
        <v>8</v>
      </c>
      <c r="F104" s="121">
        <v>4</v>
      </c>
      <c r="G104" s="121">
        <v>2</v>
      </c>
      <c r="H104" s="41"/>
      <c r="I104" s="18">
        <f t="shared" si="1"/>
        <v>53</v>
      </c>
    </row>
    <row r="105" spans="1:9" x14ac:dyDescent="0.35">
      <c r="A105" s="118" t="s">
        <v>497</v>
      </c>
      <c r="B105" s="118" t="s">
        <v>498</v>
      </c>
      <c r="C105" s="118" t="s">
        <v>1293</v>
      </c>
      <c r="D105" s="121">
        <v>22</v>
      </c>
      <c r="E105" s="121">
        <v>10</v>
      </c>
      <c r="F105" s="121">
        <v>2</v>
      </c>
      <c r="G105" s="121"/>
      <c r="H105" s="41"/>
      <c r="I105" s="18">
        <f t="shared" si="1"/>
        <v>34</v>
      </c>
    </row>
    <row r="106" spans="1:9" x14ac:dyDescent="0.35">
      <c r="A106" s="118" t="s">
        <v>499</v>
      </c>
      <c r="B106" s="118" t="s">
        <v>500</v>
      </c>
      <c r="C106" s="118" t="s">
        <v>1293</v>
      </c>
      <c r="D106" s="121">
        <v>39</v>
      </c>
      <c r="E106" s="121">
        <v>5</v>
      </c>
      <c r="F106" s="121">
        <v>1</v>
      </c>
      <c r="G106" s="121"/>
      <c r="H106" s="41"/>
      <c r="I106" s="18">
        <f t="shared" si="1"/>
        <v>45</v>
      </c>
    </row>
    <row r="107" spans="1:9" x14ac:dyDescent="0.35">
      <c r="A107" s="118" t="s">
        <v>501</v>
      </c>
      <c r="B107" s="118" t="s">
        <v>502</v>
      </c>
      <c r="C107" s="118" t="s">
        <v>1293</v>
      </c>
      <c r="D107" s="121">
        <v>7</v>
      </c>
      <c r="E107" s="121">
        <v>1</v>
      </c>
      <c r="F107" s="121"/>
      <c r="G107" s="121"/>
      <c r="H107" s="41"/>
      <c r="I107" s="18">
        <f t="shared" si="1"/>
        <v>8</v>
      </c>
    </row>
    <row r="108" spans="1:9" x14ac:dyDescent="0.35">
      <c r="A108" s="118" t="s">
        <v>503</v>
      </c>
      <c r="B108" s="118" t="s">
        <v>504</v>
      </c>
      <c r="C108" s="118" t="s">
        <v>1293</v>
      </c>
      <c r="D108" s="121">
        <v>17</v>
      </c>
      <c r="E108" s="121">
        <v>5</v>
      </c>
      <c r="F108" s="121">
        <v>1</v>
      </c>
      <c r="G108" s="121"/>
      <c r="H108" s="41"/>
      <c r="I108" s="18">
        <f t="shared" si="1"/>
        <v>23</v>
      </c>
    </row>
    <row r="109" spans="1:9" x14ac:dyDescent="0.35">
      <c r="A109" s="118" t="s">
        <v>505</v>
      </c>
      <c r="B109" s="118" t="s">
        <v>506</v>
      </c>
      <c r="C109" s="118" t="s">
        <v>1293</v>
      </c>
      <c r="D109" s="121">
        <v>55</v>
      </c>
      <c r="E109" s="121">
        <v>11</v>
      </c>
      <c r="F109" s="121">
        <v>6</v>
      </c>
      <c r="G109" s="121">
        <v>2</v>
      </c>
      <c r="H109" s="41"/>
      <c r="I109" s="18">
        <f t="shared" si="1"/>
        <v>74</v>
      </c>
    </row>
    <row r="110" spans="1:9" x14ac:dyDescent="0.35">
      <c r="A110" s="118" t="s">
        <v>507</v>
      </c>
      <c r="B110" s="118" t="s">
        <v>1369</v>
      </c>
      <c r="C110" s="118" t="s">
        <v>1293</v>
      </c>
      <c r="D110" s="121">
        <v>246</v>
      </c>
      <c r="E110" s="121">
        <v>24</v>
      </c>
      <c r="F110" s="121">
        <v>8</v>
      </c>
      <c r="G110" s="121">
        <v>2</v>
      </c>
      <c r="H110" s="41"/>
      <c r="I110" s="18">
        <f t="shared" si="1"/>
        <v>280</v>
      </c>
    </row>
    <row r="111" spans="1:9" x14ac:dyDescent="0.35">
      <c r="A111" s="118" t="s">
        <v>508</v>
      </c>
      <c r="B111" s="118" t="s">
        <v>509</v>
      </c>
      <c r="C111" s="118" t="s">
        <v>1293</v>
      </c>
      <c r="D111" s="121">
        <v>45</v>
      </c>
      <c r="E111" s="121">
        <v>6</v>
      </c>
      <c r="F111" s="121">
        <v>3</v>
      </c>
      <c r="G111" s="121">
        <v>4</v>
      </c>
      <c r="H111" s="41"/>
      <c r="I111" s="18">
        <f t="shared" si="1"/>
        <v>58</v>
      </c>
    </row>
    <row r="112" spans="1:9" x14ac:dyDescent="0.35">
      <c r="A112" s="118" t="s">
        <v>510</v>
      </c>
      <c r="B112" s="118" t="s">
        <v>511</v>
      </c>
      <c r="C112" s="118" t="s">
        <v>1293</v>
      </c>
      <c r="D112" s="121">
        <v>9</v>
      </c>
      <c r="E112" s="121">
        <v>1</v>
      </c>
      <c r="F112" s="121"/>
      <c r="G112" s="121">
        <v>1</v>
      </c>
      <c r="H112" s="41"/>
      <c r="I112" s="18">
        <f t="shared" si="1"/>
        <v>11</v>
      </c>
    </row>
    <row r="113" spans="1:9" x14ac:dyDescent="0.35">
      <c r="A113" s="118" t="s">
        <v>512</v>
      </c>
      <c r="B113" s="118" t="s">
        <v>127</v>
      </c>
      <c r="C113" s="118" t="s">
        <v>1293</v>
      </c>
      <c r="D113" s="121">
        <v>86</v>
      </c>
      <c r="E113" s="121">
        <v>13</v>
      </c>
      <c r="F113" s="121">
        <v>7</v>
      </c>
      <c r="G113" s="121">
        <v>2</v>
      </c>
      <c r="H113" s="41"/>
      <c r="I113" s="18">
        <f t="shared" si="1"/>
        <v>108</v>
      </c>
    </row>
    <row r="114" spans="1:9" x14ac:dyDescent="0.35">
      <c r="A114" s="118" t="s">
        <v>513</v>
      </c>
      <c r="B114" s="118" t="s">
        <v>514</v>
      </c>
      <c r="C114" s="118" t="s">
        <v>1293</v>
      </c>
      <c r="D114" s="121">
        <v>1</v>
      </c>
      <c r="E114" s="121"/>
      <c r="F114" s="121"/>
      <c r="G114" s="121"/>
      <c r="H114" s="41"/>
      <c r="I114" s="18">
        <f t="shared" si="1"/>
        <v>1</v>
      </c>
    </row>
    <row r="115" spans="1:9" x14ac:dyDescent="0.35">
      <c r="A115" s="118" t="s">
        <v>515</v>
      </c>
      <c r="B115" s="118" t="s">
        <v>516</v>
      </c>
      <c r="C115" s="118" t="s">
        <v>1293</v>
      </c>
      <c r="D115" s="121">
        <v>10</v>
      </c>
      <c r="E115" s="121">
        <v>1</v>
      </c>
      <c r="F115" s="121">
        <v>2</v>
      </c>
      <c r="G115" s="121"/>
      <c r="H115" s="41"/>
      <c r="I115" s="18">
        <f t="shared" si="1"/>
        <v>13</v>
      </c>
    </row>
    <row r="116" spans="1:9" x14ac:dyDescent="0.35">
      <c r="A116" s="118" t="s">
        <v>517</v>
      </c>
      <c r="B116" s="118" t="s">
        <v>518</v>
      </c>
      <c r="C116" s="118" t="s">
        <v>1293</v>
      </c>
      <c r="D116" s="121">
        <v>26</v>
      </c>
      <c r="E116" s="121">
        <v>9</v>
      </c>
      <c r="F116" s="121"/>
      <c r="G116" s="121"/>
      <c r="H116" s="41"/>
      <c r="I116" s="18">
        <f t="shared" si="1"/>
        <v>35</v>
      </c>
    </row>
    <row r="117" spans="1:9" x14ac:dyDescent="0.35">
      <c r="A117" s="118" t="s">
        <v>519</v>
      </c>
      <c r="B117" s="118" t="s">
        <v>520</v>
      </c>
      <c r="C117" s="118" t="s">
        <v>1293</v>
      </c>
      <c r="D117" s="121">
        <v>105</v>
      </c>
      <c r="E117" s="121">
        <v>25</v>
      </c>
      <c r="F117" s="121">
        <v>6</v>
      </c>
      <c r="G117" s="121"/>
      <c r="H117" s="41"/>
      <c r="I117" s="18">
        <f t="shared" si="1"/>
        <v>136</v>
      </c>
    </row>
    <row r="118" spans="1:9" x14ac:dyDescent="0.35">
      <c r="A118" s="118" t="s">
        <v>521</v>
      </c>
      <c r="B118" s="118" t="s">
        <v>522</v>
      </c>
      <c r="C118" s="118" t="s">
        <v>1293</v>
      </c>
      <c r="D118" s="121">
        <v>216</v>
      </c>
      <c r="E118" s="121">
        <v>56</v>
      </c>
      <c r="F118" s="121">
        <v>17</v>
      </c>
      <c r="G118" s="121">
        <v>4</v>
      </c>
      <c r="H118" s="41"/>
      <c r="I118" s="18">
        <f t="shared" si="1"/>
        <v>293</v>
      </c>
    </row>
    <row r="119" spans="1:9" x14ac:dyDescent="0.35">
      <c r="A119" s="118" t="s">
        <v>523</v>
      </c>
      <c r="B119" s="118" t="s">
        <v>524</v>
      </c>
      <c r="C119" s="118" t="s">
        <v>1293</v>
      </c>
      <c r="D119" s="121">
        <v>55</v>
      </c>
      <c r="E119" s="121">
        <v>3</v>
      </c>
      <c r="F119" s="121">
        <v>3</v>
      </c>
      <c r="G119" s="121">
        <v>1</v>
      </c>
      <c r="H119" s="41"/>
      <c r="I119" s="18">
        <f t="shared" si="1"/>
        <v>62</v>
      </c>
    </row>
    <row r="120" spans="1:9" x14ac:dyDescent="0.35">
      <c r="A120" s="118" t="s">
        <v>525</v>
      </c>
      <c r="B120" s="118" t="s">
        <v>526</v>
      </c>
      <c r="C120" s="118" t="s">
        <v>1293</v>
      </c>
      <c r="D120" s="121">
        <v>8</v>
      </c>
      <c r="E120" s="121"/>
      <c r="F120" s="121"/>
      <c r="G120" s="121"/>
      <c r="H120" s="41"/>
      <c r="I120" s="18">
        <f t="shared" si="1"/>
        <v>8</v>
      </c>
    </row>
    <row r="121" spans="1:9" x14ac:dyDescent="0.35">
      <c r="A121" s="118" t="s">
        <v>527</v>
      </c>
      <c r="B121" s="118" t="s">
        <v>528</v>
      </c>
      <c r="C121" s="118" t="s">
        <v>1293</v>
      </c>
      <c r="D121" s="121">
        <v>21</v>
      </c>
      <c r="E121" s="121">
        <v>11</v>
      </c>
      <c r="F121" s="121">
        <v>8</v>
      </c>
      <c r="G121" s="121"/>
      <c r="H121" s="41"/>
      <c r="I121" s="18">
        <f t="shared" si="1"/>
        <v>40</v>
      </c>
    </row>
    <row r="122" spans="1:9" x14ac:dyDescent="0.35">
      <c r="A122" s="118" t="s">
        <v>529</v>
      </c>
      <c r="B122" s="118" t="s">
        <v>530</v>
      </c>
      <c r="C122" s="118" t="s">
        <v>1293</v>
      </c>
      <c r="D122" s="121">
        <v>10</v>
      </c>
      <c r="E122" s="121">
        <v>1</v>
      </c>
      <c r="F122" s="121"/>
      <c r="G122" s="121"/>
      <c r="H122" s="41"/>
      <c r="I122" s="18">
        <f t="shared" si="1"/>
        <v>11</v>
      </c>
    </row>
    <row r="123" spans="1:9" x14ac:dyDescent="0.35">
      <c r="A123" s="118" t="s">
        <v>531</v>
      </c>
      <c r="B123" s="118" t="s">
        <v>532</v>
      </c>
      <c r="C123" s="118" t="s">
        <v>1293</v>
      </c>
      <c r="D123" s="121">
        <v>12</v>
      </c>
      <c r="E123" s="121">
        <v>3</v>
      </c>
      <c r="F123" s="121">
        <v>3</v>
      </c>
      <c r="G123" s="121"/>
      <c r="H123" s="41"/>
      <c r="I123" s="18">
        <f t="shared" si="1"/>
        <v>18</v>
      </c>
    </row>
    <row r="124" spans="1:9" x14ac:dyDescent="0.35">
      <c r="A124" s="118" t="s">
        <v>533</v>
      </c>
      <c r="B124" s="118" t="s">
        <v>534</v>
      </c>
      <c r="C124" s="118" t="s">
        <v>1293</v>
      </c>
      <c r="D124" s="121">
        <v>76</v>
      </c>
      <c r="E124" s="121">
        <v>9</v>
      </c>
      <c r="F124" s="121">
        <v>6</v>
      </c>
      <c r="G124" s="121">
        <v>1</v>
      </c>
      <c r="H124" s="41"/>
      <c r="I124" s="18">
        <f t="shared" si="1"/>
        <v>92</v>
      </c>
    </row>
    <row r="125" spans="1:9" x14ac:dyDescent="0.35">
      <c r="A125" s="118" t="s">
        <v>535</v>
      </c>
      <c r="B125" s="118" t="s">
        <v>536</v>
      </c>
      <c r="C125" s="118" t="s">
        <v>1293</v>
      </c>
      <c r="D125" s="121">
        <v>43</v>
      </c>
      <c r="E125" s="121">
        <v>5</v>
      </c>
      <c r="F125" s="121">
        <v>1</v>
      </c>
      <c r="G125" s="121"/>
      <c r="H125" s="41"/>
      <c r="I125" s="18">
        <f t="shared" si="1"/>
        <v>49</v>
      </c>
    </row>
    <row r="126" spans="1:9" x14ac:dyDescent="0.35">
      <c r="A126" s="118" t="s">
        <v>537</v>
      </c>
      <c r="B126" s="118" t="s">
        <v>538</v>
      </c>
      <c r="C126" s="118" t="s">
        <v>1293</v>
      </c>
      <c r="D126" s="121">
        <v>12</v>
      </c>
      <c r="E126" s="121">
        <v>5</v>
      </c>
      <c r="F126" s="121">
        <v>3</v>
      </c>
      <c r="G126" s="121">
        <v>1</v>
      </c>
      <c r="H126" s="41"/>
      <c r="I126" s="18">
        <f t="shared" si="1"/>
        <v>21</v>
      </c>
    </row>
    <row r="127" spans="1:9" x14ac:dyDescent="0.35">
      <c r="A127" s="118" t="s">
        <v>539</v>
      </c>
      <c r="B127" s="118" t="s">
        <v>540</v>
      </c>
      <c r="C127" s="118" t="s">
        <v>1293</v>
      </c>
      <c r="D127" s="121">
        <v>65</v>
      </c>
      <c r="E127" s="121">
        <v>6</v>
      </c>
      <c r="F127" s="121">
        <v>1</v>
      </c>
      <c r="G127" s="121">
        <v>1</v>
      </c>
      <c r="H127" s="41"/>
      <c r="I127" s="18">
        <f t="shared" si="1"/>
        <v>73</v>
      </c>
    </row>
    <row r="128" spans="1:9" x14ac:dyDescent="0.35">
      <c r="A128" s="118" t="s">
        <v>541</v>
      </c>
      <c r="B128" s="118" t="s">
        <v>542</v>
      </c>
      <c r="C128" s="118" t="s">
        <v>1293</v>
      </c>
      <c r="D128" s="121">
        <v>16</v>
      </c>
      <c r="E128" s="121"/>
      <c r="F128" s="121">
        <v>1</v>
      </c>
      <c r="G128" s="121">
        <v>1</v>
      </c>
      <c r="H128" s="41"/>
      <c r="I128" s="18">
        <f t="shared" si="1"/>
        <v>18</v>
      </c>
    </row>
    <row r="129" spans="1:9" x14ac:dyDescent="0.35">
      <c r="A129" s="118" t="s">
        <v>543</v>
      </c>
      <c r="B129" s="118" t="s">
        <v>544</v>
      </c>
      <c r="C129" s="118" t="s">
        <v>1293</v>
      </c>
      <c r="D129" s="121">
        <v>5</v>
      </c>
      <c r="E129" s="121">
        <v>2</v>
      </c>
      <c r="F129" s="121">
        <v>1</v>
      </c>
      <c r="G129" s="121"/>
      <c r="H129" s="41"/>
      <c r="I129" s="18">
        <f t="shared" si="1"/>
        <v>8</v>
      </c>
    </row>
    <row r="130" spans="1:9" x14ac:dyDescent="0.35">
      <c r="A130" s="118" t="s">
        <v>545</v>
      </c>
      <c r="B130" s="118" t="s">
        <v>546</v>
      </c>
      <c r="C130" s="118" t="s">
        <v>1293</v>
      </c>
      <c r="D130" s="121">
        <v>10</v>
      </c>
      <c r="E130" s="121">
        <v>3</v>
      </c>
      <c r="F130" s="121">
        <v>2</v>
      </c>
      <c r="G130" s="121"/>
      <c r="H130" s="41"/>
      <c r="I130" s="18">
        <f t="shared" si="1"/>
        <v>15</v>
      </c>
    </row>
    <row r="131" spans="1:9" x14ac:dyDescent="0.35">
      <c r="A131" s="118" t="s">
        <v>547</v>
      </c>
      <c r="B131" s="118" t="s">
        <v>1225</v>
      </c>
      <c r="C131" s="118" t="s">
        <v>1293</v>
      </c>
      <c r="D131" s="121">
        <v>16</v>
      </c>
      <c r="E131" s="121">
        <v>3</v>
      </c>
      <c r="F131" s="121">
        <v>1</v>
      </c>
      <c r="G131" s="121"/>
      <c r="H131" s="41"/>
      <c r="I131" s="18">
        <f t="shared" si="1"/>
        <v>20</v>
      </c>
    </row>
    <row r="132" spans="1:9" x14ac:dyDescent="0.35">
      <c r="A132" s="118" t="s">
        <v>548</v>
      </c>
      <c r="B132" s="118" t="s">
        <v>549</v>
      </c>
      <c r="C132" s="118" t="s">
        <v>1293</v>
      </c>
      <c r="D132" s="121">
        <v>565</v>
      </c>
      <c r="E132" s="121">
        <v>63</v>
      </c>
      <c r="F132" s="121">
        <v>7</v>
      </c>
      <c r="G132" s="121"/>
      <c r="H132" s="41"/>
      <c r="I132" s="18">
        <f t="shared" si="1"/>
        <v>635</v>
      </c>
    </row>
    <row r="133" spans="1:9" x14ac:dyDescent="0.35">
      <c r="A133" s="118" t="s">
        <v>550</v>
      </c>
      <c r="B133" s="118" t="s">
        <v>1226</v>
      </c>
      <c r="C133" s="118" t="s">
        <v>1293</v>
      </c>
      <c r="D133" s="121">
        <v>15</v>
      </c>
      <c r="E133" s="121">
        <v>2</v>
      </c>
      <c r="F133" s="121"/>
      <c r="G133" s="121"/>
      <c r="H133" s="41"/>
      <c r="I133" s="18">
        <f t="shared" ref="I133:I196" si="2">SUM(D133:H133)</f>
        <v>17</v>
      </c>
    </row>
    <row r="134" spans="1:9" x14ac:dyDescent="0.35">
      <c r="A134" s="118" t="s">
        <v>551</v>
      </c>
      <c r="B134" s="118" t="s">
        <v>552</v>
      </c>
      <c r="C134" s="118" t="s">
        <v>1293</v>
      </c>
      <c r="D134" s="121">
        <v>5</v>
      </c>
      <c r="E134" s="121"/>
      <c r="F134" s="121">
        <v>1</v>
      </c>
      <c r="G134" s="121"/>
      <c r="H134" s="41"/>
      <c r="I134" s="18">
        <f t="shared" si="2"/>
        <v>6</v>
      </c>
    </row>
    <row r="135" spans="1:9" x14ac:dyDescent="0.35">
      <c r="A135" s="118" t="s">
        <v>553</v>
      </c>
      <c r="B135" s="118" t="s">
        <v>1370</v>
      </c>
      <c r="C135" s="118" t="s">
        <v>1293</v>
      </c>
      <c r="D135" s="121">
        <v>40</v>
      </c>
      <c r="E135" s="121">
        <v>6</v>
      </c>
      <c r="F135" s="121">
        <v>1</v>
      </c>
      <c r="G135" s="121">
        <v>1</v>
      </c>
      <c r="H135" s="41"/>
      <c r="I135" s="18">
        <f t="shared" si="2"/>
        <v>48</v>
      </c>
    </row>
    <row r="136" spans="1:9" x14ac:dyDescent="0.35">
      <c r="A136" s="118" t="s">
        <v>554</v>
      </c>
      <c r="B136" s="118" t="s">
        <v>1371</v>
      </c>
      <c r="C136" s="118" t="s">
        <v>1293</v>
      </c>
      <c r="D136" s="121">
        <v>63</v>
      </c>
      <c r="E136" s="121">
        <v>16</v>
      </c>
      <c r="F136" s="121"/>
      <c r="G136" s="121"/>
      <c r="H136" s="41"/>
      <c r="I136" s="18">
        <f t="shared" si="2"/>
        <v>79</v>
      </c>
    </row>
    <row r="137" spans="1:9" x14ac:dyDescent="0.35">
      <c r="A137" s="118" t="s">
        <v>555</v>
      </c>
      <c r="B137" s="118" t="s">
        <v>556</v>
      </c>
      <c r="C137" s="118" t="s">
        <v>1293</v>
      </c>
      <c r="D137" s="121">
        <v>21</v>
      </c>
      <c r="E137" s="121">
        <v>3</v>
      </c>
      <c r="F137" s="121">
        <v>1</v>
      </c>
      <c r="G137" s="121"/>
      <c r="H137" s="41"/>
      <c r="I137" s="18">
        <f t="shared" si="2"/>
        <v>25</v>
      </c>
    </row>
    <row r="138" spans="1:9" x14ac:dyDescent="0.35">
      <c r="A138" s="118" t="s">
        <v>557</v>
      </c>
      <c r="B138" s="118" t="s">
        <v>558</v>
      </c>
      <c r="C138" s="118" t="s">
        <v>1293</v>
      </c>
      <c r="D138" s="121">
        <v>264</v>
      </c>
      <c r="E138" s="121">
        <v>67</v>
      </c>
      <c r="F138" s="121">
        <v>8</v>
      </c>
      <c r="G138" s="121"/>
      <c r="H138" s="41"/>
      <c r="I138" s="18">
        <f t="shared" si="2"/>
        <v>339</v>
      </c>
    </row>
    <row r="139" spans="1:9" x14ac:dyDescent="0.35">
      <c r="A139" s="118" t="s">
        <v>559</v>
      </c>
      <c r="B139" s="118" t="s">
        <v>560</v>
      </c>
      <c r="C139" s="118" t="s">
        <v>1293</v>
      </c>
      <c r="D139" s="121">
        <v>18</v>
      </c>
      <c r="E139" s="121">
        <v>5</v>
      </c>
      <c r="F139" s="121"/>
      <c r="G139" s="121"/>
      <c r="H139" s="41"/>
      <c r="I139" s="18">
        <f t="shared" si="2"/>
        <v>23</v>
      </c>
    </row>
    <row r="140" spans="1:9" x14ac:dyDescent="0.35">
      <c r="A140" s="118" t="s">
        <v>561</v>
      </c>
      <c r="B140" s="118" t="s">
        <v>562</v>
      </c>
      <c r="C140" s="118" t="s">
        <v>1293</v>
      </c>
      <c r="D140" s="121">
        <v>3</v>
      </c>
      <c r="E140" s="121"/>
      <c r="F140" s="121"/>
      <c r="G140" s="121"/>
      <c r="H140" s="41"/>
      <c r="I140" s="18">
        <f t="shared" si="2"/>
        <v>3</v>
      </c>
    </row>
    <row r="141" spans="1:9" x14ac:dyDescent="0.35">
      <c r="A141" s="118" t="s">
        <v>1324</v>
      </c>
      <c r="B141" s="118" t="s">
        <v>1325</v>
      </c>
      <c r="C141" s="118" t="s">
        <v>1293</v>
      </c>
      <c r="D141" s="121">
        <v>1</v>
      </c>
      <c r="E141" s="121"/>
      <c r="F141" s="121"/>
      <c r="G141" s="121"/>
      <c r="H141" s="41"/>
      <c r="I141" s="18">
        <f t="shared" si="2"/>
        <v>1</v>
      </c>
    </row>
    <row r="142" spans="1:9" x14ac:dyDescent="0.35">
      <c r="A142" s="118" t="s">
        <v>563</v>
      </c>
      <c r="B142" s="118" t="s">
        <v>564</v>
      </c>
      <c r="C142" s="118" t="s">
        <v>1293</v>
      </c>
      <c r="D142" s="121">
        <v>3</v>
      </c>
      <c r="E142" s="121"/>
      <c r="F142" s="121"/>
      <c r="G142" s="121"/>
      <c r="H142" s="41"/>
      <c r="I142" s="18">
        <f t="shared" si="2"/>
        <v>3</v>
      </c>
    </row>
    <row r="143" spans="1:9" x14ac:dyDescent="0.35">
      <c r="A143" s="118" t="s">
        <v>565</v>
      </c>
      <c r="B143" s="118" t="s">
        <v>566</v>
      </c>
      <c r="C143" s="118" t="s">
        <v>1293</v>
      </c>
      <c r="D143" s="121">
        <v>12</v>
      </c>
      <c r="E143" s="121">
        <v>3</v>
      </c>
      <c r="F143" s="121"/>
      <c r="G143" s="121"/>
      <c r="H143" s="41"/>
      <c r="I143" s="18">
        <f t="shared" si="2"/>
        <v>15</v>
      </c>
    </row>
    <row r="144" spans="1:9" x14ac:dyDescent="0.35">
      <c r="A144" s="118" t="s">
        <v>567</v>
      </c>
      <c r="B144" s="118" t="s">
        <v>568</v>
      </c>
      <c r="C144" s="118" t="s">
        <v>1293</v>
      </c>
      <c r="D144" s="121">
        <v>5</v>
      </c>
      <c r="E144" s="121"/>
      <c r="F144" s="121"/>
      <c r="G144" s="121"/>
      <c r="H144" s="41"/>
      <c r="I144" s="18">
        <f t="shared" si="2"/>
        <v>5</v>
      </c>
    </row>
    <row r="145" spans="1:9" x14ac:dyDescent="0.35">
      <c r="A145" s="118" t="s">
        <v>569</v>
      </c>
      <c r="B145" s="118" t="s">
        <v>570</v>
      </c>
      <c r="C145" s="118" t="s">
        <v>1293</v>
      </c>
      <c r="D145" s="121">
        <v>6</v>
      </c>
      <c r="E145" s="121">
        <v>3</v>
      </c>
      <c r="F145" s="121"/>
      <c r="G145" s="121"/>
      <c r="H145" s="41"/>
      <c r="I145" s="18">
        <f t="shared" si="2"/>
        <v>9</v>
      </c>
    </row>
    <row r="146" spans="1:9" x14ac:dyDescent="0.35">
      <c r="A146" s="118" t="s">
        <v>571</v>
      </c>
      <c r="B146" s="118" t="s">
        <v>572</v>
      </c>
      <c r="C146" s="118" t="s">
        <v>1293</v>
      </c>
      <c r="D146" s="121">
        <v>21</v>
      </c>
      <c r="E146" s="121"/>
      <c r="F146" s="121"/>
      <c r="G146" s="121"/>
      <c r="H146" s="41"/>
      <c r="I146" s="18">
        <f t="shared" si="2"/>
        <v>21</v>
      </c>
    </row>
    <row r="147" spans="1:9" x14ac:dyDescent="0.35">
      <c r="A147" s="118" t="s">
        <v>573</v>
      </c>
      <c r="B147" s="118" t="s">
        <v>574</v>
      </c>
      <c r="C147" s="118" t="s">
        <v>1293</v>
      </c>
      <c r="D147" s="121">
        <v>10</v>
      </c>
      <c r="E147" s="121"/>
      <c r="F147" s="121">
        <v>1</v>
      </c>
      <c r="G147" s="121">
        <v>1</v>
      </c>
      <c r="H147" s="41"/>
      <c r="I147" s="18">
        <f t="shared" si="2"/>
        <v>12</v>
      </c>
    </row>
    <row r="148" spans="1:9" x14ac:dyDescent="0.35">
      <c r="A148" s="118" t="s">
        <v>575</v>
      </c>
      <c r="B148" s="118" t="s">
        <v>576</v>
      </c>
      <c r="C148" s="118" t="s">
        <v>1293</v>
      </c>
      <c r="D148" s="121">
        <v>11</v>
      </c>
      <c r="E148" s="121">
        <v>3</v>
      </c>
      <c r="F148" s="121">
        <v>3</v>
      </c>
      <c r="G148" s="121"/>
      <c r="H148" s="41"/>
      <c r="I148" s="18">
        <f t="shared" si="2"/>
        <v>17</v>
      </c>
    </row>
    <row r="149" spans="1:9" x14ac:dyDescent="0.35">
      <c r="A149" s="118" t="s">
        <v>577</v>
      </c>
      <c r="B149" s="118" t="s">
        <v>578</v>
      </c>
      <c r="C149" s="118" t="s">
        <v>1293</v>
      </c>
      <c r="D149" s="121">
        <v>1</v>
      </c>
      <c r="E149" s="121"/>
      <c r="F149" s="121"/>
      <c r="G149" s="121"/>
      <c r="H149" s="41"/>
      <c r="I149" s="18">
        <f t="shared" si="2"/>
        <v>1</v>
      </c>
    </row>
    <row r="150" spans="1:9" x14ac:dyDescent="0.35">
      <c r="A150" s="118" t="s">
        <v>579</v>
      </c>
      <c r="B150" s="118" t="s">
        <v>580</v>
      </c>
      <c r="C150" s="118" t="s">
        <v>1293</v>
      </c>
      <c r="D150" s="121"/>
      <c r="E150" s="121">
        <v>1</v>
      </c>
      <c r="F150" s="121">
        <v>1</v>
      </c>
      <c r="G150" s="121"/>
      <c r="H150" s="41"/>
      <c r="I150" s="18">
        <f t="shared" si="2"/>
        <v>2</v>
      </c>
    </row>
    <row r="151" spans="1:9" x14ac:dyDescent="0.35">
      <c r="A151" s="118" t="s">
        <v>581</v>
      </c>
      <c r="B151" s="118" t="s">
        <v>582</v>
      </c>
      <c r="C151" s="118" t="s">
        <v>1293</v>
      </c>
      <c r="D151" s="121">
        <v>4</v>
      </c>
      <c r="E151" s="121"/>
      <c r="F151" s="121">
        <v>1</v>
      </c>
      <c r="G151" s="121"/>
      <c r="H151" s="41"/>
      <c r="I151" s="18">
        <f t="shared" si="2"/>
        <v>5</v>
      </c>
    </row>
    <row r="152" spans="1:9" x14ac:dyDescent="0.35">
      <c r="A152" s="118" t="s">
        <v>583</v>
      </c>
      <c r="B152" s="118" t="s">
        <v>584</v>
      </c>
      <c r="C152" s="118" t="s">
        <v>1293</v>
      </c>
      <c r="D152" s="121">
        <v>16</v>
      </c>
      <c r="E152" s="121">
        <v>7</v>
      </c>
      <c r="F152" s="121">
        <v>1</v>
      </c>
      <c r="G152" s="121"/>
      <c r="H152" s="41"/>
      <c r="I152" s="18">
        <f t="shared" si="2"/>
        <v>24</v>
      </c>
    </row>
    <row r="153" spans="1:9" x14ac:dyDescent="0.35">
      <c r="A153" s="118" t="s">
        <v>585</v>
      </c>
      <c r="B153" s="118" t="s">
        <v>586</v>
      </c>
      <c r="C153" s="118" t="s">
        <v>1293</v>
      </c>
      <c r="D153" s="121">
        <v>21</v>
      </c>
      <c r="E153" s="121">
        <v>4</v>
      </c>
      <c r="F153" s="121">
        <v>2</v>
      </c>
      <c r="G153" s="121">
        <v>3</v>
      </c>
      <c r="H153" s="41"/>
      <c r="I153" s="18">
        <f t="shared" si="2"/>
        <v>30</v>
      </c>
    </row>
    <row r="154" spans="1:9" x14ac:dyDescent="0.35">
      <c r="A154" s="118" t="s">
        <v>587</v>
      </c>
      <c r="B154" s="118" t="s">
        <v>588</v>
      </c>
      <c r="C154" s="118" t="s">
        <v>1293</v>
      </c>
      <c r="D154" s="121">
        <v>28</v>
      </c>
      <c r="E154" s="121">
        <v>8</v>
      </c>
      <c r="F154" s="121"/>
      <c r="G154" s="121"/>
      <c r="H154" s="41"/>
      <c r="I154" s="18">
        <f t="shared" si="2"/>
        <v>36</v>
      </c>
    </row>
    <row r="155" spans="1:9" x14ac:dyDescent="0.35">
      <c r="A155" s="118" t="s">
        <v>589</v>
      </c>
      <c r="B155" s="118" t="s">
        <v>590</v>
      </c>
      <c r="C155" s="118" t="s">
        <v>1293</v>
      </c>
      <c r="D155" s="121">
        <v>5</v>
      </c>
      <c r="E155" s="121"/>
      <c r="F155" s="121"/>
      <c r="G155" s="121"/>
      <c r="H155" s="41"/>
      <c r="I155" s="18">
        <f t="shared" si="2"/>
        <v>5</v>
      </c>
    </row>
    <row r="156" spans="1:9" x14ac:dyDescent="0.35">
      <c r="A156" s="118" t="s">
        <v>591</v>
      </c>
      <c r="B156" s="118" t="s">
        <v>592</v>
      </c>
      <c r="C156" s="118" t="s">
        <v>1293</v>
      </c>
      <c r="D156" s="121">
        <v>8</v>
      </c>
      <c r="E156" s="121">
        <v>3</v>
      </c>
      <c r="F156" s="121"/>
      <c r="G156" s="121"/>
      <c r="H156" s="41"/>
      <c r="I156" s="18">
        <f t="shared" si="2"/>
        <v>11</v>
      </c>
    </row>
    <row r="157" spans="1:9" x14ac:dyDescent="0.35">
      <c r="A157" s="118" t="s">
        <v>593</v>
      </c>
      <c r="B157" s="118" t="s">
        <v>594</v>
      </c>
      <c r="C157" s="118" t="s">
        <v>1293</v>
      </c>
      <c r="D157" s="121">
        <v>4</v>
      </c>
      <c r="E157" s="121"/>
      <c r="F157" s="121"/>
      <c r="G157" s="121"/>
      <c r="H157" s="41"/>
      <c r="I157" s="18">
        <f t="shared" si="2"/>
        <v>4</v>
      </c>
    </row>
    <row r="158" spans="1:9" x14ac:dyDescent="0.35">
      <c r="A158" s="118" t="s">
        <v>595</v>
      </c>
      <c r="B158" s="118" t="s">
        <v>596</v>
      </c>
      <c r="C158" s="118" t="s">
        <v>1293</v>
      </c>
      <c r="D158" s="121">
        <v>5</v>
      </c>
      <c r="E158" s="121"/>
      <c r="F158" s="121"/>
      <c r="G158" s="121"/>
      <c r="H158" s="41"/>
      <c r="I158" s="18">
        <f t="shared" si="2"/>
        <v>5</v>
      </c>
    </row>
    <row r="159" spans="1:9" x14ac:dyDescent="0.35">
      <c r="A159" s="118" t="s">
        <v>597</v>
      </c>
      <c r="B159" s="118" t="s">
        <v>598</v>
      </c>
      <c r="C159" s="118" t="s">
        <v>1293</v>
      </c>
      <c r="D159" s="121">
        <v>14</v>
      </c>
      <c r="E159" s="121">
        <v>2</v>
      </c>
      <c r="F159" s="121"/>
      <c r="G159" s="121"/>
      <c r="H159" s="41"/>
      <c r="I159" s="18">
        <f t="shared" si="2"/>
        <v>16</v>
      </c>
    </row>
    <row r="160" spans="1:9" x14ac:dyDescent="0.35">
      <c r="A160" s="118" t="s">
        <v>599</v>
      </c>
      <c r="B160" s="118" t="s">
        <v>600</v>
      </c>
      <c r="C160" s="118" t="s">
        <v>1293</v>
      </c>
      <c r="D160" s="121">
        <v>11</v>
      </c>
      <c r="E160" s="121">
        <v>3</v>
      </c>
      <c r="F160" s="121">
        <v>3</v>
      </c>
      <c r="G160" s="121"/>
      <c r="H160" s="41"/>
      <c r="I160" s="18">
        <f t="shared" si="2"/>
        <v>17</v>
      </c>
    </row>
    <row r="161" spans="1:9" x14ac:dyDescent="0.35">
      <c r="A161" s="118" t="s">
        <v>601</v>
      </c>
      <c r="B161" s="118" t="s">
        <v>602</v>
      </c>
      <c r="C161" s="118" t="s">
        <v>1293</v>
      </c>
      <c r="D161" s="121">
        <v>4</v>
      </c>
      <c r="E161" s="121"/>
      <c r="F161" s="121"/>
      <c r="G161" s="121"/>
      <c r="H161" s="41"/>
      <c r="I161" s="18">
        <f t="shared" si="2"/>
        <v>4</v>
      </c>
    </row>
    <row r="162" spans="1:9" x14ac:dyDescent="0.35">
      <c r="A162" s="118" t="s">
        <v>603</v>
      </c>
      <c r="B162" s="118" t="s">
        <v>604</v>
      </c>
      <c r="C162" s="118" t="s">
        <v>1293</v>
      </c>
      <c r="D162" s="121">
        <v>3</v>
      </c>
      <c r="E162" s="121"/>
      <c r="F162" s="121"/>
      <c r="G162" s="121"/>
      <c r="H162" s="41"/>
      <c r="I162" s="18">
        <f t="shared" si="2"/>
        <v>3</v>
      </c>
    </row>
    <row r="163" spans="1:9" x14ac:dyDescent="0.35">
      <c r="A163" s="118" t="s">
        <v>605</v>
      </c>
      <c r="B163" s="118" t="s">
        <v>606</v>
      </c>
      <c r="C163" s="118" t="s">
        <v>1293</v>
      </c>
      <c r="D163" s="121">
        <v>63</v>
      </c>
      <c r="E163" s="121">
        <v>13</v>
      </c>
      <c r="F163" s="121">
        <v>2</v>
      </c>
      <c r="G163" s="121"/>
      <c r="H163" s="41"/>
      <c r="I163" s="18">
        <f t="shared" si="2"/>
        <v>78</v>
      </c>
    </row>
    <row r="164" spans="1:9" x14ac:dyDescent="0.35">
      <c r="A164" s="118" t="s">
        <v>607</v>
      </c>
      <c r="B164" s="118" t="s">
        <v>608</v>
      </c>
      <c r="C164" s="118" t="s">
        <v>1293</v>
      </c>
      <c r="D164" s="121">
        <v>10</v>
      </c>
      <c r="E164" s="121">
        <v>1</v>
      </c>
      <c r="F164" s="121">
        <v>1</v>
      </c>
      <c r="G164" s="121"/>
      <c r="H164" s="41"/>
      <c r="I164" s="18">
        <f t="shared" si="2"/>
        <v>12</v>
      </c>
    </row>
    <row r="165" spans="1:9" x14ac:dyDescent="0.35">
      <c r="A165" s="118" t="s">
        <v>609</v>
      </c>
      <c r="B165" s="118" t="s">
        <v>610</v>
      </c>
      <c r="C165" s="118" t="s">
        <v>1293</v>
      </c>
      <c r="D165" s="121">
        <v>9</v>
      </c>
      <c r="E165" s="121">
        <v>1</v>
      </c>
      <c r="F165" s="121"/>
      <c r="G165" s="121"/>
      <c r="H165" s="41"/>
      <c r="I165" s="18">
        <f t="shared" si="2"/>
        <v>10</v>
      </c>
    </row>
    <row r="166" spans="1:9" x14ac:dyDescent="0.35">
      <c r="A166" s="118" t="s">
        <v>611</v>
      </c>
      <c r="B166" s="118" t="s">
        <v>612</v>
      </c>
      <c r="C166" s="118" t="s">
        <v>1293</v>
      </c>
      <c r="D166" s="121">
        <v>6</v>
      </c>
      <c r="E166" s="121"/>
      <c r="F166" s="121"/>
      <c r="G166" s="121"/>
      <c r="H166" s="41"/>
      <c r="I166" s="18">
        <f t="shared" si="2"/>
        <v>6</v>
      </c>
    </row>
    <row r="167" spans="1:9" x14ac:dyDescent="0.35">
      <c r="A167" s="118" t="s">
        <v>613</v>
      </c>
      <c r="B167" s="118" t="s">
        <v>614</v>
      </c>
      <c r="C167" s="118" t="s">
        <v>1293</v>
      </c>
      <c r="D167" s="121">
        <v>7</v>
      </c>
      <c r="E167" s="121">
        <v>6</v>
      </c>
      <c r="F167" s="121"/>
      <c r="G167" s="121"/>
      <c r="H167" s="41"/>
      <c r="I167" s="18">
        <f t="shared" si="2"/>
        <v>13</v>
      </c>
    </row>
    <row r="168" spans="1:9" x14ac:dyDescent="0.35">
      <c r="A168" s="118" t="s">
        <v>615</v>
      </c>
      <c r="B168" s="118" t="s">
        <v>616</v>
      </c>
      <c r="C168" s="118" t="s">
        <v>1293</v>
      </c>
      <c r="D168" s="121">
        <v>12</v>
      </c>
      <c r="E168" s="121">
        <v>1</v>
      </c>
      <c r="F168" s="121"/>
      <c r="G168" s="121"/>
      <c r="H168" s="41"/>
      <c r="I168" s="18">
        <f t="shared" si="2"/>
        <v>13</v>
      </c>
    </row>
    <row r="169" spans="1:9" x14ac:dyDescent="0.35">
      <c r="A169" s="118" t="s">
        <v>617</v>
      </c>
      <c r="B169" s="118" t="s">
        <v>618</v>
      </c>
      <c r="C169" s="118" t="s">
        <v>1293</v>
      </c>
      <c r="D169" s="121">
        <v>8</v>
      </c>
      <c r="E169" s="121">
        <v>2</v>
      </c>
      <c r="F169" s="121"/>
      <c r="G169" s="121"/>
      <c r="H169" s="41"/>
      <c r="I169" s="18">
        <f t="shared" si="2"/>
        <v>10</v>
      </c>
    </row>
    <row r="170" spans="1:9" x14ac:dyDescent="0.35">
      <c r="A170" s="118" t="s">
        <v>619</v>
      </c>
      <c r="B170" s="118" t="s">
        <v>620</v>
      </c>
      <c r="C170" s="118" t="s">
        <v>1293</v>
      </c>
      <c r="D170" s="121">
        <v>40</v>
      </c>
      <c r="E170" s="121">
        <v>6</v>
      </c>
      <c r="F170" s="121">
        <v>1</v>
      </c>
      <c r="G170" s="121"/>
      <c r="H170" s="41"/>
      <c r="I170" s="18">
        <f t="shared" si="2"/>
        <v>47</v>
      </c>
    </row>
    <row r="171" spans="1:9" x14ac:dyDescent="0.35">
      <c r="A171" s="118" t="s">
        <v>621</v>
      </c>
      <c r="B171" s="118" t="s">
        <v>622</v>
      </c>
      <c r="C171" s="118" t="s">
        <v>1293</v>
      </c>
      <c r="D171" s="121">
        <v>3</v>
      </c>
      <c r="E171" s="121">
        <v>1</v>
      </c>
      <c r="F171" s="121"/>
      <c r="G171" s="121"/>
      <c r="H171" s="41"/>
      <c r="I171" s="18">
        <f t="shared" si="2"/>
        <v>4</v>
      </c>
    </row>
    <row r="172" spans="1:9" x14ac:dyDescent="0.35">
      <c r="A172" s="118" t="s">
        <v>623</v>
      </c>
      <c r="B172" s="118" t="s">
        <v>1372</v>
      </c>
      <c r="C172" s="118" t="s">
        <v>1293</v>
      </c>
      <c r="D172" s="121">
        <v>20</v>
      </c>
      <c r="E172" s="121">
        <v>4</v>
      </c>
      <c r="F172" s="121">
        <v>1</v>
      </c>
      <c r="G172" s="121"/>
      <c r="H172" s="41"/>
      <c r="I172" s="18">
        <f t="shared" si="2"/>
        <v>25</v>
      </c>
    </row>
    <row r="173" spans="1:9" x14ac:dyDescent="0.35">
      <c r="A173" s="118" t="s">
        <v>624</v>
      </c>
      <c r="B173" s="118" t="s">
        <v>625</v>
      </c>
      <c r="C173" s="118" t="s">
        <v>1293</v>
      </c>
      <c r="D173" s="121">
        <v>64</v>
      </c>
      <c r="E173" s="121">
        <v>17</v>
      </c>
      <c r="F173" s="121">
        <v>3</v>
      </c>
      <c r="G173" s="121">
        <v>1</v>
      </c>
      <c r="H173" s="41"/>
      <c r="I173" s="18">
        <f t="shared" si="2"/>
        <v>85</v>
      </c>
    </row>
    <row r="174" spans="1:9" x14ac:dyDescent="0.35">
      <c r="A174" s="118" t="s">
        <v>626</v>
      </c>
      <c r="B174" s="118" t="s">
        <v>627</v>
      </c>
      <c r="C174" s="118" t="s">
        <v>1293</v>
      </c>
      <c r="D174" s="121">
        <v>2</v>
      </c>
      <c r="E174" s="121"/>
      <c r="F174" s="121"/>
      <c r="G174" s="121"/>
      <c r="H174" s="41"/>
      <c r="I174" s="18">
        <f t="shared" si="2"/>
        <v>2</v>
      </c>
    </row>
    <row r="175" spans="1:9" x14ac:dyDescent="0.35">
      <c r="A175" s="118" t="s">
        <v>628</v>
      </c>
      <c r="B175" s="118" t="s">
        <v>629</v>
      </c>
      <c r="C175" s="118" t="s">
        <v>1293</v>
      </c>
      <c r="D175" s="121">
        <v>1</v>
      </c>
      <c r="E175" s="121"/>
      <c r="F175" s="121">
        <v>1</v>
      </c>
      <c r="G175" s="121"/>
      <c r="H175" s="41"/>
      <c r="I175" s="18">
        <f t="shared" si="2"/>
        <v>2</v>
      </c>
    </row>
    <row r="176" spans="1:9" x14ac:dyDescent="0.35">
      <c r="A176" s="118" t="s">
        <v>630</v>
      </c>
      <c r="B176" s="118" t="s">
        <v>631</v>
      </c>
      <c r="C176" s="118" t="s">
        <v>1293</v>
      </c>
      <c r="D176" s="121">
        <v>4</v>
      </c>
      <c r="E176" s="121"/>
      <c r="F176" s="121"/>
      <c r="G176" s="121"/>
      <c r="H176" s="41"/>
      <c r="I176" s="18">
        <f t="shared" si="2"/>
        <v>4</v>
      </c>
    </row>
    <row r="177" spans="1:9" x14ac:dyDescent="0.35">
      <c r="A177" s="118" t="s">
        <v>632</v>
      </c>
      <c r="B177" s="118" t="s">
        <v>633</v>
      </c>
      <c r="C177" s="118" t="s">
        <v>1293</v>
      </c>
      <c r="D177" s="121">
        <v>5</v>
      </c>
      <c r="E177" s="121">
        <v>1</v>
      </c>
      <c r="F177" s="121"/>
      <c r="G177" s="121">
        <v>1</v>
      </c>
      <c r="H177" s="41"/>
      <c r="I177" s="18">
        <f t="shared" si="2"/>
        <v>7</v>
      </c>
    </row>
    <row r="178" spans="1:9" x14ac:dyDescent="0.35">
      <c r="A178" s="118" t="s">
        <v>634</v>
      </c>
      <c r="B178" s="118" t="s">
        <v>635</v>
      </c>
      <c r="C178" s="118" t="s">
        <v>1293</v>
      </c>
      <c r="D178" s="121">
        <v>15</v>
      </c>
      <c r="E178" s="121"/>
      <c r="F178" s="121"/>
      <c r="G178" s="121"/>
      <c r="H178" s="41"/>
      <c r="I178" s="18">
        <f t="shared" si="2"/>
        <v>15</v>
      </c>
    </row>
    <row r="179" spans="1:9" x14ac:dyDescent="0.35">
      <c r="A179" s="118" t="s">
        <v>636</v>
      </c>
      <c r="B179" s="118" t="s">
        <v>637</v>
      </c>
      <c r="C179" s="118" t="s">
        <v>1293</v>
      </c>
      <c r="D179" s="121">
        <v>2</v>
      </c>
      <c r="E179" s="121">
        <v>1</v>
      </c>
      <c r="F179" s="121"/>
      <c r="G179" s="121"/>
      <c r="H179" s="41"/>
      <c r="I179" s="18">
        <f t="shared" si="2"/>
        <v>3</v>
      </c>
    </row>
    <row r="180" spans="1:9" x14ac:dyDescent="0.35">
      <c r="A180" s="118" t="s">
        <v>638</v>
      </c>
      <c r="B180" s="118" t="s">
        <v>1227</v>
      </c>
      <c r="C180" s="118" t="s">
        <v>1293</v>
      </c>
      <c r="D180" s="121">
        <v>664</v>
      </c>
      <c r="E180" s="121">
        <v>42</v>
      </c>
      <c r="F180" s="121">
        <v>1</v>
      </c>
      <c r="G180" s="121"/>
      <c r="H180" s="41"/>
      <c r="I180" s="18">
        <f t="shared" si="2"/>
        <v>707</v>
      </c>
    </row>
    <row r="181" spans="1:9" x14ac:dyDescent="0.35">
      <c r="A181" s="118" t="s">
        <v>639</v>
      </c>
      <c r="B181" s="118" t="s">
        <v>640</v>
      </c>
      <c r="C181" s="118" t="s">
        <v>1293</v>
      </c>
      <c r="D181" s="121">
        <v>97</v>
      </c>
      <c r="E181" s="121">
        <v>9</v>
      </c>
      <c r="F181" s="121">
        <v>1</v>
      </c>
      <c r="G181" s="121"/>
      <c r="H181" s="41"/>
      <c r="I181" s="18">
        <f t="shared" si="2"/>
        <v>107</v>
      </c>
    </row>
    <row r="182" spans="1:9" x14ac:dyDescent="0.35">
      <c r="A182" s="118" t="s">
        <v>1373</v>
      </c>
      <c r="B182" s="118" t="s">
        <v>1374</v>
      </c>
      <c r="C182" s="118" t="s">
        <v>1293</v>
      </c>
      <c r="D182" s="121">
        <v>264</v>
      </c>
      <c r="E182" s="121">
        <v>7</v>
      </c>
      <c r="F182" s="121">
        <v>2</v>
      </c>
      <c r="G182" s="121"/>
      <c r="H182" s="41"/>
      <c r="I182" s="18">
        <f t="shared" si="2"/>
        <v>273</v>
      </c>
    </row>
    <row r="183" spans="1:9" x14ac:dyDescent="0.35">
      <c r="A183" s="118" t="s">
        <v>1375</v>
      </c>
      <c r="B183" s="118" t="s">
        <v>1376</v>
      </c>
      <c r="C183" s="118" t="s">
        <v>1293</v>
      </c>
      <c r="D183" s="121">
        <v>132</v>
      </c>
      <c r="E183" s="121">
        <v>2</v>
      </c>
      <c r="F183" s="121"/>
      <c r="G183" s="121"/>
      <c r="H183" s="41"/>
      <c r="I183" s="18">
        <f t="shared" si="2"/>
        <v>134</v>
      </c>
    </row>
    <row r="184" spans="1:9" x14ac:dyDescent="0.35">
      <c r="A184" s="118" t="s">
        <v>641</v>
      </c>
      <c r="B184" s="118" t="s">
        <v>642</v>
      </c>
      <c r="C184" s="118" t="s">
        <v>1293</v>
      </c>
      <c r="D184" s="121">
        <v>9</v>
      </c>
      <c r="E184" s="121"/>
      <c r="F184" s="121"/>
      <c r="G184" s="121"/>
      <c r="H184" s="41"/>
      <c r="I184" s="18">
        <f t="shared" si="2"/>
        <v>9</v>
      </c>
    </row>
    <row r="185" spans="1:9" x14ac:dyDescent="0.35">
      <c r="A185" s="118" t="s">
        <v>643</v>
      </c>
      <c r="B185" s="118" t="s">
        <v>644</v>
      </c>
      <c r="C185" s="118" t="s">
        <v>1293</v>
      </c>
      <c r="D185" s="121">
        <v>30</v>
      </c>
      <c r="E185" s="121">
        <v>2</v>
      </c>
      <c r="F185" s="121"/>
      <c r="G185" s="121"/>
      <c r="H185" s="41"/>
      <c r="I185" s="18">
        <f t="shared" si="2"/>
        <v>32</v>
      </c>
    </row>
    <row r="186" spans="1:9" x14ac:dyDescent="0.35">
      <c r="A186" s="118" t="s">
        <v>645</v>
      </c>
      <c r="B186" s="118" t="s">
        <v>646</v>
      </c>
      <c r="C186" s="118" t="s">
        <v>1293</v>
      </c>
      <c r="D186" s="121">
        <v>32</v>
      </c>
      <c r="E186" s="121">
        <v>2</v>
      </c>
      <c r="F186" s="121"/>
      <c r="G186" s="121"/>
      <c r="H186" s="41"/>
      <c r="I186" s="18">
        <f t="shared" si="2"/>
        <v>34</v>
      </c>
    </row>
    <row r="187" spans="1:9" x14ac:dyDescent="0.35">
      <c r="A187" s="118" t="s">
        <v>647</v>
      </c>
      <c r="B187" s="118" t="s">
        <v>648</v>
      </c>
      <c r="C187" s="118" t="s">
        <v>1293</v>
      </c>
      <c r="D187" s="121">
        <v>229</v>
      </c>
      <c r="E187" s="121">
        <v>14</v>
      </c>
      <c r="F187" s="121">
        <v>1</v>
      </c>
      <c r="G187" s="121"/>
      <c r="H187" s="41"/>
      <c r="I187" s="18">
        <f t="shared" si="2"/>
        <v>244</v>
      </c>
    </row>
    <row r="188" spans="1:9" x14ac:dyDescent="0.35">
      <c r="A188" s="118" t="s">
        <v>649</v>
      </c>
      <c r="B188" s="118" t="s">
        <v>650</v>
      </c>
      <c r="C188" s="118" t="s">
        <v>1293</v>
      </c>
      <c r="D188" s="121">
        <v>244</v>
      </c>
      <c r="E188" s="121">
        <v>47</v>
      </c>
      <c r="F188" s="121">
        <v>6</v>
      </c>
      <c r="G188" s="121">
        <v>3</v>
      </c>
      <c r="H188" s="41"/>
      <c r="I188" s="18">
        <f t="shared" si="2"/>
        <v>300</v>
      </c>
    </row>
    <row r="189" spans="1:9" x14ac:dyDescent="0.35">
      <c r="A189" s="118" t="s">
        <v>651</v>
      </c>
      <c r="B189" s="118" t="s">
        <v>652</v>
      </c>
      <c r="C189" s="118" t="s">
        <v>1294</v>
      </c>
      <c r="D189" s="121">
        <v>198</v>
      </c>
      <c r="E189" s="121">
        <v>7</v>
      </c>
      <c r="F189" s="121"/>
      <c r="G189" s="121"/>
      <c r="H189" s="41"/>
      <c r="I189" s="18">
        <f t="shared" si="2"/>
        <v>205</v>
      </c>
    </row>
    <row r="190" spans="1:9" x14ac:dyDescent="0.35">
      <c r="A190" s="118" t="s">
        <v>653</v>
      </c>
      <c r="B190" s="118" t="s">
        <v>654</v>
      </c>
      <c r="C190" s="118" t="s">
        <v>1294</v>
      </c>
      <c r="D190" s="121">
        <v>711</v>
      </c>
      <c r="E190" s="121">
        <v>43</v>
      </c>
      <c r="F190" s="121">
        <v>5</v>
      </c>
      <c r="G190" s="121">
        <v>2</v>
      </c>
      <c r="H190" s="41"/>
      <c r="I190" s="18">
        <f t="shared" si="2"/>
        <v>761</v>
      </c>
    </row>
    <row r="191" spans="1:9" x14ac:dyDescent="0.35">
      <c r="A191" s="118" t="s">
        <v>655</v>
      </c>
      <c r="B191" s="118" t="s">
        <v>656</v>
      </c>
      <c r="C191" s="118" t="s">
        <v>1294</v>
      </c>
      <c r="D191" s="121">
        <v>97</v>
      </c>
      <c r="E191" s="121">
        <v>3</v>
      </c>
      <c r="F191" s="121"/>
      <c r="G191" s="121"/>
      <c r="H191" s="41"/>
      <c r="I191" s="18">
        <f t="shared" si="2"/>
        <v>100</v>
      </c>
    </row>
    <row r="192" spans="1:9" x14ac:dyDescent="0.35">
      <c r="A192" s="118" t="s">
        <v>657</v>
      </c>
      <c r="B192" s="118" t="s">
        <v>658</v>
      </c>
      <c r="C192" s="118" t="s">
        <v>1294</v>
      </c>
      <c r="D192" s="121">
        <v>148</v>
      </c>
      <c r="E192" s="121">
        <v>6</v>
      </c>
      <c r="F192" s="121">
        <v>1</v>
      </c>
      <c r="G192" s="121"/>
      <c r="H192" s="41"/>
      <c r="I192" s="18">
        <f t="shared" si="2"/>
        <v>155</v>
      </c>
    </row>
    <row r="193" spans="1:9" x14ac:dyDescent="0.35">
      <c r="A193" s="118" t="s">
        <v>659</v>
      </c>
      <c r="B193" s="118" t="s">
        <v>660</v>
      </c>
      <c r="C193" s="118" t="s">
        <v>1294</v>
      </c>
      <c r="D193" s="121">
        <v>23</v>
      </c>
      <c r="E193" s="121">
        <v>1</v>
      </c>
      <c r="F193" s="121">
        <v>3</v>
      </c>
      <c r="G193" s="121">
        <v>2</v>
      </c>
      <c r="H193" s="41"/>
      <c r="I193" s="18">
        <f t="shared" si="2"/>
        <v>29</v>
      </c>
    </row>
    <row r="194" spans="1:9" x14ac:dyDescent="0.35">
      <c r="A194" s="118" t="s">
        <v>661</v>
      </c>
      <c r="B194" s="118" t="s">
        <v>662</v>
      </c>
      <c r="C194" s="118" t="s">
        <v>1294</v>
      </c>
      <c r="D194" s="121">
        <v>89</v>
      </c>
      <c r="E194" s="121">
        <v>1</v>
      </c>
      <c r="F194" s="121">
        <v>1</v>
      </c>
      <c r="G194" s="121">
        <v>1</v>
      </c>
      <c r="H194" s="41"/>
      <c r="I194" s="18">
        <f t="shared" si="2"/>
        <v>92</v>
      </c>
    </row>
    <row r="195" spans="1:9" x14ac:dyDescent="0.35">
      <c r="A195" s="118" t="s">
        <v>663</v>
      </c>
      <c r="B195" s="118" t="s">
        <v>1228</v>
      </c>
      <c r="C195" s="118" t="s">
        <v>1294</v>
      </c>
      <c r="D195" s="121">
        <v>61</v>
      </c>
      <c r="E195" s="121">
        <v>5</v>
      </c>
      <c r="F195" s="121">
        <v>1</v>
      </c>
      <c r="G195" s="121"/>
      <c r="H195" s="41"/>
      <c r="I195" s="18">
        <f t="shared" si="2"/>
        <v>67</v>
      </c>
    </row>
    <row r="196" spans="1:9" x14ac:dyDescent="0.35">
      <c r="A196" s="118" t="s">
        <v>664</v>
      </c>
      <c r="B196" s="118" t="s">
        <v>665</v>
      </c>
      <c r="C196" s="118" t="s">
        <v>1294</v>
      </c>
      <c r="D196" s="121">
        <v>197</v>
      </c>
      <c r="E196" s="121">
        <v>15</v>
      </c>
      <c r="F196" s="121">
        <v>4</v>
      </c>
      <c r="G196" s="121">
        <v>9</v>
      </c>
      <c r="H196" s="41"/>
      <c r="I196" s="18">
        <f t="shared" si="2"/>
        <v>225</v>
      </c>
    </row>
    <row r="197" spans="1:9" x14ac:dyDescent="0.35">
      <c r="A197" s="118" t="s">
        <v>666</v>
      </c>
      <c r="B197" s="118" t="s">
        <v>667</v>
      </c>
      <c r="C197" s="118" t="s">
        <v>1294</v>
      </c>
      <c r="D197" s="121">
        <v>5</v>
      </c>
      <c r="E197" s="121">
        <v>3</v>
      </c>
      <c r="F197" s="121">
        <v>2</v>
      </c>
      <c r="G197" s="121">
        <v>3</v>
      </c>
      <c r="H197" s="41"/>
      <c r="I197" s="18">
        <f t="shared" ref="I197:I260" si="3">SUM(D197:H197)</f>
        <v>13</v>
      </c>
    </row>
    <row r="198" spans="1:9" x14ac:dyDescent="0.35">
      <c r="A198" s="118" t="s">
        <v>668</v>
      </c>
      <c r="B198" s="118" t="s">
        <v>669</v>
      </c>
      <c r="C198" s="118" t="s">
        <v>1294</v>
      </c>
      <c r="D198" s="121">
        <v>2</v>
      </c>
      <c r="E198" s="121"/>
      <c r="F198" s="121"/>
      <c r="G198" s="121">
        <v>1</v>
      </c>
      <c r="H198" s="41"/>
      <c r="I198" s="18">
        <f t="shared" si="3"/>
        <v>3</v>
      </c>
    </row>
    <row r="199" spans="1:9" x14ac:dyDescent="0.35">
      <c r="A199" s="118" t="s">
        <v>670</v>
      </c>
      <c r="B199" s="118" t="s">
        <v>671</v>
      </c>
      <c r="C199" s="118" t="s">
        <v>1294</v>
      </c>
      <c r="D199" s="121">
        <v>21</v>
      </c>
      <c r="E199" s="121">
        <v>3</v>
      </c>
      <c r="F199" s="121">
        <v>3</v>
      </c>
      <c r="G199" s="121">
        <v>4</v>
      </c>
      <c r="H199" s="41"/>
      <c r="I199" s="18">
        <f t="shared" si="3"/>
        <v>31</v>
      </c>
    </row>
    <row r="200" spans="1:9" x14ac:dyDescent="0.35">
      <c r="A200" s="118" t="s">
        <v>672</v>
      </c>
      <c r="B200" s="118" t="s">
        <v>1377</v>
      </c>
      <c r="C200" s="118" t="s">
        <v>1294</v>
      </c>
      <c r="D200" s="121">
        <v>8</v>
      </c>
      <c r="E200" s="121">
        <v>2</v>
      </c>
      <c r="F200" s="121"/>
      <c r="G200" s="121"/>
      <c r="H200" s="41"/>
      <c r="I200" s="18">
        <f t="shared" si="3"/>
        <v>10</v>
      </c>
    </row>
    <row r="201" spans="1:9" x14ac:dyDescent="0.35">
      <c r="A201" s="118" t="s">
        <v>673</v>
      </c>
      <c r="B201" s="118" t="s">
        <v>674</v>
      </c>
      <c r="C201" s="118" t="s">
        <v>1294</v>
      </c>
      <c r="D201" s="121">
        <v>7</v>
      </c>
      <c r="E201" s="121"/>
      <c r="F201" s="121"/>
      <c r="G201" s="121"/>
      <c r="H201" s="41"/>
      <c r="I201" s="18">
        <f t="shared" si="3"/>
        <v>7</v>
      </c>
    </row>
    <row r="202" spans="1:9" x14ac:dyDescent="0.35">
      <c r="A202" s="118" t="s">
        <v>675</v>
      </c>
      <c r="B202" s="118" t="s">
        <v>154</v>
      </c>
      <c r="C202" s="118" t="s">
        <v>1294</v>
      </c>
      <c r="D202" s="121">
        <v>59</v>
      </c>
      <c r="E202" s="121">
        <v>9</v>
      </c>
      <c r="F202" s="121">
        <v>3</v>
      </c>
      <c r="G202" s="121"/>
      <c r="H202" s="41"/>
      <c r="I202" s="18">
        <f t="shared" si="3"/>
        <v>71</v>
      </c>
    </row>
    <row r="203" spans="1:9" x14ac:dyDescent="0.35">
      <c r="A203" s="118" t="s">
        <v>676</v>
      </c>
      <c r="B203" s="118" t="s">
        <v>156</v>
      </c>
      <c r="C203" s="118" t="s">
        <v>1294</v>
      </c>
      <c r="D203" s="121">
        <v>26</v>
      </c>
      <c r="E203" s="121">
        <v>6</v>
      </c>
      <c r="F203" s="121">
        <v>1</v>
      </c>
      <c r="G203" s="121">
        <v>1</v>
      </c>
      <c r="H203" s="41"/>
      <c r="I203" s="18">
        <f t="shared" si="3"/>
        <v>34</v>
      </c>
    </row>
    <row r="204" spans="1:9" x14ac:dyDescent="0.35">
      <c r="A204" s="118" t="s">
        <v>677</v>
      </c>
      <c r="B204" s="118" t="s">
        <v>678</v>
      </c>
      <c r="C204" s="118" t="s">
        <v>1294</v>
      </c>
      <c r="D204" s="121">
        <v>70</v>
      </c>
      <c r="E204" s="121">
        <v>10</v>
      </c>
      <c r="F204" s="121">
        <v>2</v>
      </c>
      <c r="G204" s="121">
        <v>1</v>
      </c>
      <c r="H204" s="41"/>
      <c r="I204" s="18">
        <f t="shared" si="3"/>
        <v>83</v>
      </c>
    </row>
    <row r="205" spans="1:9" x14ac:dyDescent="0.35">
      <c r="A205" s="118" t="s">
        <v>679</v>
      </c>
      <c r="B205" s="118" t="s">
        <v>680</v>
      </c>
      <c r="C205" s="118" t="s">
        <v>1294</v>
      </c>
      <c r="D205" s="121">
        <v>2</v>
      </c>
      <c r="E205" s="121">
        <v>1</v>
      </c>
      <c r="F205" s="121"/>
      <c r="G205" s="121"/>
      <c r="H205" s="41"/>
      <c r="I205" s="18">
        <f t="shared" si="3"/>
        <v>3</v>
      </c>
    </row>
    <row r="206" spans="1:9" x14ac:dyDescent="0.35">
      <c r="A206" s="118" t="s">
        <v>681</v>
      </c>
      <c r="B206" s="118" t="s">
        <v>682</v>
      </c>
      <c r="C206" s="118" t="s">
        <v>1294</v>
      </c>
      <c r="D206" s="121">
        <v>20</v>
      </c>
      <c r="E206" s="121">
        <v>1</v>
      </c>
      <c r="F206" s="121">
        <v>2</v>
      </c>
      <c r="G206" s="121"/>
      <c r="H206" s="41"/>
      <c r="I206" s="18">
        <f t="shared" si="3"/>
        <v>23</v>
      </c>
    </row>
    <row r="207" spans="1:9" x14ac:dyDescent="0.35">
      <c r="A207" s="118" t="s">
        <v>683</v>
      </c>
      <c r="B207" s="118" t="s">
        <v>684</v>
      </c>
      <c r="C207" s="118" t="s">
        <v>1294</v>
      </c>
      <c r="D207" s="121">
        <v>6</v>
      </c>
      <c r="E207" s="121">
        <v>1</v>
      </c>
      <c r="F207" s="121">
        <v>1</v>
      </c>
      <c r="G207" s="121"/>
      <c r="H207" s="41"/>
      <c r="I207" s="18">
        <f t="shared" si="3"/>
        <v>8</v>
      </c>
    </row>
    <row r="208" spans="1:9" x14ac:dyDescent="0.35">
      <c r="A208" s="118" t="s">
        <v>685</v>
      </c>
      <c r="B208" s="118" t="s">
        <v>686</v>
      </c>
      <c r="C208" s="118" t="s">
        <v>1294</v>
      </c>
      <c r="D208" s="121">
        <v>334</v>
      </c>
      <c r="E208" s="121">
        <v>3</v>
      </c>
      <c r="F208" s="121">
        <v>1</v>
      </c>
      <c r="G208" s="121"/>
      <c r="H208" s="41"/>
      <c r="I208" s="18">
        <f t="shared" si="3"/>
        <v>338</v>
      </c>
    </row>
    <row r="209" spans="1:9" x14ac:dyDescent="0.35">
      <c r="A209" s="118" t="s">
        <v>687</v>
      </c>
      <c r="B209" s="118" t="s">
        <v>160</v>
      </c>
      <c r="C209" s="118" t="s">
        <v>1294</v>
      </c>
      <c r="D209" s="121">
        <v>39</v>
      </c>
      <c r="E209" s="121">
        <v>2</v>
      </c>
      <c r="F209" s="121"/>
      <c r="G209" s="121"/>
      <c r="H209" s="41"/>
      <c r="I209" s="18">
        <f t="shared" si="3"/>
        <v>41</v>
      </c>
    </row>
    <row r="210" spans="1:9" x14ac:dyDescent="0.35">
      <c r="A210" s="118" t="s">
        <v>688</v>
      </c>
      <c r="B210" s="118" t="s">
        <v>689</v>
      </c>
      <c r="C210" s="118" t="s">
        <v>1294</v>
      </c>
      <c r="D210" s="121">
        <v>1905</v>
      </c>
      <c r="E210" s="121">
        <v>132</v>
      </c>
      <c r="F210" s="121">
        <v>63</v>
      </c>
      <c r="G210" s="121">
        <v>30</v>
      </c>
      <c r="H210" s="41"/>
      <c r="I210" s="18">
        <f t="shared" si="3"/>
        <v>2130</v>
      </c>
    </row>
    <row r="211" spans="1:9" x14ac:dyDescent="0.35">
      <c r="A211" s="118" t="s">
        <v>690</v>
      </c>
      <c r="B211" s="118" t="s">
        <v>691</v>
      </c>
      <c r="C211" s="118" t="s">
        <v>1294</v>
      </c>
      <c r="D211" s="121">
        <v>252</v>
      </c>
      <c r="E211" s="121">
        <v>36</v>
      </c>
      <c r="F211" s="121">
        <v>16</v>
      </c>
      <c r="G211" s="121">
        <v>4</v>
      </c>
      <c r="H211" s="41"/>
      <c r="I211" s="18">
        <f t="shared" si="3"/>
        <v>308</v>
      </c>
    </row>
    <row r="212" spans="1:9" x14ac:dyDescent="0.35">
      <c r="A212" s="118" t="s">
        <v>692</v>
      </c>
      <c r="B212" s="118" t="s">
        <v>693</v>
      </c>
      <c r="C212" s="118" t="s">
        <v>1294</v>
      </c>
      <c r="D212" s="121">
        <v>85</v>
      </c>
      <c r="E212" s="121">
        <v>19</v>
      </c>
      <c r="F212" s="121">
        <v>12</v>
      </c>
      <c r="G212" s="121">
        <v>19</v>
      </c>
      <c r="H212" s="41"/>
      <c r="I212" s="18">
        <f t="shared" si="3"/>
        <v>135</v>
      </c>
    </row>
    <row r="213" spans="1:9" x14ac:dyDescent="0.35">
      <c r="A213" s="118" t="s">
        <v>694</v>
      </c>
      <c r="B213" s="118" t="s">
        <v>695</v>
      </c>
      <c r="C213" s="118" t="s">
        <v>1294</v>
      </c>
      <c r="D213" s="121">
        <v>78</v>
      </c>
      <c r="E213" s="121">
        <v>13</v>
      </c>
      <c r="F213" s="121">
        <v>9</v>
      </c>
      <c r="G213" s="121">
        <v>4</v>
      </c>
      <c r="H213" s="41"/>
      <c r="I213" s="18">
        <f t="shared" si="3"/>
        <v>104</v>
      </c>
    </row>
    <row r="214" spans="1:9" x14ac:dyDescent="0.35">
      <c r="A214" s="118" t="s">
        <v>696</v>
      </c>
      <c r="B214" s="118" t="s">
        <v>697</v>
      </c>
      <c r="C214" s="118" t="s">
        <v>1294</v>
      </c>
      <c r="D214" s="121">
        <v>1323</v>
      </c>
      <c r="E214" s="121">
        <v>227</v>
      </c>
      <c r="F214" s="121">
        <v>99</v>
      </c>
      <c r="G214" s="121">
        <v>25</v>
      </c>
      <c r="H214" s="41"/>
      <c r="I214" s="18">
        <f t="shared" si="3"/>
        <v>1674</v>
      </c>
    </row>
    <row r="215" spans="1:9" x14ac:dyDescent="0.35">
      <c r="A215" s="118" t="s">
        <v>698</v>
      </c>
      <c r="B215" s="118" t="s">
        <v>699</v>
      </c>
      <c r="C215" s="118" t="s">
        <v>1294</v>
      </c>
      <c r="D215" s="121">
        <v>23</v>
      </c>
      <c r="E215" s="121">
        <v>1</v>
      </c>
      <c r="F215" s="121"/>
      <c r="G215" s="121">
        <v>1</v>
      </c>
      <c r="H215" s="41"/>
      <c r="I215" s="18">
        <f t="shared" si="3"/>
        <v>25</v>
      </c>
    </row>
    <row r="216" spans="1:9" x14ac:dyDescent="0.35">
      <c r="A216" s="118" t="s">
        <v>700</v>
      </c>
      <c r="B216" s="118" t="s">
        <v>701</v>
      </c>
      <c r="C216" s="118" t="s">
        <v>1294</v>
      </c>
      <c r="D216" s="121">
        <v>125</v>
      </c>
      <c r="E216" s="121">
        <v>21</v>
      </c>
      <c r="F216" s="121">
        <v>6</v>
      </c>
      <c r="G216" s="121"/>
      <c r="H216" s="41"/>
      <c r="I216" s="18">
        <f t="shared" si="3"/>
        <v>152</v>
      </c>
    </row>
    <row r="217" spans="1:9" x14ac:dyDescent="0.35">
      <c r="A217" s="118" t="s">
        <v>702</v>
      </c>
      <c r="B217" s="118" t="s">
        <v>703</v>
      </c>
      <c r="C217" s="118" t="s">
        <v>1294</v>
      </c>
      <c r="D217" s="121">
        <v>747</v>
      </c>
      <c r="E217" s="121">
        <v>61</v>
      </c>
      <c r="F217" s="121">
        <v>17</v>
      </c>
      <c r="G217" s="121">
        <v>6</v>
      </c>
      <c r="H217" s="41"/>
      <c r="I217" s="18">
        <f t="shared" si="3"/>
        <v>831</v>
      </c>
    </row>
    <row r="218" spans="1:9" x14ac:dyDescent="0.35">
      <c r="A218" s="118" t="s">
        <v>704</v>
      </c>
      <c r="B218" s="118" t="s">
        <v>705</v>
      </c>
      <c r="C218" s="118" t="s">
        <v>1294</v>
      </c>
      <c r="D218" s="121">
        <v>377</v>
      </c>
      <c r="E218" s="121">
        <v>24</v>
      </c>
      <c r="F218" s="121">
        <v>7</v>
      </c>
      <c r="G218" s="121">
        <v>1</v>
      </c>
      <c r="H218" s="41"/>
      <c r="I218" s="18">
        <f t="shared" si="3"/>
        <v>409</v>
      </c>
    </row>
    <row r="219" spans="1:9" x14ac:dyDescent="0.35">
      <c r="A219" s="118" t="s">
        <v>706</v>
      </c>
      <c r="B219" s="118" t="s">
        <v>707</v>
      </c>
      <c r="C219" s="118" t="s">
        <v>1294</v>
      </c>
      <c r="D219" s="121">
        <v>155</v>
      </c>
      <c r="E219" s="121">
        <v>13</v>
      </c>
      <c r="F219" s="121">
        <v>2</v>
      </c>
      <c r="G219" s="121"/>
      <c r="H219" s="41"/>
      <c r="I219" s="18">
        <f t="shared" si="3"/>
        <v>170</v>
      </c>
    </row>
    <row r="220" spans="1:9" x14ac:dyDescent="0.35">
      <c r="A220" s="118" t="s">
        <v>708</v>
      </c>
      <c r="B220" s="118" t="s">
        <v>709</v>
      </c>
      <c r="C220" s="118" t="s">
        <v>1294</v>
      </c>
      <c r="D220" s="121">
        <v>1338</v>
      </c>
      <c r="E220" s="121">
        <v>93</v>
      </c>
      <c r="F220" s="121">
        <v>9</v>
      </c>
      <c r="G220" s="121"/>
      <c r="H220" s="41"/>
      <c r="I220" s="18">
        <f t="shared" si="3"/>
        <v>1440</v>
      </c>
    </row>
    <row r="221" spans="1:9" x14ac:dyDescent="0.35">
      <c r="A221" s="118" t="s">
        <v>710</v>
      </c>
      <c r="B221" s="118" t="s">
        <v>711</v>
      </c>
      <c r="C221" s="118" t="s">
        <v>1294</v>
      </c>
      <c r="D221" s="121">
        <v>584</v>
      </c>
      <c r="E221" s="121">
        <v>61</v>
      </c>
      <c r="F221" s="121">
        <v>17</v>
      </c>
      <c r="G221" s="121">
        <v>2</v>
      </c>
      <c r="H221" s="41"/>
      <c r="I221" s="18">
        <f t="shared" si="3"/>
        <v>664</v>
      </c>
    </row>
    <row r="222" spans="1:9" x14ac:dyDescent="0.35">
      <c r="A222" s="118" t="s">
        <v>712</v>
      </c>
      <c r="B222" s="118" t="s">
        <v>713</v>
      </c>
      <c r="C222" s="118" t="s">
        <v>1295</v>
      </c>
      <c r="D222" s="121">
        <v>77</v>
      </c>
      <c r="E222" s="121">
        <v>7</v>
      </c>
      <c r="F222" s="121">
        <v>4</v>
      </c>
      <c r="G222" s="121">
        <v>14</v>
      </c>
      <c r="H222" s="41"/>
      <c r="I222" s="18">
        <f t="shared" si="3"/>
        <v>102</v>
      </c>
    </row>
    <row r="223" spans="1:9" x14ac:dyDescent="0.35">
      <c r="A223" s="118" t="s">
        <v>714</v>
      </c>
      <c r="B223" s="118" t="s">
        <v>715</v>
      </c>
      <c r="C223" s="118" t="s">
        <v>1295</v>
      </c>
      <c r="D223" s="121">
        <v>481</v>
      </c>
      <c r="E223" s="121">
        <v>9</v>
      </c>
      <c r="F223" s="121">
        <v>1</v>
      </c>
      <c r="G223" s="121"/>
      <c r="H223" s="41"/>
      <c r="I223" s="18">
        <f t="shared" si="3"/>
        <v>491</v>
      </c>
    </row>
    <row r="224" spans="1:9" x14ac:dyDescent="0.35">
      <c r="A224" s="118" t="s">
        <v>716</v>
      </c>
      <c r="B224" s="118" t="s">
        <v>717</v>
      </c>
      <c r="C224" s="118" t="s">
        <v>1294</v>
      </c>
      <c r="D224" s="121">
        <v>1944</v>
      </c>
      <c r="E224" s="121">
        <v>37</v>
      </c>
      <c r="F224" s="121">
        <v>13</v>
      </c>
      <c r="G224" s="121">
        <v>1</v>
      </c>
      <c r="H224" s="41"/>
      <c r="I224" s="18">
        <f t="shared" si="3"/>
        <v>1995</v>
      </c>
    </row>
    <row r="225" spans="1:9" x14ac:dyDescent="0.35">
      <c r="A225" s="118" t="s">
        <v>718</v>
      </c>
      <c r="B225" s="118" t="s">
        <v>719</v>
      </c>
      <c r="C225" s="118" t="s">
        <v>1295</v>
      </c>
      <c r="D225" s="121">
        <v>1496</v>
      </c>
      <c r="E225" s="121">
        <v>179</v>
      </c>
      <c r="F225" s="121">
        <v>21</v>
      </c>
      <c r="G225" s="121">
        <v>3</v>
      </c>
      <c r="H225" s="41"/>
      <c r="I225" s="18">
        <f t="shared" si="3"/>
        <v>1699</v>
      </c>
    </row>
    <row r="226" spans="1:9" x14ac:dyDescent="0.35">
      <c r="A226" s="118" t="s">
        <v>720</v>
      </c>
      <c r="B226" s="118" t="s">
        <v>721</v>
      </c>
      <c r="C226" s="118" t="s">
        <v>1295</v>
      </c>
      <c r="D226" s="121">
        <v>732</v>
      </c>
      <c r="E226" s="121">
        <v>75</v>
      </c>
      <c r="F226" s="121">
        <v>9</v>
      </c>
      <c r="G226" s="121">
        <v>2</v>
      </c>
      <c r="H226" s="41"/>
      <c r="I226" s="18">
        <f t="shared" si="3"/>
        <v>818</v>
      </c>
    </row>
    <row r="227" spans="1:9" x14ac:dyDescent="0.35">
      <c r="A227" s="118" t="s">
        <v>722</v>
      </c>
      <c r="B227" s="118" t="s">
        <v>723</v>
      </c>
      <c r="C227" s="118" t="s">
        <v>1294</v>
      </c>
      <c r="D227" s="121">
        <v>764</v>
      </c>
      <c r="E227" s="121">
        <v>6</v>
      </c>
      <c r="F227" s="121">
        <v>2</v>
      </c>
      <c r="G227" s="121"/>
      <c r="H227" s="41"/>
      <c r="I227" s="18">
        <f t="shared" si="3"/>
        <v>772</v>
      </c>
    </row>
    <row r="228" spans="1:9" x14ac:dyDescent="0.35">
      <c r="A228" s="118" t="s">
        <v>724</v>
      </c>
      <c r="B228" s="118" t="s">
        <v>725</v>
      </c>
      <c r="C228" s="118" t="s">
        <v>1295</v>
      </c>
      <c r="D228" s="121">
        <v>272</v>
      </c>
      <c r="E228" s="121">
        <v>13</v>
      </c>
      <c r="F228" s="121">
        <v>4</v>
      </c>
      <c r="G228" s="121">
        <v>1</v>
      </c>
      <c r="H228" s="41"/>
      <c r="I228" s="18">
        <f t="shared" si="3"/>
        <v>290</v>
      </c>
    </row>
    <row r="229" spans="1:9" x14ac:dyDescent="0.35">
      <c r="A229" s="118" t="s">
        <v>726</v>
      </c>
      <c r="B229" s="118" t="s">
        <v>1378</v>
      </c>
      <c r="C229" s="118" t="s">
        <v>1295</v>
      </c>
      <c r="D229" s="121">
        <v>436</v>
      </c>
      <c r="E229" s="121">
        <v>59</v>
      </c>
      <c r="F229" s="121">
        <v>15</v>
      </c>
      <c r="G229" s="121">
        <v>8</v>
      </c>
      <c r="H229" s="41"/>
      <c r="I229" s="18">
        <f t="shared" si="3"/>
        <v>518</v>
      </c>
    </row>
    <row r="230" spans="1:9" x14ac:dyDescent="0.35">
      <c r="A230" s="118" t="s">
        <v>727</v>
      </c>
      <c r="B230" s="118" t="s">
        <v>728</v>
      </c>
      <c r="C230" s="118" t="s">
        <v>1295</v>
      </c>
      <c r="D230" s="121">
        <v>664</v>
      </c>
      <c r="E230" s="121">
        <v>103</v>
      </c>
      <c r="F230" s="121">
        <v>18</v>
      </c>
      <c r="G230" s="121">
        <v>4</v>
      </c>
      <c r="H230" s="41"/>
      <c r="I230" s="18">
        <f t="shared" si="3"/>
        <v>789</v>
      </c>
    </row>
    <row r="231" spans="1:9" x14ac:dyDescent="0.35">
      <c r="A231" s="118" t="s">
        <v>729</v>
      </c>
      <c r="B231" s="118" t="s">
        <v>730</v>
      </c>
      <c r="C231" s="118" t="s">
        <v>1295</v>
      </c>
      <c r="D231" s="121">
        <v>166</v>
      </c>
      <c r="E231" s="121">
        <v>13</v>
      </c>
      <c r="F231" s="121">
        <v>4</v>
      </c>
      <c r="G231" s="121">
        <v>5</v>
      </c>
      <c r="H231" s="41"/>
      <c r="I231" s="18">
        <f t="shared" si="3"/>
        <v>188</v>
      </c>
    </row>
    <row r="232" spans="1:9" x14ac:dyDescent="0.35">
      <c r="A232" s="118" t="s">
        <v>731</v>
      </c>
      <c r="B232" s="118" t="s">
        <v>732</v>
      </c>
      <c r="C232" s="118" t="s">
        <v>1295</v>
      </c>
      <c r="D232" s="121">
        <v>244</v>
      </c>
      <c r="E232" s="121">
        <v>53</v>
      </c>
      <c r="F232" s="121">
        <v>7</v>
      </c>
      <c r="G232" s="121">
        <v>2</v>
      </c>
      <c r="H232" s="41"/>
      <c r="I232" s="18">
        <f t="shared" si="3"/>
        <v>306</v>
      </c>
    </row>
    <row r="233" spans="1:9" x14ac:dyDescent="0.35">
      <c r="A233" s="118" t="s">
        <v>733</v>
      </c>
      <c r="B233" s="118" t="s">
        <v>734</v>
      </c>
      <c r="C233" s="118" t="s">
        <v>1295</v>
      </c>
      <c r="D233" s="121">
        <v>429</v>
      </c>
      <c r="E233" s="121">
        <v>18</v>
      </c>
      <c r="F233" s="121">
        <v>2</v>
      </c>
      <c r="G233" s="121"/>
      <c r="H233" s="41"/>
      <c r="I233" s="18">
        <f t="shared" si="3"/>
        <v>449</v>
      </c>
    </row>
    <row r="234" spans="1:9" x14ac:dyDescent="0.35">
      <c r="A234" s="118" t="s">
        <v>735</v>
      </c>
      <c r="B234" s="118" t="s">
        <v>736</v>
      </c>
      <c r="C234" s="118" t="s">
        <v>1295</v>
      </c>
      <c r="D234" s="121">
        <v>84</v>
      </c>
      <c r="E234" s="121">
        <v>8</v>
      </c>
      <c r="F234" s="121">
        <v>5</v>
      </c>
      <c r="G234" s="121"/>
      <c r="H234" s="41"/>
      <c r="I234" s="18">
        <f t="shared" si="3"/>
        <v>97</v>
      </c>
    </row>
    <row r="235" spans="1:9" x14ac:dyDescent="0.35">
      <c r="A235" s="118" t="s">
        <v>737</v>
      </c>
      <c r="B235" s="118" t="s">
        <v>738</v>
      </c>
      <c r="C235" s="118" t="s">
        <v>1295</v>
      </c>
      <c r="D235" s="121">
        <v>90</v>
      </c>
      <c r="E235" s="121">
        <v>10</v>
      </c>
      <c r="F235" s="121"/>
      <c r="G235" s="121">
        <v>2</v>
      </c>
      <c r="H235" s="41"/>
      <c r="I235" s="18">
        <f t="shared" si="3"/>
        <v>102</v>
      </c>
    </row>
    <row r="236" spans="1:9" x14ac:dyDescent="0.35">
      <c r="A236" s="118" t="s">
        <v>739</v>
      </c>
      <c r="B236" s="118" t="s">
        <v>740</v>
      </c>
      <c r="C236" s="118" t="s">
        <v>1295</v>
      </c>
      <c r="D236" s="121">
        <v>623</v>
      </c>
      <c r="E236" s="121">
        <v>98</v>
      </c>
      <c r="F236" s="121">
        <v>27</v>
      </c>
      <c r="G236" s="121">
        <v>3</v>
      </c>
      <c r="H236" s="41"/>
      <c r="I236" s="18">
        <f t="shared" si="3"/>
        <v>751</v>
      </c>
    </row>
    <row r="237" spans="1:9" x14ac:dyDescent="0.35">
      <c r="A237" s="118" t="s">
        <v>741</v>
      </c>
      <c r="B237" s="118" t="s">
        <v>742</v>
      </c>
      <c r="C237" s="118" t="s">
        <v>1295</v>
      </c>
      <c r="D237" s="121">
        <v>213</v>
      </c>
      <c r="E237" s="121">
        <v>28</v>
      </c>
      <c r="F237" s="121">
        <v>4</v>
      </c>
      <c r="G237" s="121"/>
      <c r="H237" s="41"/>
      <c r="I237" s="18">
        <f t="shared" si="3"/>
        <v>245</v>
      </c>
    </row>
    <row r="238" spans="1:9" x14ac:dyDescent="0.35">
      <c r="A238" s="118" t="s">
        <v>743</v>
      </c>
      <c r="B238" s="118" t="s">
        <v>744</v>
      </c>
      <c r="C238" s="118" t="s">
        <v>1295</v>
      </c>
      <c r="D238" s="121">
        <v>92</v>
      </c>
      <c r="E238" s="121">
        <v>14</v>
      </c>
      <c r="F238" s="121">
        <v>5</v>
      </c>
      <c r="G238" s="121"/>
      <c r="H238" s="41"/>
      <c r="I238" s="18">
        <f t="shared" si="3"/>
        <v>111</v>
      </c>
    </row>
    <row r="239" spans="1:9" x14ac:dyDescent="0.35">
      <c r="A239" s="118" t="s">
        <v>745</v>
      </c>
      <c r="B239" s="118" t="s">
        <v>746</v>
      </c>
      <c r="C239" s="118" t="s">
        <v>1295</v>
      </c>
      <c r="D239" s="121">
        <v>212</v>
      </c>
      <c r="E239" s="121">
        <v>42</v>
      </c>
      <c r="F239" s="121">
        <v>6</v>
      </c>
      <c r="G239" s="121"/>
      <c r="H239" s="41"/>
      <c r="I239" s="18">
        <f t="shared" si="3"/>
        <v>260</v>
      </c>
    </row>
    <row r="240" spans="1:9" x14ac:dyDescent="0.35">
      <c r="A240" s="118" t="s">
        <v>747</v>
      </c>
      <c r="B240" s="118" t="s">
        <v>748</v>
      </c>
      <c r="C240" s="118" t="s">
        <v>1295</v>
      </c>
      <c r="D240" s="121">
        <v>78</v>
      </c>
      <c r="E240" s="121">
        <v>10</v>
      </c>
      <c r="F240" s="121">
        <v>1</v>
      </c>
      <c r="G240" s="121"/>
      <c r="H240" s="41"/>
      <c r="I240" s="18">
        <f t="shared" si="3"/>
        <v>89</v>
      </c>
    </row>
    <row r="241" spans="1:9" x14ac:dyDescent="0.35">
      <c r="A241" s="118" t="s">
        <v>749</v>
      </c>
      <c r="B241" s="118" t="s">
        <v>750</v>
      </c>
      <c r="C241" s="118" t="s">
        <v>1295</v>
      </c>
      <c r="D241" s="121">
        <v>398</v>
      </c>
      <c r="E241" s="121">
        <v>109</v>
      </c>
      <c r="F241" s="121">
        <v>7</v>
      </c>
      <c r="G241" s="121">
        <v>4</v>
      </c>
      <c r="H241" s="41"/>
      <c r="I241" s="18">
        <f t="shared" si="3"/>
        <v>518</v>
      </c>
    </row>
    <row r="242" spans="1:9" x14ac:dyDescent="0.35">
      <c r="A242" s="118" t="s">
        <v>751</v>
      </c>
      <c r="B242" s="118" t="s">
        <v>752</v>
      </c>
      <c r="C242" s="118" t="s">
        <v>1295</v>
      </c>
      <c r="D242" s="121">
        <v>141</v>
      </c>
      <c r="E242" s="121">
        <v>23</v>
      </c>
      <c r="F242" s="121">
        <v>5</v>
      </c>
      <c r="G242" s="121">
        <v>3</v>
      </c>
      <c r="H242" s="41"/>
      <c r="I242" s="18">
        <f t="shared" si="3"/>
        <v>172</v>
      </c>
    </row>
    <row r="243" spans="1:9" x14ac:dyDescent="0.35">
      <c r="A243" s="118" t="s">
        <v>753</v>
      </c>
      <c r="B243" s="118" t="s">
        <v>754</v>
      </c>
      <c r="C243" s="118" t="s">
        <v>1295</v>
      </c>
      <c r="D243" s="121">
        <v>288</v>
      </c>
      <c r="E243" s="121">
        <v>32</v>
      </c>
      <c r="F243" s="121">
        <v>37</v>
      </c>
      <c r="G243" s="121">
        <v>15</v>
      </c>
      <c r="H243" s="41"/>
      <c r="I243" s="18">
        <f t="shared" si="3"/>
        <v>372</v>
      </c>
    </row>
    <row r="244" spans="1:9" x14ac:dyDescent="0.35">
      <c r="A244" s="118" t="s">
        <v>755</v>
      </c>
      <c r="B244" s="118" t="s">
        <v>756</v>
      </c>
      <c r="C244" s="118" t="s">
        <v>1295</v>
      </c>
      <c r="D244" s="121">
        <v>637</v>
      </c>
      <c r="E244" s="121">
        <v>143</v>
      </c>
      <c r="F244" s="121">
        <v>27</v>
      </c>
      <c r="G244" s="121">
        <v>5</v>
      </c>
      <c r="H244" s="41"/>
      <c r="I244" s="18">
        <f t="shared" si="3"/>
        <v>812</v>
      </c>
    </row>
    <row r="245" spans="1:9" x14ac:dyDescent="0.35">
      <c r="A245" s="118" t="s">
        <v>757</v>
      </c>
      <c r="B245" s="118" t="s">
        <v>758</v>
      </c>
      <c r="C245" s="118" t="s">
        <v>1295</v>
      </c>
      <c r="D245" s="121">
        <v>167</v>
      </c>
      <c r="E245" s="121">
        <v>33</v>
      </c>
      <c r="F245" s="121">
        <v>12</v>
      </c>
      <c r="G245" s="121">
        <v>4</v>
      </c>
      <c r="H245" s="41"/>
      <c r="I245" s="18">
        <f t="shared" si="3"/>
        <v>216</v>
      </c>
    </row>
    <row r="246" spans="1:9" x14ac:dyDescent="0.35">
      <c r="A246" s="118" t="s">
        <v>759</v>
      </c>
      <c r="B246" s="118" t="s">
        <v>760</v>
      </c>
      <c r="C246" s="118" t="s">
        <v>1295</v>
      </c>
      <c r="D246" s="121">
        <v>179</v>
      </c>
      <c r="E246" s="121">
        <v>11</v>
      </c>
      <c r="F246" s="121">
        <v>4</v>
      </c>
      <c r="G246" s="121">
        <v>1</v>
      </c>
      <c r="H246" s="41"/>
      <c r="I246" s="18">
        <f t="shared" si="3"/>
        <v>195</v>
      </c>
    </row>
    <row r="247" spans="1:9" x14ac:dyDescent="0.35">
      <c r="A247" s="118" t="s">
        <v>761</v>
      </c>
      <c r="B247" s="118" t="s">
        <v>762</v>
      </c>
      <c r="C247" s="118" t="s">
        <v>1295</v>
      </c>
      <c r="D247" s="121">
        <v>378</v>
      </c>
      <c r="E247" s="121">
        <v>44</v>
      </c>
      <c r="F247" s="121">
        <v>7</v>
      </c>
      <c r="G247" s="121">
        <v>3</v>
      </c>
      <c r="H247" s="41"/>
      <c r="I247" s="18">
        <f t="shared" si="3"/>
        <v>432</v>
      </c>
    </row>
    <row r="248" spans="1:9" x14ac:dyDescent="0.35">
      <c r="A248" s="118" t="s">
        <v>763</v>
      </c>
      <c r="B248" s="118" t="s">
        <v>764</v>
      </c>
      <c r="C248" s="118" t="s">
        <v>1295</v>
      </c>
      <c r="D248" s="121">
        <v>771</v>
      </c>
      <c r="E248" s="121">
        <v>128</v>
      </c>
      <c r="F248" s="121">
        <v>22</v>
      </c>
      <c r="G248" s="121">
        <v>7</v>
      </c>
      <c r="H248" s="41"/>
      <c r="I248" s="18">
        <f t="shared" si="3"/>
        <v>928</v>
      </c>
    </row>
    <row r="249" spans="1:9" x14ac:dyDescent="0.35">
      <c r="A249" s="118" t="s">
        <v>765</v>
      </c>
      <c r="B249" s="118" t="s">
        <v>1229</v>
      </c>
      <c r="C249" s="118" t="s">
        <v>1295</v>
      </c>
      <c r="D249" s="121">
        <v>8814</v>
      </c>
      <c r="E249" s="121">
        <v>150</v>
      </c>
      <c r="F249" s="121">
        <v>14</v>
      </c>
      <c r="G249" s="121">
        <v>3</v>
      </c>
      <c r="H249" s="41"/>
      <c r="I249" s="18">
        <f t="shared" si="3"/>
        <v>8981</v>
      </c>
    </row>
    <row r="250" spans="1:9" x14ac:dyDescent="0.35">
      <c r="A250" s="118" t="s">
        <v>766</v>
      </c>
      <c r="B250" s="118" t="s">
        <v>1230</v>
      </c>
      <c r="C250" s="118" t="s">
        <v>1295</v>
      </c>
      <c r="D250" s="121">
        <v>3800</v>
      </c>
      <c r="E250" s="121">
        <v>48</v>
      </c>
      <c r="F250" s="121">
        <v>1</v>
      </c>
      <c r="G250" s="121">
        <v>1</v>
      </c>
      <c r="H250" s="41"/>
      <c r="I250" s="18">
        <f t="shared" si="3"/>
        <v>3850</v>
      </c>
    </row>
    <row r="251" spans="1:9" x14ac:dyDescent="0.35">
      <c r="A251" s="118" t="s">
        <v>767</v>
      </c>
      <c r="B251" s="118" t="s">
        <v>768</v>
      </c>
      <c r="C251" s="118" t="s">
        <v>1295</v>
      </c>
      <c r="D251" s="121">
        <v>1009</v>
      </c>
      <c r="E251" s="121">
        <v>29</v>
      </c>
      <c r="F251" s="121">
        <v>2</v>
      </c>
      <c r="G251" s="121"/>
      <c r="H251" s="41"/>
      <c r="I251" s="18">
        <f t="shared" si="3"/>
        <v>1040</v>
      </c>
    </row>
    <row r="252" spans="1:9" x14ac:dyDescent="0.35">
      <c r="A252" s="118" t="s">
        <v>769</v>
      </c>
      <c r="B252" s="118" t="s">
        <v>770</v>
      </c>
      <c r="C252" s="118" t="s">
        <v>1295</v>
      </c>
      <c r="D252" s="121">
        <v>290</v>
      </c>
      <c r="E252" s="121">
        <v>56</v>
      </c>
      <c r="F252" s="121">
        <v>2</v>
      </c>
      <c r="G252" s="121">
        <v>1</v>
      </c>
      <c r="H252" s="41"/>
      <c r="I252" s="18">
        <f t="shared" si="3"/>
        <v>349</v>
      </c>
    </row>
    <row r="253" spans="1:9" x14ac:dyDescent="0.35">
      <c r="A253" s="118" t="s">
        <v>771</v>
      </c>
      <c r="B253" s="118" t="s">
        <v>772</v>
      </c>
      <c r="C253" s="118" t="s">
        <v>1295</v>
      </c>
      <c r="D253" s="121">
        <v>1355</v>
      </c>
      <c r="E253" s="121">
        <v>72</v>
      </c>
      <c r="F253" s="121">
        <v>9</v>
      </c>
      <c r="G253" s="121">
        <v>1</v>
      </c>
      <c r="H253" s="41"/>
      <c r="I253" s="18">
        <f t="shared" si="3"/>
        <v>1437</v>
      </c>
    </row>
    <row r="254" spans="1:9" x14ac:dyDescent="0.35">
      <c r="A254" s="118" t="s">
        <v>773</v>
      </c>
      <c r="B254" s="118" t="s">
        <v>774</v>
      </c>
      <c r="C254" s="118" t="s">
        <v>1295</v>
      </c>
      <c r="D254" s="121">
        <v>1330</v>
      </c>
      <c r="E254" s="121">
        <v>7</v>
      </c>
      <c r="F254" s="121"/>
      <c r="G254" s="121"/>
      <c r="H254" s="41"/>
      <c r="I254" s="18">
        <f t="shared" si="3"/>
        <v>1337</v>
      </c>
    </row>
    <row r="255" spans="1:9" x14ac:dyDescent="0.35">
      <c r="A255" s="118" t="s">
        <v>775</v>
      </c>
      <c r="B255" s="118" t="s">
        <v>776</v>
      </c>
      <c r="C255" s="118" t="s">
        <v>1295</v>
      </c>
      <c r="D255" s="121">
        <v>993</v>
      </c>
      <c r="E255" s="121">
        <v>35</v>
      </c>
      <c r="F255" s="121">
        <v>3</v>
      </c>
      <c r="G255" s="121"/>
      <c r="H255" s="41"/>
      <c r="I255" s="18">
        <f t="shared" si="3"/>
        <v>1031</v>
      </c>
    </row>
    <row r="256" spans="1:9" x14ac:dyDescent="0.35">
      <c r="A256" s="118" t="s">
        <v>777</v>
      </c>
      <c r="B256" s="118" t="s">
        <v>778</v>
      </c>
      <c r="C256" s="118" t="s">
        <v>1295</v>
      </c>
      <c r="D256" s="121">
        <v>153</v>
      </c>
      <c r="E256" s="121">
        <v>92</v>
      </c>
      <c r="F256" s="121">
        <v>31</v>
      </c>
      <c r="G256" s="121">
        <v>4</v>
      </c>
      <c r="H256" s="41"/>
      <c r="I256" s="18">
        <f t="shared" si="3"/>
        <v>280</v>
      </c>
    </row>
    <row r="257" spans="1:9" x14ac:dyDescent="0.35">
      <c r="A257" s="118" t="s">
        <v>779</v>
      </c>
      <c r="B257" s="118" t="s">
        <v>780</v>
      </c>
      <c r="C257" s="118" t="s">
        <v>1295</v>
      </c>
      <c r="D257" s="121">
        <v>225</v>
      </c>
      <c r="E257" s="121">
        <v>17</v>
      </c>
      <c r="F257" s="121">
        <v>3</v>
      </c>
      <c r="G257" s="121"/>
      <c r="H257" s="41"/>
      <c r="I257" s="18">
        <f t="shared" si="3"/>
        <v>245</v>
      </c>
    </row>
    <row r="258" spans="1:9" x14ac:dyDescent="0.35">
      <c r="A258" s="118" t="s">
        <v>781</v>
      </c>
      <c r="B258" s="118" t="s">
        <v>782</v>
      </c>
      <c r="C258" s="118" t="s">
        <v>1295</v>
      </c>
      <c r="D258" s="121">
        <v>1680</v>
      </c>
      <c r="E258" s="121">
        <v>59</v>
      </c>
      <c r="F258" s="121">
        <v>9</v>
      </c>
      <c r="G258" s="121"/>
      <c r="H258" s="41"/>
      <c r="I258" s="18">
        <f t="shared" si="3"/>
        <v>1748</v>
      </c>
    </row>
    <row r="259" spans="1:9" x14ac:dyDescent="0.35">
      <c r="A259" s="118" t="s">
        <v>783</v>
      </c>
      <c r="B259" s="118" t="s">
        <v>784</v>
      </c>
      <c r="C259" s="118" t="s">
        <v>1295</v>
      </c>
      <c r="D259" s="121">
        <v>113</v>
      </c>
      <c r="E259" s="121">
        <v>6</v>
      </c>
      <c r="F259" s="121">
        <v>1</v>
      </c>
      <c r="G259" s="121"/>
      <c r="H259" s="41"/>
      <c r="I259" s="18">
        <f t="shared" si="3"/>
        <v>120</v>
      </c>
    </row>
    <row r="260" spans="1:9" x14ac:dyDescent="0.35">
      <c r="A260" s="118" t="s">
        <v>785</v>
      </c>
      <c r="B260" s="118" t="s">
        <v>786</v>
      </c>
      <c r="C260" s="118" t="s">
        <v>1295</v>
      </c>
      <c r="D260" s="121">
        <v>476</v>
      </c>
      <c r="E260" s="121">
        <v>34</v>
      </c>
      <c r="F260" s="121"/>
      <c r="G260" s="121"/>
      <c r="H260" s="41"/>
      <c r="I260" s="18">
        <f t="shared" si="3"/>
        <v>510</v>
      </c>
    </row>
    <row r="261" spans="1:9" x14ac:dyDescent="0.35">
      <c r="A261" s="118" t="s">
        <v>787</v>
      </c>
      <c r="B261" s="118" t="s">
        <v>788</v>
      </c>
      <c r="C261" s="118" t="s">
        <v>1295</v>
      </c>
      <c r="D261" s="121">
        <v>2182</v>
      </c>
      <c r="E261" s="121">
        <v>154</v>
      </c>
      <c r="F261" s="121">
        <v>12</v>
      </c>
      <c r="G261" s="121">
        <v>1</v>
      </c>
      <c r="H261" s="41"/>
      <c r="I261" s="18">
        <f t="shared" ref="I261:I324" si="4">SUM(D261:H261)</f>
        <v>2349</v>
      </c>
    </row>
    <row r="262" spans="1:9" x14ac:dyDescent="0.35">
      <c r="A262" s="118" t="s">
        <v>789</v>
      </c>
      <c r="B262" s="118" t="s">
        <v>1231</v>
      </c>
      <c r="C262" s="118" t="s">
        <v>1295</v>
      </c>
      <c r="D262" s="121">
        <v>42</v>
      </c>
      <c r="E262" s="121">
        <v>1</v>
      </c>
      <c r="F262" s="121"/>
      <c r="G262" s="121"/>
      <c r="H262" s="41"/>
      <c r="I262" s="18">
        <f t="shared" si="4"/>
        <v>43</v>
      </c>
    </row>
    <row r="263" spans="1:9" x14ac:dyDescent="0.35">
      <c r="A263" s="118" t="s">
        <v>790</v>
      </c>
      <c r="B263" s="118" t="s">
        <v>1232</v>
      </c>
      <c r="C263" s="118" t="s">
        <v>1295</v>
      </c>
      <c r="D263" s="121">
        <v>493</v>
      </c>
      <c r="E263" s="121">
        <v>18</v>
      </c>
      <c r="F263" s="121">
        <v>6</v>
      </c>
      <c r="G263" s="121">
        <v>2</v>
      </c>
      <c r="H263" s="41"/>
      <c r="I263" s="18">
        <f t="shared" si="4"/>
        <v>519</v>
      </c>
    </row>
    <row r="264" spans="1:9" x14ac:dyDescent="0.35">
      <c r="A264" s="118" t="s">
        <v>791</v>
      </c>
      <c r="B264" s="118" t="s">
        <v>1233</v>
      </c>
      <c r="C264" s="118" t="s">
        <v>1295</v>
      </c>
      <c r="D264" s="121">
        <v>500</v>
      </c>
      <c r="E264" s="121">
        <v>16</v>
      </c>
      <c r="F264" s="121">
        <v>1</v>
      </c>
      <c r="G264" s="121"/>
      <c r="H264" s="41"/>
      <c r="I264" s="18">
        <f t="shared" si="4"/>
        <v>517</v>
      </c>
    </row>
    <row r="265" spans="1:9" x14ac:dyDescent="0.35">
      <c r="A265" s="118" t="s">
        <v>792</v>
      </c>
      <c r="B265" s="118" t="s">
        <v>793</v>
      </c>
      <c r="C265" s="118" t="s">
        <v>1295</v>
      </c>
      <c r="D265" s="121">
        <v>1619</v>
      </c>
      <c r="E265" s="121">
        <v>35</v>
      </c>
      <c r="F265" s="121">
        <v>1</v>
      </c>
      <c r="G265" s="121"/>
      <c r="H265" s="41"/>
      <c r="I265" s="18">
        <f t="shared" si="4"/>
        <v>1655</v>
      </c>
    </row>
    <row r="266" spans="1:9" x14ac:dyDescent="0.35">
      <c r="A266" s="118" t="s">
        <v>794</v>
      </c>
      <c r="B266" s="118" t="s">
        <v>795</v>
      </c>
      <c r="C266" s="118" t="s">
        <v>1295</v>
      </c>
      <c r="D266" s="121">
        <v>1479</v>
      </c>
      <c r="E266" s="121">
        <v>30</v>
      </c>
      <c r="F266" s="121"/>
      <c r="G266" s="121"/>
      <c r="H266" s="41"/>
      <c r="I266" s="18">
        <f t="shared" si="4"/>
        <v>1509</v>
      </c>
    </row>
    <row r="267" spans="1:9" x14ac:dyDescent="0.35">
      <c r="A267" s="118" t="s">
        <v>796</v>
      </c>
      <c r="B267" s="118" t="s">
        <v>1234</v>
      </c>
      <c r="C267" s="118" t="s">
        <v>1295</v>
      </c>
      <c r="D267" s="121">
        <v>242</v>
      </c>
      <c r="E267" s="121">
        <v>13</v>
      </c>
      <c r="F267" s="121"/>
      <c r="G267" s="121"/>
      <c r="H267" s="41"/>
      <c r="I267" s="18">
        <f t="shared" si="4"/>
        <v>255</v>
      </c>
    </row>
    <row r="268" spans="1:9" x14ac:dyDescent="0.35">
      <c r="A268" s="118" t="s">
        <v>797</v>
      </c>
      <c r="B268" s="118" t="s">
        <v>798</v>
      </c>
      <c r="C268" s="118" t="s">
        <v>1295</v>
      </c>
      <c r="D268" s="121">
        <v>160</v>
      </c>
      <c r="E268" s="121">
        <v>3</v>
      </c>
      <c r="F268" s="121"/>
      <c r="G268" s="121"/>
      <c r="H268" s="41"/>
      <c r="I268" s="18">
        <f t="shared" si="4"/>
        <v>163</v>
      </c>
    </row>
    <row r="269" spans="1:9" x14ac:dyDescent="0.35">
      <c r="A269" s="118" t="s">
        <v>799</v>
      </c>
      <c r="B269" s="118" t="s">
        <v>800</v>
      </c>
      <c r="C269" s="118" t="s">
        <v>1295</v>
      </c>
      <c r="D269" s="121">
        <v>4824</v>
      </c>
      <c r="E269" s="121">
        <v>66</v>
      </c>
      <c r="F269" s="121">
        <v>10</v>
      </c>
      <c r="G269" s="121">
        <v>4</v>
      </c>
      <c r="H269" s="41"/>
      <c r="I269" s="18">
        <f t="shared" si="4"/>
        <v>4904</v>
      </c>
    </row>
    <row r="270" spans="1:9" x14ac:dyDescent="0.35">
      <c r="A270" s="118" t="s">
        <v>801</v>
      </c>
      <c r="B270" s="118" t="s">
        <v>1235</v>
      </c>
      <c r="C270" s="118" t="s">
        <v>1295</v>
      </c>
      <c r="D270" s="121">
        <v>830</v>
      </c>
      <c r="E270" s="121">
        <v>24</v>
      </c>
      <c r="F270" s="121">
        <v>2</v>
      </c>
      <c r="G270" s="121">
        <v>1</v>
      </c>
      <c r="H270" s="41"/>
      <c r="I270" s="18">
        <f t="shared" si="4"/>
        <v>857</v>
      </c>
    </row>
    <row r="271" spans="1:9" x14ac:dyDescent="0.35">
      <c r="A271" s="118" t="s">
        <v>802</v>
      </c>
      <c r="B271" s="118" t="s">
        <v>803</v>
      </c>
      <c r="C271" s="118" t="s">
        <v>1295</v>
      </c>
      <c r="D271" s="121">
        <v>3531</v>
      </c>
      <c r="E271" s="121">
        <v>98</v>
      </c>
      <c r="F271" s="121">
        <v>6</v>
      </c>
      <c r="G271" s="121">
        <v>6</v>
      </c>
      <c r="H271" s="41"/>
      <c r="I271" s="18">
        <f t="shared" si="4"/>
        <v>3641</v>
      </c>
    </row>
    <row r="272" spans="1:9" x14ac:dyDescent="0.35">
      <c r="A272" s="118" t="s">
        <v>804</v>
      </c>
      <c r="B272" s="118" t="s">
        <v>805</v>
      </c>
      <c r="C272" s="118" t="s">
        <v>1295</v>
      </c>
      <c r="D272" s="121">
        <v>1481</v>
      </c>
      <c r="E272" s="121">
        <v>55</v>
      </c>
      <c r="F272" s="121">
        <v>7</v>
      </c>
      <c r="G272" s="121"/>
      <c r="H272" s="41"/>
      <c r="I272" s="18">
        <f t="shared" si="4"/>
        <v>1543</v>
      </c>
    </row>
    <row r="273" spans="1:9" x14ac:dyDescent="0.35">
      <c r="A273" s="118" t="s">
        <v>806</v>
      </c>
      <c r="B273" s="118" t="s">
        <v>807</v>
      </c>
      <c r="C273" s="118" t="s">
        <v>1295</v>
      </c>
      <c r="D273" s="121">
        <v>336</v>
      </c>
      <c r="E273" s="121">
        <v>4</v>
      </c>
      <c r="F273" s="121"/>
      <c r="G273" s="121"/>
      <c r="H273" s="41"/>
      <c r="I273" s="18">
        <f t="shared" si="4"/>
        <v>340</v>
      </c>
    </row>
    <row r="274" spans="1:9" x14ac:dyDescent="0.35">
      <c r="A274" s="118" t="s">
        <v>808</v>
      </c>
      <c r="B274" s="118" t="s">
        <v>809</v>
      </c>
      <c r="C274" s="118" t="s">
        <v>1295</v>
      </c>
      <c r="D274" s="121">
        <v>78</v>
      </c>
      <c r="E274" s="121"/>
      <c r="F274" s="121"/>
      <c r="G274" s="121"/>
      <c r="H274" s="41"/>
      <c r="I274" s="18">
        <f t="shared" si="4"/>
        <v>78</v>
      </c>
    </row>
    <row r="275" spans="1:9" x14ac:dyDescent="0.35">
      <c r="A275" s="118" t="s">
        <v>810</v>
      </c>
      <c r="B275" s="118" t="s">
        <v>811</v>
      </c>
      <c r="C275" s="118" t="s">
        <v>1295</v>
      </c>
      <c r="D275" s="121">
        <v>191</v>
      </c>
      <c r="E275" s="121">
        <v>2</v>
      </c>
      <c r="F275" s="121"/>
      <c r="G275" s="121"/>
      <c r="H275" s="41"/>
      <c r="I275" s="18">
        <f t="shared" si="4"/>
        <v>193</v>
      </c>
    </row>
    <row r="276" spans="1:9" x14ac:dyDescent="0.35">
      <c r="A276" s="118" t="s">
        <v>812</v>
      </c>
      <c r="B276" s="118" t="s">
        <v>813</v>
      </c>
      <c r="C276" s="118" t="s">
        <v>1295</v>
      </c>
      <c r="D276" s="121">
        <v>47</v>
      </c>
      <c r="E276" s="121"/>
      <c r="F276" s="121"/>
      <c r="G276" s="121"/>
      <c r="H276" s="41"/>
      <c r="I276" s="18">
        <f t="shared" si="4"/>
        <v>47</v>
      </c>
    </row>
    <row r="277" spans="1:9" x14ac:dyDescent="0.35">
      <c r="A277" s="118" t="s">
        <v>814</v>
      </c>
      <c r="B277" s="118" t="s">
        <v>1236</v>
      </c>
      <c r="C277" s="118" t="s">
        <v>1295</v>
      </c>
      <c r="D277" s="121">
        <v>1430</v>
      </c>
      <c r="E277" s="121">
        <v>24</v>
      </c>
      <c r="F277" s="121">
        <v>3</v>
      </c>
      <c r="G277" s="121"/>
      <c r="H277" s="41"/>
      <c r="I277" s="18">
        <f t="shared" si="4"/>
        <v>1457</v>
      </c>
    </row>
    <row r="278" spans="1:9" x14ac:dyDescent="0.35">
      <c r="A278" s="118" t="s">
        <v>815</v>
      </c>
      <c r="B278" s="118" t="s">
        <v>816</v>
      </c>
      <c r="C278" s="118" t="s">
        <v>1295</v>
      </c>
      <c r="D278" s="121">
        <v>33</v>
      </c>
      <c r="E278" s="121"/>
      <c r="F278" s="121"/>
      <c r="G278" s="121"/>
      <c r="H278" s="41"/>
      <c r="I278" s="18">
        <f t="shared" si="4"/>
        <v>33</v>
      </c>
    </row>
    <row r="279" spans="1:9" x14ac:dyDescent="0.35">
      <c r="A279" s="118" t="s">
        <v>817</v>
      </c>
      <c r="B279" s="118" t="s">
        <v>1237</v>
      </c>
      <c r="C279" s="118" t="s">
        <v>1295</v>
      </c>
      <c r="D279" s="121">
        <v>1025</v>
      </c>
      <c r="E279" s="121">
        <v>27</v>
      </c>
      <c r="F279" s="121"/>
      <c r="G279" s="121">
        <v>1</v>
      </c>
      <c r="H279" s="41"/>
      <c r="I279" s="18">
        <f t="shared" si="4"/>
        <v>1053</v>
      </c>
    </row>
    <row r="280" spans="1:9" x14ac:dyDescent="0.35">
      <c r="A280" s="118" t="s">
        <v>818</v>
      </c>
      <c r="B280" s="118" t="s">
        <v>819</v>
      </c>
      <c r="C280" s="118" t="s">
        <v>1294</v>
      </c>
      <c r="D280" s="121">
        <v>1</v>
      </c>
      <c r="E280" s="121"/>
      <c r="F280" s="121"/>
      <c r="G280" s="121">
        <v>1</v>
      </c>
      <c r="H280" s="41"/>
      <c r="I280" s="18">
        <f t="shared" si="4"/>
        <v>2</v>
      </c>
    </row>
    <row r="281" spans="1:9" x14ac:dyDescent="0.35">
      <c r="A281" s="118" t="s">
        <v>820</v>
      </c>
      <c r="B281" s="118" t="s">
        <v>1238</v>
      </c>
      <c r="C281" s="118" t="s">
        <v>1294</v>
      </c>
      <c r="D281" s="121">
        <v>4</v>
      </c>
      <c r="E281" s="121"/>
      <c r="F281" s="121"/>
      <c r="G281" s="121"/>
      <c r="H281" s="41"/>
      <c r="I281" s="18">
        <f t="shared" si="4"/>
        <v>4</v>
      </c>
    </row>
    <row r="282" spans="1:9" x14ac:dyDescent="0.35">
      <c r="A282" s="118" t="s">
        <v>821</v>
      </c>
      <c r="B282" s="118" t="s">
        <v>822</v>
      </c>
      <c r="C282" s="118" t="s">
        <v>1294</v>
      </c>
      <c r="D282" s="121">
        <v>444</v>
      </c>
      <c r="E282" s="121">
        <v>63</v>
      </c>
      <c r="F282" s="121">
        <v>21</v>
      </c>
      <c r="G282" s="121">
        <v>6</v>
      </c>
      <c r="H282" s="41"/>
      <c r="I282" s="18">
        <f t="shared" si="4"/>
        <v>534</v>
      </c>
    </row>
    <row r="283" spans="1:9" x14ac:dyDescent="0.35">
      <c r="A283" s="118" t="s">
        <v>823</v>
      </c>
      <c r="B283" s="118" t="s">
        <v>824</v>
      </c>
      <c r="C283" s="118" t="s">
        <v>1294</v>
      </c>
      <c r="D283" s="121">
        <v>99</v>
      </c>
      <c r="E283" s="121">
        <v>5</v>
      </c>
      <c r="F283" s="121">
        <v>2</v>
      </c>
      <c r="G283" s="121"/>
      <c r="H283" s="41"/>
      <c r="I283" s="18">
        <f t="shared" si="4"/>
        <v>106</v>
      </c>
    </row>
    <row r="284" spans="1:9" x14ac:dyDescent="0.35">
      <c r="A284" s="118" t="s">
        <v>825</v>
      </c>
      <c r="B284" s="118" t="s">
        <v>826</v>
      </c>
      <c r="C284" s="118" t="s">
        <v>1294</v>
      </c>
      <c r="D284" s="121">
        <v>1107</v>
      </c>
      <c r="E284" s="121">
        <v>137</v>
      </c>
      <c r="F284" s="121">
        <v>54</v>
      </c>
      <c r="G284" s="121">
        <v>16</v>
      </c>
      <c r="H284" s="41"/>
      <c r="I284" s="18">
        <f t="shared" si="4"/>
        <v>1314</v>
      </c>
    </row>
    <row r="285" spans="1:9" x14ac:dyDescent="0.35">
      <c r="A285" s="118" t="s">
        <v>827</v>
      </c>
      <c r="B285" s="118" t="s">
        <v>828</v>
      </c>
      <c r="C285" s="118" t="s">
        <v>1294</v>
      </c>
      <c r="D285" s="121">
        <v>7</v>
      </c>
      <c r="E285" s="121">
        <v>1</v>
      </c>
      <c r="F285" s="121"/>
      <c r="G285" s="121">
        <v>1</v>
      </c>
      <c r="H285" s="41"/>
      <c r="I285" s="18">
        <f t="shared" si="4"/>
        <v>9</v>
      </c>
    </row>
    <row r="286" spans="1:9" x14ac:dyDescent="0.35">
      <c r="A286" s="118" t="s">
        <v>829</v>
      </c>
      <c r="B286" s="118" t="s">
        <v>1239</v>
      </c>
      <c r="C286" s="118" t="s">
        <v>1294</v>
      </c>
      <c r="D286" s="121">
        <v>11</v>
      </c>
      <c r="E286" s="121"/>
      <c r="F286" s="121"/>
      <c r="G286" s="121"/>
      <c r="H286" s="41"/>
      <c r="I286" s="18">
        <f t="shared" si="4"/>
        <v>11</v>
      </c>
    </row>
    <row r="287" spans="1:9" x14ac:dyDescent="0.35">
      <c r="A287" s="118" t="s">
        <v>830</v>
      </c>
      <c r="B287" s="118" t="s">
        <v>1240</v>
      </c>
      <c r="C287" s="118" t="s">
        <v>1294</v>
      </c>
      <c r="D287" s="121">
        <v>5</v>
      </c>
      <c r="E287" s="121"/>
      <c r="F287" s="121"/>
      <c r="G287" s="121"/>
      <c r="H287" s="41"/>
      <c r="I287" s="18">
        <f t="shared" si="4"/>
        <v>5</v>
      </c>
    </row>
    <row r="288" spans="1:9" x14ac:dyDescent="0.35">
      <c r="A288" s="118" t="s">
        <v>831</v>
      </c>
      <c r="B288" s="118" t="s">
        <v>832</v>
      </c>
      <c r="C288" s="118" t="s">
        <v>1294</v>
      </c>
      <c r="D288" s="121">
        <v>9</v>
      </c>
      <c r="E288" s="121"/>
      <c r="F288" s="121"/>
      <c r="G288" s="121"/>
      <c r="H288" s="41"/>
      <c r="I288" s="18">
        <f t="shared" si="4"/>
        <v>9</v>
      </c>
    </row>
    <row r="289" spans="1:9" x14ac:dyDescent="0.35">
      <c r="A289" s="118" t="s">
        <v>833</v>
      </c>
      <c r="B289" s="118" t="s">
        <v>834</v>
      </c>
      <c r="C289" s="118" t="s">
        <v>1294</v>
      </c>
      <c r="D289" s="121">
        <v>1</v>
      </c>
      <c r="E289" s="121"/>
      <c r="F289" s="121"/>
      <c r="G289" s="121"/>
      <c r="H289" s="41"/>
      <c r="I289" s="18">
        <f t="shared" si="4"/>
        <v>1</v>
      </c>
    </row>
    <row r="290" spans="1:9" x14ac:dyDescent="0.35">
      <c r="A290" s="118" t="s">
        <v>835</v>
      </c>
      <c r="B290" s="118" t="s">
        <v>1241</v>
      </c>
      <c r="C290" s="118" t="s">
        <v>1294</v>
      </c>
      <c r="D290" s="121">
        <v>11</v>
      </c>
      <c r="E290" s="121"/>
      <c r="F290" s="121">
        <v>3</v>
      </c>
      <c r="G290" s="121">
        <v>2</v>
      </c>
      <c r="H290" s="41"/>
      <c r="I290" s="18">
        <f t="shared" si="4"/>
        <v>16</v>
      </c>
    </row>
    <row r="291" spans="1:9" x14ac:dyDescent="0.35">
      <c r="A291" s="118" t="s">
        <v>836</v>
      </c>
      <c r="B291" s="118" t="s">
        <v>1242</v>
      </c>
      <c r="C291" s="118" t="s">
        <v>1294</v>
      </c>
      <c r="D291" s="121">
        <v>1</v>
      </c>
      <c r="E291" s="121"/>
      <c r="F291" s="121"/>
      <c r="G291" s="121"/>
      <c r="H291" s="41"/>
      <c r="I291" s="18">
        <f t="shared" si="4"/>
        <v>1</v>
      </c>
    </row>
    <row r="292" spans="1:9" x14ac:dyDescent="0.35">
      <c r="A292" s="118" t="s">
        <v>837</v>
      </c>
      <c r="B292" s="118" t="s">
        <v>1243</v>
      </c>
      <c r="C292" s="118" t="s">
        <v>1294</v>
      </c>
      <c r="D292" s="121">
        <v>6</v>
      </c>
      <c r="E292" s="121">
        <v>8</v>
      </c>
      <c r="F292" s="121">
        <v>4</v>
      </c>
      <c r="G292" s="121"/>
      <c r="H292" s="41"/>
      <c r="I292" s="18">
        <f t="shared" si="4"/>
        <v>18</v>
      </c>
    </row>
    <row r="293" spans="1:9" x14ac:dyDescent="0.35">
      <c r="A293" s="118" t="s">
        <v>838</v>
      </c>
      <c r="B293" s="118" t="s">
        <v>1244</v>
      </c>
      <c r="C293" s="118" t="s">
        <v>1294</v>
      </c>
      <c r="D293" s="121">
        <v>2</v>
      </c>
      <c r="E293" s="121"/>
      <c r="F293" s="121"/>
      <c r="G293" s="121"/>
      <c r="H293" s="41"/>
      <c r="I293" s="18">
        <f t="shared" si="4"/>
        <v>2</v>
      </c>
    </row>
    <row r="294" spans="1:9" x14ac:dyDescent="0.35">
      <c r="A294" s="118" t="s">
        <v>839</v>
      </c>
      <c r="B294" s="118" t="s">
        <v>840</v>
      </c>
      <c r="C294" s="118" t="s">
        <v>1294</v>
      </c>
      <c r="D294" s="121">
        <v>49</v>
      </c>
      <c r="E294" s="121">
        <v>1</v>
      </c>
      <c r="F294" s="121">
        <v>1</v>
      </c>
      <c r="G294" s="121"/>
      <c r="H294" s="41"/>
      <c r="I294" s="18">
        <f t="shared" si="4"/>
        <v>51</v>
      </c>
    </row>
    <row r="295" spans="1:9" x14ac:dyDescent="0.35">
      <c r="A295" s="118" t="s">
        <v>841</v>
      </c>
      <c r="B295" s="118" t="s">
        <v>842</v>
      </c>
      <c r="C295" s="118" t="s">
        <v>1294</v>
      </c>
      <c r="D295" s="121">
        <v>695</v>
      </c>
      <c r="E295" s="121">
        <v>11</v>
      </c>
      <c r="F295" s="121">
        <v>1</v>
      </c>
      <c r="G295" s="121">
        <v>1</v>
      </c>
      <c r="H295" s="41"/>
      <c r="I295" s="18">
        <f t="shared" si="4"/>
        <v>708</v>
      </c>
    </row>
    <row r="296" spans="1:9" x14ac:dyDescent="0.35">
      <c r="A296" s="118" t="s">
        <v>843</v>
      </c>
      <c r="B296" s="118" t="s">
        <v>844</v>
      </c>
      <c r="C296" s="118" t="s">
        <v>1294</v>
      </c>
      <c r="D296" s="121">
        <v>7</v>
      </c>
      <c r="E296" s="121"/>
      <c r="F296" s="121"/>
      <c r="G296" s="121"/>
      <c r="H296" s="41"/>
      <c r="I296" s="18">
        <f t="shared" si="4"/>
        <v>7</v>
      </c>
    </row>
    <row r="297" spans="1:9" x14ac:dyDescent="0.35">
      <c r="A297" s="118" t="s">
        <v>845</v>
      </c>
      <c r="B297" s="118" t="s">
        <v>846</v>
      </c>
      <c r="C297" s="118" t="s">
        <v>1294</v>
      </c>
      <c r="D297" s="121">
        <v>6</v>
      </c>
      <c r="E297" s="121"/>
      <c r="F297" s="121">
        <v>1</v>
      </c>
      <c r="G297" s="121">
        <v>1</v>
      </c>
      <c r="H297" s="41"/>
      <c r="I297" s="18">
        <f t="shared" si="4"/>
        <v>8</v>
      </c>
    </row>
    <row r="298" spans="1:9" x14ac:dyDescent="0.35">
      <c r="A298" s="118" t="s">
        <v>847</v>
      </c>
      <c r="B298" s="118" t="s">
        <v>848</v>
      </c>
      <c r="C298" s="118" t="s">
        <v>1294</v>
      </c>
      <c r="D298" s="121">
        <v>45</v>
      </c>
      <c r="E298" s="121">
        <v>8</v>
      </c>
      <c r="F298" s="121">
        <v>3</v>
      </c>
      <c r="G298" s="121">
        <v>2</v>
      </c>
      <c r="H298" s="41"/>
      <c r="I298" s="18">
        <f t="shared" si="4"/>
        <v>58</v>
      </c>
    </row>
    <row r="299" spans="1:9" x14ac:dyDescent="0.35">
      <c r="A299" s="118" t="s">
        <v>849</v>
      </c>
      <c r="B299" s="118" t="s">
        <v>850</v>
      </c>
      <c r="C299" s="118" t="s">
        <v>1294</v>
      </c>
      <c r="D299" s="121">
        <v>267</v>
      </c>
      <c r="E299" s="121">
        <v>53</v>
      </c>
      <c r="F299" s="121">
        <v>19</v>
      </c>
      <c r="G299" s="121">
        <v>7</v>
      </c>
      <c r="H299" s="41"/>
      <c r="I299" s="18">
        <f t="shared" si="4"/>
        <v>346</v>
      </c>
    </row>
    <row r="300" spans="1:9" x14ac:dyDescent="0.35">
      <c r="A300" s="118" t="s">
        <v>851</v>
      </c>
      <c r="B300" s="118" t="s">
        <v>852</v>
      </c>
      <c r="C300" s="118" t="s">
        <v>1294</v>
      </c>
      <c r="D300" s="121">
        <v>77</v>
      </c>
      <c r="E300" s="121"/>
      <c r="F300" s="121">
        <v>1</v>
      </c>
      <c r="G300" s="121"/>
      <c r="H300" s="41"/>
      <c r="I300" s="18">
        <f t="shared" si="4"/>
        <v>78</v>
      </c>
    </row>
    <row r="301" spans="1:9" x14ac:dyDescent="0.35">
      <c r="A301" s="118" t="s">
        <v>853</v>
      </c>
      <c r="B301" s="118" t="s">
        <v>854</v>
      </c>
      <c r="C301" s="118" t="s">
        <v>1294</v>
      </c>
      <c r="D301" s="121">
        <v>385</v>
      </c>
      <c r="E301" s="121">
        <v>5</v>
      </c>
      <c r="F301" s="121"/>
      <c r="G301" s="121">
        <v>2</v>
      </c>
      <c r="H301" s="41"/>
      <c r="I301" s="18">
        <f t="shared" si="4"/>
        <v>392</v>
      </c>
    </row>
    <row r="302" spans="1:9" x14ac:dyDescent="0.35">
      <c r="A302" s="118" t="s">
        <v>855</v>
      </c>
      <c r="B302" s="118" t="s">
        <v>1245</v>
      </c>
      <c r="C302" s="118" t="s">
        <v>1294</v>
      </c>
      <c r="D302" s="121">
        <v>1059</v>
      </c>
      <c r="E302" s="121">
        <v>78</v>
      </c>
      <c r="F302" s="121">
        <v>30</v>
      </c>
      <c r="G302" s="121">
        <v>4</v>
      </c>
      <c r="H302" s="41"/>
      <c r="I302" s="18">
        <f t="shared" si="4"/>
        <v>1171</v>
      </c>
    </row>
    <row r="303" spans="1:9" x14ac:dyDescent="0.35">
      <c r="A303" s="118" t="s">
        <v>856</v>
      </c>
      <c r="B303" s="118" t="s">
        <v>857</v>
      </c>
      <c r="C303" s="118" t="s">
        <v>1294</v>
      </c>
      <c r="D303" s="121">
        <v>170</v>
      </c>
      <c r="E303" s="121">
        <v>4</v>
      </c>
      <c r="F303" s="121">
        <v>1</v>
      </c>
      <c r="G303" s="121"/>
      <c r="H303" s="41"/>
      <c r="I303" s="18">
        <f t="shared" si="4"/>
        <v>175</v>
      </c>
    </row>
    <row r="304" spans="1:9" x14ac:dyDescent="0.35">
      <c r="A304" s="118" t="s">
        <v>858</v>
      </c>
      <c r="B304" s="118" t="s">
        <v>1246</v>
      </c>
      <c r="C304" s="118" t="s">
        <v>1294</v>
      </c>
      <c r="D304" s="121">
        <v>39</v>
      </c>
      <c r="E304" s="121">
        <v>3</v>
      </c>
      <c r="F304" s="121">
        <v>1</v>
      </c>
      <c r="G304" s="121"/>
      <c r="H304" s="41"/>
      <c r="I304" s="18">
        <f t="shared" si="4"/>
        <v>43</v>
      </c>
    </row>
    <row r="305" spans="1:9" x14ac:dyDescent="0.35">
      <c r="A305" s="118" t="s">
        <v>859</v>
      </c>
      <c r="B305" s="118" t="s">
        <v>860</v>
      </c>
      <c r="C305" s="118" t="s">
        <v>1294</v>
      </c>
      <c r="D305" s="121">
        <v>482</v>
      </c>
      <c r="E305" s="121">
        <v>2</v>
      </c>
      <c r="F305" s="121"/>
      <c r="G305" s="121"/>
      <c r="H305" s="41"/>
      <c r="I305" s="18">
        <f t="shared" si="4"/>
        <v>484</v>
      </c>
    </row>
    <row r="306" spans="1:9" x14ac:dyDescent="0.35">
      <c r="A306" s="118" t="s">
        <v>861</v>
      </c>
      <c r="B306" s="118" t="s">
        <v>1247</v>
      </c>
      <c r="C306" s="118" t="s">
        <v>1294</v>
      </c>
      <c r="D306" s="121">
        <v>758</v>
      </c>
      <c r="E306" s="121">
        <v>7</v>
      </c>
      <c r="F306" s="121">
        <v>1</v>
      </c>
      <c r="G306" s="121">
        <v>1</v>
      </c>
      <c r="H306" s="41"/>
      <c r="I306" s="18">
        <f t="shared" si="4"/>
        <v>767</v>
      </c>
    </row>
    <row r="307" spans="1:9" x14ac:dyDescent="0.35">
      <c r="A307" s="118" t="s">
        <v>862</v>
      </c>
      <c r="B307" s="118" t="s">
        <v>863</v>
      </c>
      <c r="C307" s="118" t="s">
        <v>1294</v>
      </c>
      <c r="D307" s="121">
        <v>6</v>
      </c>
      <c r="E307" s="121"/>
      <c r="F307" s="121"/>
      <c r="G307" s="121"/>
      <c r="H307" s="41"/>
      <c r="I307" s="18">
        <f t="shared" si="4"/>
        <v>6</v>
      </c>
    </row>
    <row r="308" spans="1:9" x14ac:dyDescent="0.35">
      <c r="A308" s="118" t="s">
        <v>864</v>
      </c>
      <c r="B308" s="118" t="s">
        <v>1248</v>
      </c>
      <c r="C308" s="118" t="s">
        <v>1294</v>
      </c>
      <c r="D308" s="121">
        <v>215</v>
      </c>
      <c r="E308" s="121">
        <v>7</v>
      </c>
      <c r="F308" s="121">
        <v>1</v>
      </c>
      <c r="G308" s="121"/>
      <c r="H308" s="41"/>
      <c r="I308" s="18">
        <f t="shared" si="4"/>
        <v>223</v>
      </c>
    </row>
    <row r="309" spans="1:9" x14ac:dyDescent="0.35">
      <c r="A309" s="118" t="s">
        <v>865</v>
      </c>
      <c r="B309" s="118" t="s">
        <v>866</v>
      </c>
      <c r="C309" s="118" t="s">
        <v>1294</v>
      </c>
      <c r="D309" s="121">
        <v>71</v>
      </c>
      <c r="E309" s="121">
        <v>1</v>
      </c>
      <c r="F309" s="121"/>
      <c r="G309" s="121"/>
      <c r="H309" s="41"/>
      <c r="I309" s="18">
        <f t="shared" si="4"/>
        <v>72</v>
      </c>
    </row>
    <row r="310" spans="1:9" x14ac:dyDescent="0.35">
      <c r="A310" s="118" t="s">
        <v>867</v>
      </c>
      <c r="B310" s="118" t="s">
        <v>868</v>
      </c>
      <c r="C310" s="118" t="s">
        <v>1294</v>
      </c>
      <c r="D310" s="121">
        <v>4849</v>
      </c>
      <c r="E310" s="121">
        <v>136</v>
      </c>
      <c r="F310" s="121">
        <v>38</v>
      </c>
      <c r="G310" s="121">
        <v>5</v>
      </c>
      <c r="H310" s="41"/>
      <c r="I310" s="18">
        <f t="shared" si="4"/>
        <v>5028</v>
      </c>
    </row>
    <row r="311" spans="1:9" x14ac:dyDescent="0.35">
      <c r="A311" s="118" t="s">
        <v>869</v>
      </c>
      <c r="B311" s="118" t="s">
        <v>870</v>
      </c>
      <c r="C311" s="118" t="s">
        <v>1294</v>
      </c>
      <c r="D311" s="121">
        <v>411</v>
      </c>
      <c r="E311" s="121">
        <v>17</v>
      </c>
      <c r="F311" s="121">
        <v>6</v>
      </c>
      <c r="G311" s="121">
        <v>4</v>
      </c>
      <c r="H311" s="41"/>
      <c r="I311" s="18">
        <f t="shared" si="4"/>
        <v>438</v>
      </c>
    </row>
    <row r="312" spans="1:9" x14ac:dyDescent="0.35">
      <c r="A312" s="118" t="s">
        <v>871</v>
      </c>
      <c r="B312" s="118" t="s">
        <v>872</v>
      </c>
      <c r="C312" s="118" t="s">
        <v>1294</v>
      </c>
      <c r="D312" s="121">
        <v>2083</v>
      </c>
      <c r="E312" s="121">
        <v>10</v>
      </c>
      <c r="F312" s="121">
        <v>2</v>
      </c>
      <c r="G312" s="121"/>
      <c r="H312" s="41"/>
      <c r="I312" s="18">
        <f t="shared" si="4"/>
        <v>2095</v>
      </c>
    </row>
    <row r="313" spans="1:9" x14ac:dyDescent="0.35">
      <c r="A313" s="118" t="s">
        <v>873</v>
      </c>
      <c r="B313" s="118" t="s">
        <v>874</v>
      </c>
      <c r="C313" s="118" t="s">
        <v>1294</v>
      </c>
      <c r="D313" s="121">
        <v>2392</v>
      </c>
      <c r="E313" s="121">
        <v>8</v>
      </c>
      <c r="F313" s="121">
        <v>4</v>
      </c>
      <c r="G313" s="121">
        <v>1</v>
      </c>
      <c r="H313" s="41"/>
      <c r="I313" s="18">
        <f t="shared" si="4"/>
        <v>2405</v>
      </c>
    </row>
    <row r="314" spans="1:9" x14ac:dyDescent="0.35">
      <c r="A314" s="118" t="s">
        <v>875</v>
      </c>
      <c r="B314" s="118" t="s">
        <v>876</v>
      </c>
      <c r="C314" s="118" t="s">
        <v>1294</v>
      </c>
      <c r="D314" s="121">
        <v>322</v>
      </c>
      <c r="E314" s="121">
        <v>3</v>
      </c>
      <c r="F314" s="121">
        <v>2</v>
      </c>
      <c r="G314" s="121"/>
      <c r="H314" s="41"/>
      <c r="I314" s="18">
        <f t="shared" si="4"/>
        <v>327</v>
      </c>
    </row>
    <row r="315" spans="1:9" x14ac:dyDescent="0.35">
      <c r="A315" s="118" t="s">
        <v>877</v>
      </c>
      <c r="B315" s="118" t="s">
        <v>878</v>
      </c>
      <c r="C315" s="118" t="s">
        <v>1294</v>
      </c>
      <c r="D315" s="121">
        <v>101</v>
      </c>
      <c r="E315" s="121">
        <v>5</v>
      </c>
      <c r="F315" s="121">
        <v>1</v>
      </c>
      <c r="G315" s="121">
        <v>1</v>
      </c>
      <c r="H315" s="41"/>
      <c r="I315" s="18">
        <f t="shared" si="4"/>
        <v>108</v>
      </c>
    </row>
    <row r="316" spans="1:9" x14ac:dyDescent="0.35">
      <c r="A316" s="118" t="s">
        <v>879</v>
      </c>
      <c r="B316" s="118" t="s">
        <v>880</v>
      </c>
      <c r="C316" s="118" t="s">
        <v>1294</v>
      </c>
      <c r="D316" s="121">
        <v>5117</v>
      </c>
      <c r="E316" s="121">
        <v>22</v>
      </c>
      <c r="F316" s="121">
        <v>5</v>
      </c>
      <c r="G316" s="121"/>
      <c r="H316" s="41"/>
      <c r="I316" s="18">
        <f t="shared" si="4"/>
        <v>5144</v>
      </c>
    </row>
    <row r="317" spans="1:9" x14ac:dyDescent="0.35">
      <c r="A317" s="118" t="s">
        <v>881</v>
      </c>
      <c r="B317" s="118" t="s">
        <v>882</v>
      </c>
      <c r="C317" s="118" t="s">
        <v>1294</v>
      </c>
      <c r="D317" s="121">
        <v>48</v>
      </c>
      <c r="E317" s="121">
        <v>2</v>
      </c>
      <c r="F317" s="121">
        <v>1</v>
      </c>
      <c r="G317" s="121"/>
      <c r="H317" s="41"/>
      <c r="I317" s="18">
        <f t="shared" si="4"/>
        <v>51</v>
      </c>
    </row>
    <row r="318" spans="1:9" x14ac:dyDescent="0.35">
      <c r="A318" s="118" t="s">
        <v>883</v>
      </c>
      <c r="B318" s="118" t="s">
        <v>884</v>
      </c>
      <c r="C318" s="118" t="s">
        <v>1294</v>
      </c>
      <c r="D318" s="121">
        <v>29</v>
      </c>
      <c r="E318" s="121">
        <v>2</v>
      </c>
      <c r="F318" s="121">
        <v>1</v>
      </c>
      <c r="G318" s="121">
        <v>1</v>
      </c>
      <c r="H318" s="41"/>
      <c r="I318" s="18">
        <f t="shared" si="4"/>
        <v>33</v>
      </c>
    </row>
    <row r="319" spans="1:9" x14ac:dyDescent="0.35">
      <c r="A319" s="118" t="s">
        <v>885</v>
      </c>
      <c r="B319" s="118" t="s">
        <v>886</v>
      </c>
      <c r="C319" s="118" t="s">
        <v>1294</v>
      </c>
      <c r="D319" s="121">
        <v>34</v>
      </c>
      <c r="E319" s="121">
        <v>1</v>
      </c>
      <c r="F319" s="121"/>
      <c r="G319" s="121"/>
      <c r="H319" s="41"/>
      <c r="I319" s="18">
        <f t="shared" si="4"/>
        <v>35</v>
      </c>
    </row>
    <row r="320" spans="1:9" x14ac:dyDescent="0.35">
      <c r="A320" s="118" t="s">
        <v>887</v>
      </c>
      <c r="B320" s="118" t="s">
        <v>888</v>
      </c>
      <c r="C320" s="118" t="s">
        <v>1294</v>
      </c>
      <c r="D320" s="121">
        <v>110</v>
      </c>
      <c r="E320" s="121">
        <v>15</v>
      </c>
      <c r="F320" s="121">
        <v>5</v>
      </c>
      <c r="G320" s="121"/>
      <c r="H320" s="41"/>
      <c r="I320" s="18">
        <f t="shared" si="4"/>
        <v>130</v>
      </c>
    </row>
    <row r="321" spans="1:9" x14ac:dyDescent="0.35">
      <c r="A321" s="118" t="s">
        <v>889</v>
      </c>
      <c r="B321" s="118" t="s">
        <v>890</v>
      </c>
      <c r="C321" s="118" t="s">
        <v>1294</v>
      </c>
      <c r="D321" s="121">
        <v>194</v>
      </c>
      <c r="E321" s="121">
        <v>12</v>
      </c>
      <c r="F321" s="121">
        <v>3</v>
      </c>
      <c r="G321" s="121"/>
      <c r="H321" s="41"/>
      <c r="I321" s="18">
        <f t="shared" si="4"/>
        <v>209</v>
      </c>
    </row>
    <row r="322" spans="1:9" x14ac:dyDescent="0.35">
      <c r="A322" s="118" t="s">
        <v>891</v>
      </c>
      <c r="B322" s="118" t="s">
        <v>1249</v>
      </c>
      <c r="C322" s="118" t="s">
        <v>1294</v>
      </c>
      <c r="D322" s="121">
        <v>16</v>
      </c>
      <c r="E322" s="121"/>
      <c r="F322" s="121"/>
      <c r="G322" s="121"/>
      <c r="H322" s="41"/>
      <c r="I322" s="18">
        <f t="shared" si="4"/>
        <v>16</v>
      </c>
    </row>
    <row r="323" spans="1:9" x14ac:dyDescent="0.35">
      <c r="A323" s="118" t="s">
        <v>892</v>
      </c>
      <c r="B323" s="118" t="s">
        <v>893</v>
      </c>
      <c r="C323" s="118" t="s">
        <v>1294</v>
      </c>
      <c r="D323" s="121">
        <v>4</v>
      </c>
      <c r="E323" s="121">
        <v>1</v>
      </c>
      <c r="F323" s="121"/>
      <c r="G323" s="121"/>
      <c r="H323" s="41"/>
      <c r="I323" s="18">
        <f t="shared" si="4"/>
        <v>5</v>
      </c>
    </row>
    <row r="324" spans="1:9" x14ac:dyDescent="0.35">
      <c r="A324" s="118" t="s">
        <v>894</v>
      </c>
      <c r="B324" s="118" t="s">
        <v>895</v>
      </c>
      <c r="C324" s="118" t="s">
        <v>1294</v>
      </c>
      <c r="D324" s="121">
        <v>5</v>
      </c>
      <c r="E324" s="121"/>
      <c r="F324" s="121"/>
      <c r="G324" s="121"/>
      <c r="H324" s="41"/>
      <c r="I324" s="18">
        <f t="shared" si="4"/>
        <v>5</v>
      </c>
    </row>
    <row r="325" spans="1:9" x14ac:dyDescent="0.35">
      <c r="A325" s="118" t="s">
        <v>896</v>
      </c>
      <c r="B325" s="118" t="s">
        <v>1250</v>
      </c>
      <c r="C325" s="118" t="s">
        <v>1294</v>
      </c>
      <c r="D325" s="121">
        <v>170</v>
      </c>
      <c r="E325" s="121">
        <v>3</v>
      </c>
      <c r="F325" s="121">
        <v>2</v>
      </c>
      <c r="G325" s="121">
        <v>1</v>
      </c>
      <c r="H325" s="41"/>
      <c r="I325" s="18">
        <f t="shared" ref="I325:I388" si="5">SUM(D325:H325)</f>
        <v>176</v>
      </c>
    </row>
    <row r="326" spans="1:9" x14ac:dyDescent="0.35">
      <c r="A326" s="118" t="s">
        <v>897</v>
      </c>
      <c r="B326" s="118" t="s">
        <v>898</v>
      </c>
      <c r="C326" s="118" t="s">
        <v>1294</v>
      </c>
      <c r="D326" s="121">
        <v>37</v>
      </c>
      <c r="E326" s="121">
        <v>2</v>
      </c>
      <c r="F326" s="121"/>
      <c r="G326" s="121"/>
      <c r="H326" s="41"/>
      <c r="I326" s="18">
        <f t="shared" si="5"/>
        <v>39</v>
      </c>
    </row>
    <row r="327" spans="1:9" x14ac:dyDescent="0.35">
      <c r="A327" s="118" t="s">
        <v>899</v>
      </c>
      <c r="B327" s="118" t="s">
        <v>900</v>
      </c>
      <c r="C327" s="118" t="s">
        <v>1294</v>
      </c>
      <c r="D327" s="121">
        <v>19</v>
      </c>
      <c r="E327" s="121"/>
      <c r="F327" s="121">
        <v>2</v>
      </c>
      <c r="G327" s="121">
        <v>2</v>
      </c>
      <c r="H327" s="41"/>
      <c r="I327" s="18">
        <f t="shared" si="5"/>
        <v>23</v>
      </c>
    </row>
    <row r="328" spans="1:9" x14ac:dyDescent="0.35">
      <c r="A328" s="118" t="s">
        <v>901</v>
      </c>
      <c r="B328" s="118" t="s">
        <v>902</v>
      </c>
      <c r="C328" s="118" t="s">
        <v>1294</v>
      </c>
      <c r="D328" s="121">
        <v>106</v>
      </c>
      <c r="E328" s="121">
        <v>10</v>
      </c>
      <c r="F328" s="121">
        <v>2</v>
      </c>
      <c r="G328" s="121">
        <v>2</v>
      </c>
      <c r="H328" s="41"/>
      <c r="I328" s="18">
        <f t="shared" si="5"/>
        <v>120</v>
      </c>
    </row>
    <row r="329" spans="1:9" x14ac:dyDescent="0.35">
      <c r="A329" s="118" t="s">
        <v>903</v>
      </c>
      <c r="B329" s="118" t="s">
        <v>904</v>
      </c>
      <c r="C329" s="118" t="s">
        <v>1294</v>
      </c>
      <c r="D329" s="121">
        <v>91</v>
      </c>
      <c r="E329" s="121">
        <v>3</v>
      </c>
      <c r="F329" s="121">
        <v>1</v>
      </c>
      <c r="G329" s="121">
        <v>1</v>
      </c>
      <c r="H329" s="41"/>
      <c r="I329" s="18">
        <f t="shared" si="5"/>
        <v>96</v>
      </c>
    </row>
    <row r="330" spans="1:9" x14ac:dyDescent="0.35">
      <c r="A330" s="118" t="s">
        <v>905</v>
      </c>
      <c r="B330" s="118" t="s">
        <v>906</v>
      </c>
      <c r="C330" s="118" t="s">
        <v>1294</v>
      </c>
      <c r="D330" s="121">
        <v>12</v>
      </c>
      <c r="E330" s="121"/>
      <c r="F330" s="121"/>
      <c r="G330" s="121"/>
      <c r="H330" s="41"/>
      <c r="I330" s="18">
        <f t="shared" si="5"/>
        <v>12</v>
      </c>
    </row>
    <row r="331" spans="1:9" x14ac:dyDescent="0.35">
      <c r="A331" s="118" t="s">
        <v>907</v>
      </c>
      <c r="B331" s="118" t="s">
        <v>908</v>
      </c>
      <c r="C331" s="118" t="s">
        <v>1294</v>
      </c>
      <c r="D331" s="121">
        <v>395</v>
      </c>
      <c r="E331" s="121">
        <v>11</v>
      </c>
      <c r="F331" s="121">
        <v>2</v>
      </c>
      <c r="G331" s="121">
        <v>2</v>
      </c>
      <c r="H331" s="41"/>
      <c r="I331" s="18">
        <f t="shared" si="5"/>
        <v>410</v>
      </c>
    </row>
    <row r="332" spans="1:9" x14ac:dyDescent="0.35">
      <c r="A332" s="118" t="s">
        <v>909</v>
      </c>
      <c r="B332" s="118" t="s">
        <v>910</v>
      </c>
      <c r="C332" s="118" t="s">
        <v>1294</v>
      </c>
      <c r="D332" s="121">
        <v>1456</v>
      </c>
      <c r="E332" s="121">
        <v>151</v>
      </c>
      <c r="F332" s="121">
        <v>49</v>
      </c>
      <c r="G332" s="121">
        <v>24</v>
      </c>
      <c r="H332" s="41"/>
      <c r="I332" s="18">
        <f t="shared" si="5"/>
        <v>1680</v>
      </c>
    </row>
    <row r="333" spans="1:9" x14ac:dyDescent="0.35">
      <c r="A333" s="118" t="s">
        <v>911</v>
      </c>
      <c r="B333" s="118" t="s">
        <v>912</v>
      </c>
      <c r="C333" s="118" t="s">
        <v>1294</v>
      </c>
      <c r="D333" s="121">
        <v>594</v>
      </c>
      <c r="E333" s="121">
        <v>54</v>
      </c>
      <c r="F333" s="121">
        <v>16</v>
      </c>
      <c r="G333" s="121">
        <v>8</v>
      </c>
      <c r="H333" s="41"/>
      <c r="I333" s="18">
        <f t="shared" si="5"/>
        <v>672</v>
      </c>
    </row>
    <row r="334" spans="1:9" x14ac:dyDescent="0.35">
      <c r="A334" s="118" t="s">
        <v>913</v>
      </c>
      <c r="B334" s="118" t="s">
        <v>914</v>
      </c>
      <c r="C334" s="118" t="s">
        <v>1294</v>
      </c>
      <c r="D334" s="121">
        <v>278</v>
      </c>
      <c r="E334" s="121">
        <v>30</v>
      </c>
      <c r="F334" s="121">
        <v>10</v>
      </c>
      <c r="G334" s="121">
        <v>9</v>
      </c>
      <c r="H334" s="41"/>
      <c r="I334" s="18">
        <f t="shared" si="5"/>
        <v>327</v>
      </c>
    </row>
    <row r="335" spans="1:9" x14ac:dyDescent="0.35">
      <c r="A335" s="118" t="s">
        <v>915</v>
      </c>
      <c r="B335" s="118" t="s">
        <v>916</v>
      </c>
      <c r="C335" s="118" t="s">
        <v>1294</v>
      </c>
      <c r="D335" s="121">
        <v>260</v>
      </c>
      <c r="E335" s="121">
        <v>19</v>
      </c>
      <c r="F335" s="121">
        <v>7</v>
      </c>
      <c r="G335" s="121">
        <v>4</v>
      </c>
      <c r="H335" s="41"/>
      <c r="I335" s="18">
        <f t="shared" si="5"/>
        <v>290</v>
      </c>
    </row>
    <row r="336" spans="1:9" x14ac:dyDescent="0.35">
      <c r="A336" s="118" t="s">
        <v>917</v>
      </c>
      <c r="B336" s="118" t="s">
        <v>918</v>
      </c>
      <c r="C336" s="118" t="s">
        <v>1294</v>
      </c>
      <c r="D336" s="121">
        <v>121</v>
      </c>
      <c r="E336" s="121">
        <v>5</v>
      </c>
      <c r="F336" s="121">
        <v>1</v>
      </c>
      <c r="G336" s="121"/>
      <c r="H336" s="41"/>
      <c r="I336" s="18">
        <f t="shared" si="5"/>
        <v>127</v>
      </c>
    </row>
    <row r="337" spans="1:9" x14ac:dyDescent="0.35">
      <c r="A337" s="118" t="s">
        <v>919</v>
      </c>
      <c r="B337" s="118" t="s">
        <v>920</v>
      </c>
      <c r="C337" s="118" t="s">
        <v>1294</v>
      </c>
      <c r="D337" s="121">
        <v>11</v>
      </c>
      <c r="E337" s="121"/>
      <c r="F337" s="121"/>
      <c r="G337" s="121"/>
      <c r="H337" s="41"/>
      <c r="I337" s="18">
        <f t="shared" si="5"/>
        <v>11</v>
      </c>
    </row>
    <row r="338" spans="1:9" x14ac:dyDescent="0.35">
      <c r="A338" s="118" t="s">
        <v>921</v>
      </c>
      <c r="B338" s="118" t="s">
        <v>1251</v>
      </c>
      <c r="C338" s="118" t="s">
        <v>1294</v>
      </c>
      <c r="D338" s="121">
        <v>62</v>
      </c>
      <c r="E338" s="121">
        <v>2</v>
      </c>
      <c r="F338" s="121">
        <v>6</v>
      </c>
      <c r="G338" s="121"/>
      <c r="H338" s="41"/>
      <c r="I338" s="18">
        <f t="shared" si="5"/>
        <v>70</v>
      </c>
    </row>
    <row r="339" spans="1:9" x14ac:dyDescent="0.35">
      <c r="A339" s="118" t="s">
        <v>922</v>
      </c>
      <c r="B339" s="118" t="s">
        <v>923</v>
      </c>
      <c r="C339" s="118" t="s">
        <v>1294</v>
      </c>
      <c r="D339" s="121"/>
      <c r="E339" s="121"/>
      <c r="F339" s="121"/>
      <c r="G339" s="121">
        <v>2</v>
      </c>
      <c r="H339" s="41"/>
      <c r="I339" s="18">
        <f t="shared" si="5"/>
        <v>2</v>
      </c>
    </row>
    <row r="340" spans="1:9" x14ac:dyDescent="0.35">
      <c r="A340" s="118" t="s">
        <v>924</v>
      </c>
      <c r="B340" s="118" t="s">
        <v>925</v>
      </c>
      <c r="C340" s="118" t="s">
        <v>1294</v>
      </c>
      <c r="D340" s="121">
        <v>2</v>
      </c>
      <c r="E340" s="121"/>
      <c r="F340" s="121"/>
      <c r="G340" s="121">
        <v>1</v>
      </c>
      <c r="H340" s="41"/>
      <c r="I340" s="18">
        <f t="shared" si="5"/>
        <v>3</v>
      </c>
    </row>
    <row r="341" spans="1:9" x14ac:dyDescent="0.35">
      <c r="A341" s="118" t="s">
        <v>926</v>
      </c>
      <c r="B341" s="118" t="s">
        <v>927</v>
      </c>
      <c r="C341" s="118" t="s">
        <v>1294</v>
      </c>
      <c r="D341" s="121">
        <v>5</v>
      </c>
      <c r="E341" s="121">
        <v>1</v>
      </c>
      <c r="F341" s="121"/>
      <c r="G341" s="121">
        <v>3</v>
      </c>
      <c r="H341" s="41"/>
      <c r="I341" s="18">
        <f t="shared" si="5"/>
        <v>9</v>
      </c>
    </row>
    <row r="342" spans="1:9" x14ac:dyDescent="0.35">
      <c r="A342" s="118" t="s">
        <v>928</v>
      </c>
      <c r="B342" s="118" t="s">
        <v>929</v>
      </c>
      <c r="C342" s="118" t="s">
        <v>1294</v>
      </c>
      <c r="D342" s="121">
        <v>5</v>
      </c>
      <c r="E342" s="121"/>
      <c r="F342" s="121">
        <v>1</v>
      </c>
      <c r="G342" s="121">
        <v>1</v>
      </c>
      <c r="H342" s="41"/>
      <c r="I342" s="18">
        <f t="shared" si="5"/>
        <v>7</v>
      </c>
    </row>
    <row r="343" spans="1:9" x14ac:dyDescent="0.35">
      <c r="A343" s="118" t="s">
        <v>930</v>
      </c>
      <c r="B343" s="118" t="s">
        <v>931</v>
      </c>
      <c r="C343" s="118" t="s">
        <v>1294</v>
      </c>
      <c r="D343" s="121">
        <v>36</v>
      </c>
      <c r="E343" s="121">
        <v>3</v>
      </c>
      <c r="F343" s="121">
        <v>1</v>
      </c>
      <c r="G343" s="121"/>
      <c r="H343" s="41"/>
      <c r="I343" s="18">
        <f t="shared" si="5"/>
        <v>40</v>
      </c>
    </row>
    <row r="344" spans="1:9" x14ac:dyDescent="0.35">
      <c r="A344" s="118" t="s">
        <v>932</v>
      </c>
      <c r="B344" s="118" t="s">
        <v>933</v>
      </c>
      <c r="C344" s="118" t="s">
        <v>1294</v>
      </c>
      <c r="D344" s="121">
        <v>169</v>
      </c>
      <c r="E344" s="121">
        <v>21</v>
      </c>
      <c r="F344" s="121">
        <v>9</v>
      </c>
      <c r="G344" s="121">
        <v>3</v>
      </c>
      <c r="H344" s="41"/>
      <c r="I344" s="18">
        <f t="shared" si="5"/>
        <v>202</v>
      </c>
    </row>
    <row r="345" spans="1:9" x14ac:dyDescent="0.35">
      <c r="A345" s="118" t="s">
        <v>934</v>
      </c>
      <c r="B345" s="118" t="s">
        <v>935</v>
      </c>
      <c r="C345" s="118" t="s">
        <v>1294</v>
      </c>
      <c r="D345" s="121">
        <v>267</v>
      </c>
      <c r="E345" s="121">
        <v>26</v>
      </c>
      <c r="F345" s="121">
        <v>13</v>
      </c>
      <c r="G345" s="121">
        <v>4</v>
      </c>
      <c r="H345" s="41"/>
      <c r="I345" s="18">
        <f t="shared" si="5"/>
        <v>310</v>
      </c>
    </row>
    <row r="346" spans="1:9" x14ac:dyDescent="0.35">
      <c r="A346" s="118" t="s">
        <v>936</v>
      </c>
      <c r="B346" s="118" t="s">
        <v>1252</v>
      </c>
      <c r="C346" s="118" t="s">
        <v>1294</v>
      </c>
      <c r="D346" s="121">
        <v>33</v>
      </c>
      <c r="E346" s="121">
        <v>2</v>
      </c>
      <c r="F346" s="121"/>
      <c r="G346" s="121">
        <v>2</v>
      </c>
      <c r="H346" s="41"/>
      <c r="I346" s="18">
        <f t="shared" si="5"/>
        <v>37</v>
      </c>
    </row>
    <row r="347" spans="1:9" x14ac:dyDescent="0.35">
      <c r="A347" s="118" t="s">
        <v>937</v>
      </c>
      <c r="B347" s="118" t="s">
        <v>938</v>
      </c>
      <c r="C347" s="118" t="s">
        <v>1294</v>
      </c>
      <c r="D347" s="121">
        <v>6</v>
      </c>
      <c r="E347" s="121"/>
      <c r="F347" s="121"/>
      <c r="G347" s="121">
        <v>2</v>
      </c>
      <c r="H347" s="41"/>
      <c r="I347" s="18">
        <f t="shared" si="5"/>
        <v>8</v>
      </c>
    </row>
    <row r="348" spans="1:9" x14ac:dyDescent="0.35">
      <c r="A348" s="118" t="s">
        <v>1199</v>
      </c>
      <c r="B348" s="118" t="s">
        <v>1253</v>
      </c>
      <c r="C348" s="118" t="s">
        <v>1294</v>
      </c>
      <c r="D348" s="121"/>
      <c r="E348" s="121"/>
      <c r="F348" s="121"/>
      <c r="G348" s="121">
        <v>1</v>
      </c>
      <c r="H348" s="41"/>
      <c r="I348" s="18">
        <f t="shared" si="5"/>
        <v>1</v>
      </c>
    </row>
    <row r="349" spans="1:9" x14ac:dyDescent="0.35">
      <c r="A349" s="118" t="s">
        <v>940</v>
      </c>
      <c r="B349" s="118" t="s">
        <v>941</v>
      </c>
      <c r="C349" s="118" t="s">
        <v>1294</v>
      </c>
      <c r="D349" s="121">
        <v>6</v>
      </c>
      <c r="E349" s="121">
        <v>1</v>
      </c>
      <c r="F349" s="121"/>
      <c r="G349" s="121"/>
      <c r="H349" s="41"/>
      <c r="I349" s="18">
        <f t="shared" si="5"/>
        <v>7</v>
      </c>
    </row>
    <row r="350" spans="1:9" x14ac:dyDescent="0.35">
      <c r="A350" s="118" t="s">
        <v>942</v>
      </c>
      <c r="B350" s="118" t="s">
        <v>1254</v>
      </c>
      <c r="C350" s="118" t="s">
        <v>1294</v>
      </c>
      <c r="D350" s="121">
        <v>10</v>
      </c>
      <c r="E350" s="121"/>
      <c r="F350" s="121"/>
      <c r="G350" s="121"/>
      <c r="H350" s="41"/>
      <c r="I350" s="18">
        <f t="shared" si="5"/>
        <v>10</v>
      </c>
    </row>
    <row r="351" spans="1:9" x14ac:dyDescent="0.35">
      <c r="A351" s="118" t="s">
        <v>1379</v>
      </c>
      <c r="B351" s="118" t="s">
        <v>1380</v>
      </c>
      <c r="C351" s="118" t="s">
        <v>1294</v>
      </c>
      <c r="D351" s="121">
        <v>1</v>
      </c>
      <c r="E351" s="121"/>
      <c r="F351" s="121"/>
      <c r="G351" s="121"/>
      <c r="H351" s="41"/>
      <c r="I351" s="18">
        <f t="shared" si="5"/>
        <v>1</v>
      </c>
    </row>
    <row r="352" spans="1:9" x14ac:dyDescent="0.35">
      <c r="A352" s="118" t="s">
        <v>943</v>
      </c>
      <c r="B352" s="118" t="s">
        <v>1255</v>
      </c>
      <c r="C352" s="118" t="s">
        <v>1294</v>
      </c>
      <c r="D352" s="121"/>
      <c r="E352" s="121"/>
      <c r="F352" s="121"/>
      <c r="G352" s="121">
        <v>1</v>
      </c>
      <c r="H352" s="41"/>
      <c r="I352" s="18">
        <f t="shared" si="5"/>
        <v>1</v>
      </c>
    </row>
    <row r="353" spans="1:9" x14ac:dyDescent="0.35">
      <c r="A353" s="118" t="s">
        <v>944</v>
      </c>
      <c r="B353" s="118" t="s">
        <v>945</v>
      </c>
      <c r="C353" s="118" t="s">
        <v>1294</v>
      </c>
      <c r="D353" s="121">
        <v>2</v>
      </c>
      <c r="E353" s="121"/>
      <c r="F353" s="121"/>
      <c r="G353" s="121"/>
      <c r="H353" s="41"/>
      <c r="I353" s="18">
        <f t="shared" si="5"/>
        <v>2</v>
      </c>
    </row>
    <row r="354" spans="1:9" x14ac:dyDescent="0.35">
      <c r="A354" s="118" t="s">
        <v>946</v>
      </c>
      <c r="B354" s="118" t="s">
        <v>947</v>
      </c>
      <c r="C354" s="118" t="s">
        <v>1294</v>
      </c>
      <c r="D354" s="121">
        <v>12</v>
      </c>
      <c r="E354" s="121"/>
      <c r="F354" s="121">
        <v>1</v>
      </c>
      <c r="G354" s="121">
        <v>2</v>
      </c>
      <c r="H354" s="41"/>
      <c r="I354" s="18">
        <f t="shared" si="5"/>
        <v>15</v>
      </c>
    </row>
    <row r="355" spans="1:9" x14ac:dyDescent="0.35">
      <c r="A355" s="118" t="s">
        <v>948</v>
      </c>
      <c r="B355" s="118" t="s">
        <v>949</v>
      </c>
      <c r="C355" s="118" t="s">
        <v>1294</v>
      </c>
      <c r="D355" s="121">
        <v>101</v>
      </c>
      <c r="E355" s="121">
        <v>18</v>
      </c>
      <c r="F355" s="121">
        <v>3</v>
      </c>
      <c r="G355" s="121">
        <v>9</v>
      </c>
      <c r="H355" s="41"/>
      <c r="I355" s="18">
        <f t="shared" si="5"/>
        <v>131</v>
      </c>
    </row>
    <row r="356" spans="1:9" x14ac:dyDescent="0.35">
      <c r="A356" s="118" t="s">
        <v>950</v>
      </c>
      <c r="B356" s="118" t="s">
        <v>1256</v>
      </c>
      <c r="C356" s="118" t="s">
        <v>1294</v>
      </c>
      <c r="D356" s="121">
        <v>5</v>
      </c>
      <c r="E356" s="121"/>
      <c r="F356" s="121"/>
      <c r="G356" s="121"/>
      <c r="H356" s="41"/>
      <c r="I356" s="18">
        <f t="shared" si="5"/>
        <v>5</v>
      </c>
    </row>
    <row r="357" spans="1:9" x14ac:dyDescent="0.35">
      <c r="A357" s="118" t="s">
        <v>951</v>
      </c>
      <c r="B357" s="118" t="s">
        <v>952</v>
      </c>
      <c r="C357" s="118" t="s">
        <v>1294</v>
      </c>
      <c r="D357" s="121">
        <v>81</v>
      </c>
      <c r="E357" s="121">
        <v>7</v>
      </c>
      <c r="F357" s="121">
        <v>1</v>
      </c>
      <c r="G357" s="121"/>
      <c r="H357" s="41"/>
      <c r="I357" s="18">
        <f t="shared" si="5"/>
        <v>89</v>
      </c>
    </row>
    <row r="358" spans="1:9" x14ac:dyDescent="0.35">
      <c r="A358" s="118" t="s">
        <v>953</v>
      </c>
      <c r="B358" s="118" t="s">
        <v>954</v>
      </c>
      <c r="C358" s="118" t="s">
        <v>1294</v>
      </c>
      <c r="D358" s="121">
        <v>125</v>
      </c>
      <c r="E358" s="121">
        <v>8</v>
      </c>
      <c r="F358" s="121">
        <v>2</v>
      </c>
      <c r="G358" s="121">
        <v>5</v>
      </c>
      <c r="H358" s="41"/>
      <c r="I358" s="18">
        <f t="shared" si="5"/>
        <v>140</v>
      </c>
    </row>
    <row r="359" spans="1:9" x14ac:dyDescent="0.35">
      <c r="A359" s="118" t="s">
        <v>955</v>
      </c>
      <c r="B359" s="118" t="s">
        <v>956</v>
      </c>
      <c r="C359" s="118" t="s">
        <v>1294</v>
      </c>
      <c r="D359" s="121">
        <v>1092</v>
      </c>
      <c r="E359" s="121">
        <v>48</v>
      </c>
      <c r="F359" s="121">
        <v>10</v>
      </c>
      <c r="G359" s="121">
        <v>3</v>
      </c>
      <c r="H359" s="41"/>
      <c r="I359" s="18">
        <f t="shared" si="5"/>
        <v>1153</v>
      </c>
    </row>
    <row r="360" spans="1:9" x14ac:dyDescent="0.35">
      <c r="A360" s="118" t="s">
        <v>957</v>
      </c>
      <c r="B360" s="118" t="s">
        <v>958</v>
      </c>
      <c r="C360" s="118" t="s">
        <v>1294</v>
      </c>
      <c r="D360" s="121">
        <v>21</v>
      </c>
      <c r="E360" s="121">
        <v>7</v>
      </c>
      <c r="F360" s="121"/>
      <c r="G360" s="121"/>
      <c r="H360" s="41"/>
      <c r="I360" s="18">
        <f t="shared" si="5"/>
        <v>28</v>
      </c>
    </row>
    <row r="361" spans="1:9" x14ac:dyDescent="0.35">
      <c r="A361" s="118" t="s">
        <v>959</v>
      </c>
      <c r="B361" s="118" t="s">
        <v>960</v>
      </c>
      <c r="C361" s="118" t="s">
        <v>1294</v>
      </c>
      <c r="D361" s="121">
        <v>1</v>
      </c>
      <c r="E361" s="121"/>
      <c r="F361" s="121">
        <v>2</v>
      </c>
      <c r="G361" s="121">
        <v>3</v>
      </c>
      <c r="H361" s="41"/>
      <c r="I361" s="18">
        <f t="shared" si="5"/>
        <v>6</v>
      </c>
    </row>
    <row r="362" spans="1:9" x14ac:dyDescent="0.35">
      <c r="A362" s="118" t="s">
        <v>961</v>
      </c>
      <c r="B362" s="118" t="s">
        <v>962</v>
      </c>
      <c r="C362" s="118" t="s">
        <v>1294</v>
      </c>
      <c r="D362" s="121">
        <v>7891</v>
      </c>
      <c r="E362" s="121">
        <v>266</v>
      </c>
      <c r="F362" s="121">
        <v>53</v>
      </c>
      <c r="G362" s="121">
        <v>16</v>
      </c>
      <c r="H362" s="41"/>
      <c r="I362" s="18">
        <f t="shared" si="5"/>
        <v>8226</v>
      </c>
    </row>
    <row r="363" spans="1:9" x14ac:dyDescent="0.35">
      <c r="A363" s="118" t="s">
        <v>963</v>
      </c>
      <c r="B363" s="118" t="s">
        <v>1257</v>
      </c>
      <c r="C363" s="118" t="s">
        <v>1294</v>
      </c>
      <c r="D363" s="121">
        <v>1292</v>
      </c>
      <c r="E363" s="121">
        <v>61</v>
      </c>
      <c r="F363" s="121">
        <v>16</v>
      </c>
      <c r="G363" s="121">
        <v>5</v>
      </c>
      <c r="H363" s="41"/>
      <c r="I363" s="18">
        <f t="shared" si="5"/>
        <v>1374</v>
      </c>
    </row>
    <row r="364" spans="1:9" x14ac:dyDescent="0.35">
      <c r="A364" s="118" t="s">
        <v>964</v>
      </c>
      <c r="B364" s="118" t="s">
        <v>965</v>
      </c>
      <c r="C364" s="118" t="s">
        <v>1294</v>
      </c>
      <c r="D364" s="121">
        <v>1386</v>
      </c>
      <c r="E364" s="121">
        <v>54</v>
      </c>
      <c r="F364" s="121">
        <v>7</v>
      </c>
      <c r="G364" s="121">
        <v>1</v>
      </c>
      <c r="H364" s="41"/>
      <c r="I364" s="18">
        <f t="shared" si="5"/>
        <v>1448</v>
      </c>
    </row>
    <row r="365" spans="1:9" x14ac:dyDescent="0.35">
      <c r="A365" s="118" t="s">
        <v>966</v>
      </c>
      <c r="B365" s="118" t="s">
        <v>967</v>
      </c>
      <c r="C365" s="118" t="s">
        <v>1294</v>
      </c>
      <c r="D365" s="121">
        <v>550</v>
      </c>
      <c r="E365" s="121">
        <v>28</v>
      </c>
      <c r="F365" s="121">
        <v>2</v>
      </c>
      <c r="G365" s="121"/>
      <c r="H365" s="41"/>
      <c r="I365" s="18">
        <f t="shared" si="5"/>
        <v>580</v>
      </c>
    </row>
    <row r="366" spans="1:9" x14ac:dyDescent="0.35">
      <c r="A366" s="118" t="s">
        <v>968</v>
      </c>
      <c r="B366" s="118" t="s">
        <v>969</v>
      </c>
      <c r="C366" s="118" t="s">
        <v>1294</v>
      </c>
      <c r="D366" s="121">
        <v>2099</v>
      </c>
      <c r="E366" s="121">
        <v>86</v>
      </c>
      <c r="F366" s="121">
        <v>23</v>
      </c>
      <c r="G366" s="121">
        <v>10</v>
      </c>
      <c r="H366" s="41"/>
      <c r="I366" s="18">
        <f t="shared" si="5"/>
        <v>2218</v>
      </c>
    </row>
    <row r="367" spans="1:9" x14ac:dyDescent="0.35">
      <c r="A367" s="118" t="s">
        <v>970</v>
      </c>
      <c r="B367" s="118" t="s">
        <v>1258</v>
      </c>
      <c r="C367" s="118" t="s">
        <v>1294</v>
      </c>
      <c r="D367" s="121">
        <v>2483</v>
      </c>
      <c r="E367" s="121">
        <v>97</v>
      </c>
      <c r="F367" s="121">
        <v>16</v>
      </c>
      <c r="G367" s="121">
        <v>6</v>
      </c>
      <c r="H367" s="41"/>
      <c r="I367" s="18">
        <f t="shared" si="5"/>
        <v>2602</v>
      </c>
    </row>
    <row r="368" spans="1:9" x14ac:dyDescent="0.35">
      <c r="A368" s="118" t="s">
        <v>1200</v>
      </c>
      <c r="B368" s="118" t="s">
        <v>1259</v>
      </c>
      <c r="C368" s="118" t="s">
        <v>1294</v>
      </c>
      <c r="D368" s="121">
        <v>518</v>
      </c>
      <c r="E368" s="121">
        <v>42</v>
      </c>
      <c r="F368" s="121">
        <v>8</v>
      </c>
      <c r="G368" s="121"/>
      <c r="H368" s="41"/>
      <c r="I368" s="18">
        <f t="shared" si="5"/>
        <v>568</v>
      </c>
    </row>
    <row r="369" spans="1:9" x14ac:dyDescent="0.35">
      <c r="A369" s="118" t="s">
        <v>1201</v>
      </c>
      <c r="B369" s="118" t="s">
        <v>1260</v>
      </c>
      <c r="C369" s="118" t="s">
        <v>1294</v>
      </c>
      <c r="D369" s="121">
        <v>1080</v>
      </c>
      <c r="E369" s="121">
        <v>147</v>
      </c>
      <c r="F369" s="121">
        <v>53</v>
      </c>
      <c r="G369" s="121">
        <v>16</v>
      </c>
      <c r="H369" s="41"/>
      <c r="I369" s="18">
        <f t="shared" si="5"/>
        <v>1296</v>
      </c>
    </row>
    <row r="370" spans="1:9" x14ac:dyDescent="0.35">
      <c r="A370" s="118" t="s">
        <v>971</v>
      </c>
      <c r="B370" s="118" t="s">
        <v>972</v>
      </c>
      <c r="C370" s="118" t="s">
        <v>1294</v>
      </c>
      <c r="D370" s="121">
        <v>122</v>
      </c>
      <c r="E370" s="121">
        <v>37</v>
      </c>
      <c r="F370" s="121">
        <v>5</v>
      </c>
      <c r="G370" s="121">
        <v>1</v>
      </c>
      <c r="H370" s="41"/>
      <c r="I370" s="18">
        <f t="shared" si="5"/>
        <v>165</v>
      </c>
    </row>
    <row r="371" spans="1:9" x14ac:dyDescent="0.35">
      <c r="A371" s="118" t="s">
        <v>973</v>
      </c>
      <c r="B371" s="118" t="s">
        <v>1261</v>
      </c>
      <c r="C371" s="118" t="s">
        <v>1294</v>
      </c>
      <c r="D371" s="121">
        <v>84</v>
      </c>
      <c r="E371" s="121">
        <v>6</v>
      </c>
      <c r="F371" s="121">
        <v>1</v>
      </c>
      <c r="G371" s="121">
        <v>1</v>
      </c>
      <c r="H371" s="41"/>
      <c r="I371" s="18">
        <f t="shared" si="5"/>
        <v>92</v>
      </c>
    </row>
    <row r="372" spans="1:9" x14ac:dyDescent="0.35">
      <c r="A372" s="118" t="s">
        <v>974</v>
      </c>
      <c r="B372" s="118" t="s">
        <v>975</v>
      </c>
      <c r="C372" s="118" t="s">
        <v>1294</v>
      </c>
      <c r="D372" s="121">
        <v>58</v>
      </c>
      <c r="E372" s="121">
        <v>4</v>
      </c>
      <c r="F372" s="121"/>
      <c r="G372" s="121"/>
      <c r="H372" s="41"/>
      <c r="I372" s="18">
        <f t="shared" si="5"/>
        <v>62</v>
      </c>
    </row>
    <row r="373" spans="1:9" x14ac:dyDescent="0.35">
      <c r="A373" s="118" t="s">
        <v>976</v>
      </c>
      <c r="B373" s="118" t="s">
        <v>977</v>
      </c>
      <c r="C373" s="118" t="s">
        <v>1294</v>
      </c>
      <c r="D373" s="121">
        <v>1540</v>
      </c>
      <c r="E373" s="121">
        <v>58</v>
      </c>
      <c r="F373" s="121">
        <v>13</v>
      </c>
      <c r="G373" s="121">
        <v>5</v>
      </c>
      <c r="H373" s="41"/>
      <c r="I373" s="18">
        <f t="shared" si="5"/>
        <v>1616</v>
      </c>
    </row>
    <row r="374" spans="1:9" x14ac:dyDescent="0.35">
      <c r="A374" s="118" t="s">
        <v>978</v>
      </c>
      <c r="B374" s="118" t="s">
        <v>979</v>
      </c>
      <c r="C374" s="118" t="s">
        <v>1294</v>
      </c>
      <c r="D374" s="121">
        <v>40</v>
      </c>
      <c r="E374" s="121">
        <v>2</v>
      </c>
      <c r="F374" s="121">
        <v>2</v>
      </c>
      <c r="G374" s="121"/>
      <c r="H374" s="41"/>
      <c r="I374" s="18">
        <f t="shared" si="5"/>
        <v>44</v>
      </c>
    </row>
    <row r="375" spans="1:9" x14ac:dyDescent="0.35">
      <c r="A375" s="118" t="s">
        <v>980</v>
      </c>
      <c r="B375" s="118" t="s">
        <v>1262</v>
      </c>
      <c r="C375" s="118" t="s">
        <v>1294</v>
      </c>
      <c r="D375" s="121">
        <v>496</v>
      </c>
      <c r="E375" s="121">
        <v>26</v>
      </c>
      <c r="F375" s="121">
        <v>2</v>
      </c>
      <c r="G375" s="121"/>
      <c r="H375" s="41"/>
      <c r="I375" s="18">
        <f t="shared" si="5"/>
        <v>524</v>
      </c>
    </row>
    <row r="376" spans="1:9" x14ac:dyDescent="0.35">
      <c r="A376" s="118" t="s">
        <v>981</v>
      </c>
      <c r="B376" s="118" t="s">
        <v>982</v>
      </c>
      <c r="C376" s="118" t="s">
        <v>1294</v>
      </c>
      <c r="D376" s="121">
        <v>253</v>
      </c>
      <c r="E376" s="121">
        <v>4</v>
      </c>
      <c r="F376" s="121"/>
      <c r="G376" s="121"/>
      <c r="H376" s="41"/>
      <c r="I376" s="18">
        <f t="shared" si="5"/>
        <v>257</v>
      </c>
    </row>
    <row r="377" spans="1:9" x14ac:dyDescent="0.35">
      <c r="A377" s="118" t="s">
        <v>983</v>
      </c>
      <c r="B377" s="118" t="s">
        <v>984</v>
      </c>
      <c r="C377" s="118" t="s">
        <v>1294</v>
      </c>
      <c r="D377" s="121">
        <v>1291</v>
      </c>
      <c r="E377" s="121">
        <v>49</v>
      </c>
      <c r="F377" s="121">
        <v>15</v>
      </c>
      <c r="G377" s="121">
        <v>2</v>
      </c>
      <c r="H377" s="41"/>
      <c r="I377" s="18">
        <f t="shared" si="5"/>
        <v>1357</v>
      </c>
    </row>
    <row r="378" spans="1:9" x14ac:dyDescent="0.35">
      <c r="A378" s="118" t="s">
        <v>985</v>
      </c>
      <c r="B378" s="118" t="s">
        <v>219</v>
      </c>
      <c r="C378" s="118" t="s">
        <v>1294</v>
      </c>
      <c r="D378" s="121">
        <v>355</v>
      </c>
      <c r="E378" s="121">
        <v>11</v>
      </c>
      <c r="F378" s="121">
        <v>1</v>
      </c>
      <c r="G378" s="121"/>
      <c r="H378" s="41"/>
      <c r="I378" s="18">
        <f t="shared" si="5"/>
        <v>367</v>
      </c>
    </row>
    <row r="379" spans="1:9" x14ac:dyDescent="0.35">
      <c r="A379" s="118" t="s">
        <v>986</v>
      </c>
      <c r="B379" s="118" t="s">
        <v>987</v>
      </c>
      <c r="C379" s="118" t="s">
        <v>1294</v>
      </c>
      <c r="D379" s="121">
        <v>185</v>
      </c>
      <c r="E379" s="121">
        <v>2</v>
      </c>
      <c r="F379" s="121"/>
      <c r="G379" s="121">
        <v>1</v>
      </c>
      <c r="H379" s="41"/>
      <c r="I379" s="18">
        <f t="shared" si="5"/>
        <v>188</v>
      </c>
    </row>
    <row r="380" spans="1:9" x14ac:dyDescent="0.35">
      <c r="A380" s="118" t="s">
        <v>988</v>
      </c>
      <c r="B380" s="118" t="s">
        <v>989</v>
      </c>
      <c r="C380" s="118" t="s">
        <v>1294</v>
      </c>
      <c r="D380" s="121">
        <v>26</v>
      </c>
      <c r="E380" s="121"/>
      <c r="F380" s="121"/>
      <c r="G380" s="121"/>
      <c r="H380" s="41"/>
      <c r="I380" s="18">
        <f t="shared" si="5"/>
        <v>26</v>
      </c>
    </row>
    <row r="381" spans="1:9" x14ac:dyDescent="0.35">
      <c r="A381" s="118" t="s">
        <v>990</v>
      </c>
      <c r="B381" s="118" t="s">
        <v>1263</v>
      </c>
      <c r="C381" s="118" t="s">
        <v>1294</v>
      </c>
      <c r="D381" s="121">
        <v>7</v>
      </c>
      <c r="E381" s="121"/>
      <c r="F381" s="121"/>
      <c r="G381" s="121"/>
      <c r="H381" s="41"/>
      <c r="I381" s="18">
        <f t="shared" si="5"/>
        <v>7</v>
      </c>
    </row>
    <row r="382" spans="1:9" x14ac:dyDescent="0.35">
      <c r="A382" s="118" t="s">
        <v>991</v>
      </c>
      <c r="B382" s="118" t="s">
        <v>992</v>
      </c>
      <c r="C382" s="118" t="s">
        <v>1294</v>
      </c>
      <c r="D382" s="121">
        <v>157</v>
      </c>
      <c r="E382" s="121">
        <v>3</v>
      </c>
      <c r="F382" s="121"/>
      <c r="G382" s="121"/>
      <c r="H382" s="41"/>
      <c r="I382" s="18">
        <f t="shared" si="5"/>
        <v>160</v>
      </c>
    </row>
    <row r="383" spans="1:9" x14ac:dyDescent="0.35">
      <c r="A383" s="118" t="s">
        <v>993</v>
      </c>
      <c r="B383" s="118" t="s">
        <v>994</v>
      </c>
      <c r="C383" s="118" t="s">
        <v>1294</v>
      </c>
      <c r="D383" s="121">
        <v>388</v>
      </c>
      <c r="E383" s="121">
        <v>40</v>
      </c>
      <c r="F383" s="121">
        <v>14</v>
      </c>
      <c r="G383" s="121">
        <v>5</v>
      </c>
      <c r="H383" s="41"/>
      <c r="I383" s="18">
        <f t="shared" si="5"/>
        <v>447</v>
      </c>
    </row>
    <row r="384" spans="1:9" x14ac:dyDescent="0.35">
      <c r="A384" s="118" t="s">
        <v>995</v>
      </c>
      <c r="B384" s="118" t="s">
        <v>996</v>
      </c>
      <c r="C384" s="118" t="s">
        <v>1294</v>
      </c>
      <c r="D384" s="121">
        <v>21</v>
      </c>
      <c r="E384" s="121">
        <v>4</v>
      </c>
      <c r="F384" s="121"/>
      <c r="G384" s="121"/>
      <c r="H384" s="41"/>
      <c r="I384" s="18">
        <f t="shared" si="5"/>
        <v>25</v>
      </c>
    </row>
    <row r="385" spans="1:9" x14ac:dyDescent="0.35">
      <c r="A385" s="118" t="s">
        <v>997</v>
      </c>
      <c r="B385" s="118" t="s">
        <v>1264</v>
      </c>
      <c r="C385" s="118" t="s">
        <v>1294</v>
      </c>
      <c r="D385" s="121">
        <v>36</v>
      </c>
      <c r="E385" s="121">
        <v>1</v>
      </c>
      <c r="F385" s="121">
        <v>1</v>
      </c>
      <c r="G385" s="121"/>
      <c r="H385" s="41"/>
      <c r="I385" s="18">
        <f t="shared" si="5"/>
        <v>38</v>
      </c>
    </row>
    <row r="386" spans="1:9" x14ac:dyDescent="0.35">
      <c r="A386" s="118" t="s">
        <v>998</v>
      </c>
      <c r="B386" s="118" t="s">
        <v>1265</v>
      </c>
      <c r="C386" s="118" t="s">
        <v>1294</v>
      </c>
      <c r="D386" s="121">
        <v>27</v>
      </c>
      <c r="E386" s="121">
        <v>7</v>
      </c>
      <c r="F386" s="121">
        <v>6</v>
      </c>
      <c r="G386" s="121">
        <v>19</v>
      </c>
      <c r="H386" s="41"/>
      <c r="I386" s="18">
        <f t="shared" si="5"/>
        <v>59</v>
      </c>
    </row>
    <row r="387" spans="1:9" x14ac:dyDescent="0.35">
      <c r="A387" s="118" t="s">
        <v>999</v>
      </c>
      <c r="B387" s="118" t="s">
        <v>1266</v>
      </c>
      <c r="C387" s="118" t="s">
        <v>1294</v>
      </c>
      <c r="D387" s="121">
        <v>66</v>
      </c>
      <c r="E387" s="121">
        <v>6</v>
      </c>
      <c r="F387" s="121">
        <v>2</v>
      </c>
      <c r="G387" s="121">
        <v>1</v>
      </c>
      <c r="H387" s="41"/>
      <c r="I387" s="18">
        <f t="shared" si="5"/>
        <v>75</v>
      </c>
    </row>
    <row r="388" spans="1:9" x14ac:dyDescent="0.35">
      <c r="A388" s="118" t="s">
        <v>1000</v>
      </c>
      <c r="B388" s="118" t="s">
        <v>1001</v>
      </c>
      <c r="C388" s="118" t="s">
        <v>1294</v>
      </c>
      <c r="D388" s="121">
        <v>830</v>
      </c>
      <c r="E388" s="121">
        <v>22</v>
      </c>
      <c r="F388" s="121">
        <v>4</v>
      </c>
      <c r="G388" s="121"/>
      <c r="H388" s="41"/>
      <c r="I388" s="18">
        <f t="shared" si="5"/>
        <v>856</v>
      </c>
    </row>
    <row r="389" spans="1:9" x14ac:dyDescent="0.35">
      <c r="A389" s="118" t="s">
        <v>1002</v>
      </c>
      <c r="B389" s="118" t="s">
        <v>1003</v>
      </c>
      <c r="C389" s="118" t="s">
        <v>1294</v>
      </c>
      <c r="D389" s="121">
        <v>666</v>
      </c>
      <c r="E389" s="121">
        <v>12</v>
      </c>
      <c r="F389" s="121">
        <v>3</v>
      </c>
      <c r="G389" s="121"/>
      <c r="H389" s="41"/>
      <c r="I389" s="18">
        <f t="shared" ref="I389:I452" si="6">SUM(D389:H389)</f>
        <v>681</v>
      </c>
    </row>
    <row r="390" spans="1:9" x14ac:dyDescent="0.35">
      <c r="A390" s="118" t="s">
        <v>1004</v>
      </c>
      <c r="B390" s="118" t="s">
        <v>1005</v>
      </c>
      <c r="C390" s="118" t="s">
        <v>1294</v>
      </c>
      <c r="D390" s="121">
        <v>171</v>
      </c>
      <c r="E390" s="121">
        <v>3</v>
      </c>
      <c r="F390" s="121"/>
      <c r="G390" s="121"/>
      <c r="H390" s="41"/>
      <c r="I390" s="18">
        <f t="shared" si="6"/>
        <v>174</v>
      </c>
    </row>
    <row r="391" spans="1:9" x14ac:dyDescent="0.35">
      <c r="A391" s="118" t="s">
        <v>1006</v>
      </c>
      <c r="B391" s="118" t="s">
        <v>1007</v>
      </c>
      <c r="C391" s="118" t="s">
        <v>1294</v>
      </c>
      <c r="D391" s="121">
        <v>33</v>
      </c>
      <c r="E391" s="121">
        <v>12</v>
      </c>
      <c r="F391" s="121">
        <v>11</v>
      </c>
      <c r="G391" s="121">
        <v>10</v>
      </c>
      <c r="H391" s="41"/>
      <c r="I391" s="18">
        <f t="shared" si="6"/>
        <v>66</v>
      </c>
    </row>
    <row r="392" spans="1:9" x14ac:dyDescent="0.35">
      <c r="A392" s="118" t="s">
        <v>1008</v>
      </c>
      <c r="B392" s="118" t="s">
        <v>1009</v>
      </c>
      <c r="C392" s="118" t="s">
        <v>1294</v>
      </c>
      <c r="D392" s="121">
        <v>179</v>
      </c>
      <c r="E392" s="121">
        <v>8</v>
      </c>
      <c r="F392" s="121">
        <v>2</v>
      </c>
      <c r="G392" s="121"/>
      <c r="H392" s="41"/>
      <c r="I392" s="18">
        <f t="shared" si="6"/>
        <v>189</v>
      </c>
    </row>
    <row r="393" spans="1:9" x14ac:dyDescent="0.35">
      <c r="A393" s="118" t="s">
        <v>1010</v>
      </c>
      <c r="B393" s="118" t="s">
        <v>1011</v>
      </c>
      <c r="C393" s="118" t="s">
        <v>1294</v>
      </c>
      <c r="D393" s="121">
        <v>21</v>
      </c>
      <c r="E393" s="121">
        <v>1</v>
      </c>
      <c r="F393" s="121"/>
      <c r="G393" s="121"/>
      <c r="H393" s="41"/>
      <c r="I393" s="18">
        <f t="shared" si="6"/>
        <v>22</v>
      </c>
    </row>
    <row r="394" spans="1:9" x14ac:dyDescent="0.35">
      <c r="A394" s="118" t="s">
        <v>1012</v>
      </c>
      <c r="B394" s="118" t="s">
        <v>1013</v>
      </c>
      <c r="C394" s="118" t="s">
        <v>1294</v>
      </c>
      <c r="D394" s="121">
        <v>69</v>
      </c>
      <c r="E394" s="121">
        <v>1</v>
      </c>
      <c r="F394" s="121"/>
      <c r="G394" s="121"/>
      <c r="H394" s="41"/>
      <c r="I394" s="18">
        <f t="shared" si="6"/>
        <v>70</v>
      </c>
    </row>
    <row r="395" spans="1:9" x14ac:dyDescent="0.35">
      <c r="A395" s="118" t="s">
        <v>1014</v>
      </c>
      <c r="B395" s="118" t="s">
        <v>1015</v>
      </c>
      <c r="C395" s="118" t="s">
        <v>1294</v>
      </c>
      <c r="D395" s="121">
        <v>118</v>
      </c>
      <c r="E395" s="121">
        <v>5</v>
      </c>
      <c r="F395" s="121">
        <v>7</v>
      </c>
      <c r="G395" s="121">
        <v>3</v>
      </c>
      <c r="H395" s="41"/>
      <c r="I395" s="18">
        <f t="shared" si="6"/>
        <v>133</v>
      </c>
    </row>
    <row r="396" spans="1:9" x14ac:dyDescent="0.35">
      <c r="A396" s="118" t="s">
        <v>1016</v>
      </c>
      <c r="B396" s="118" t="s">
        <v>1017</v>
      </c>
      <c r="C396" s="118" t="s">
        <v>1294</v>
      </c>
      <c r="D396" s="121">
        <v>228</v>
      </c>
      <c r="E396" s="121">
        <v>15</v>
      </c>
      <c r="F396" s="121">
        <v>1</v>
      </c>
      <c r="G396" s="121">
        <v>4</v>
      </c>
      <c r="H396" s="41"/>
      <c r="I396" s="18">
        <f t="shared" si="6"/>
        <v>248</v>
      </c>
    </row>
    <row r="397" spans="1:9" x14ac:dyDescent="0.35">
      <c r="A397" s="118" t="s">
        <v>1018</v>
      </c>
      <c r="B397" s="118" t="s">
        <v>1019</v>
      </c>
      <c r="C397" s="118" t="s">
        <v>1294</v>
      </c>
      <c r="D397" s="121">
        <v>144</v>
      </c>
      <c r="E397" s="121">
        <v>7</v>
      </c>
      <c r="F397" s="121"/>
      <c r="G397" s="121"/>
      <c r="H397" s="41"/>
      <c r="I397" s="18">
        <f t="shared" si="6"/>
        <v>151</v>
      </c>
    </row>
    <row r="398" spans="1:9" x14ac:dyDescent="0.35">
      <c r="A398" s="118" t="s">
        <v>1020</v>
      </c>
      <c r="B398" s="118" t="s">
        <v>1021</v>
      </c>
      <c r="C398" s="118" t="s">
        <v>1294</v>
      </c>
      <c r="D398" s="121">
        <v>275</v>
      </c>
      <c r="E398" s="121">
        <v>12</v>
      </c>
      <c r="F398" s="121"/>
      <c r="G398" s="121">
        <v>1</v>
      </c>
      <c r="H398" s="41"/>
      <c r="I398" s="18">
        <f t="shared" si="6"/>
        <v>288</v>
      </c>
    </row>
    <row r="399" spans="1:9" x14ac:dyDescent="0.35">
      <c r="A399" s="118" t="s">
        <v>1022</v>
      </c>
      <c r="B399" s="118" t="s">
        <v>1023</v>
      </c>
      <c r="C399" s="118" t="s">
        <v>1294</v>
      </c>
      <c r="D399" s="121">
        <v>93</v>
      </c>
      <c r="E399" s="121">
        <v>3</v>
      </c>
      <c r="F399" s="121"/>
      <c r="G399" s="121"/>
      <c r="H399" s="41"/>
      <c r="I399" s="18">
        <f t="shared" si="6"/>
        <v>96</v>
      </c>
    </row>
    <row r="400" spans="1:9" x14ac:dyDescent="0.35">
      <c r="A400" s="118" t="s">
        <v>1024</v>
      </c>
      <c r="B400" s="118" t="s">
        <v>1267</v>
      </c>
      <c r="C400" s="118" t="s">
        <v>1294</v>
      </c>
      <c r="D400" s="121">
        <v>205</v>
      </c>
      <c r="E400" s="121">
        <v>36</v>
      </c>
      <c r="F400" s="121">
        <v>13</v>
      </c>
      <c r="G400" s="121">
        <v>10</v>
      </c>
      <c r="H400" s="41"/>
      <c r="I400" s="18">
        <f t="shared" si="6"/>
        <v>264</v>
      </c>
    </row>
    <row r="401" spans="1:9" x14ac:dyDescent="0.35">
      <c r="A401" s="118" t="s">
        <v>1025</v>
      </c>
      <c r="B401" s="118" t="s">
        <v>1026</v>
      </c>
      <c r="C401" s="118" t="s">
        <v>1294</v>
      </c>
      <c r="D401" s="121">
        <v>426</v>
      </c>
      <c r="E401" s="121">
        <v>33</v>
      </c>
      <c r="F401" s="121">
        <v>9</v>
      </c>
      <c r="G401" s="121">
        <v>5</v>
      </c>
      <c r="H401" s="41"/>
      <c r="I401" s="18">
        <f t="shared" si="6"/>
        <v>473</v>
      </c>
    </row>
    <row r="402" spans="1:9" x14ac:dyDescent="0.35">
      <c r="A402" s="118" t="s">
        <v>1027</v>
      </c>
      <c r="B402" s="118" t="s">
        <v>1028</v>
      </c>
      <c r="C402" s="118" t="s">
        <v>1294</v>
      </c>
      <c r="D402" s="121">
        <v>41</v>
      </c>
      <c r="E402" s="121">
        <v>4</v>
      </c>
      <c r="F402" s="121">
        <v>2</v>
      </c>
      <c r="G402" s="121"/>
      <c r="H402" s="41"/>
      <c r="I402" s="18">
        <f t="shared" si="6"/>
        <v>47</v>
      </c>
    </row>
    <row r="403" spans="1:9" x14ac:dyDescent="0.35">
      <c r="A403" s="118" t="s">
        <v>1029</v>
      </c>
      <c r="B403" s="118" t="s">
        <v>1030</v>
      </c>
      <c r="C403" s="118" t="s">
        <v>1294</v>
      </c>
      <c r="D403" s="121">
        <v>29</v>
      </c>
      <c r="E403" s="121">
        <v>1</v>
      </c>
      <c r="F403" s="121">
        <v>3</v>
      </c>
      <c r="G403" s="121">
        <v>3</v>
      </c>
      <c r="H403" s="41"/>
      <c r="I403" s="18">
        <f t="shared" si="6"/>
        <v>36</v>
      </c>
    </row>
    <row r="404" spans="1:9" x14ac:dyDescent="0.35">
      <c r="A404" s="118" t="s">
        <v>1031</v>
      </c>
      <c r="B404" s="118" t="s">
        <v>1032</v>
      </c>
      <c r="C404" s="118" t="s">
        <v>1294</v>
      </c>
      <c r="D404" s="121">
        <v>1786</v>
      </c>
      <c r="E404" s="121">
        <v>49</v>
      </c>
      <c r="F404" s="121">
        <v>13</v>
      </c>
      <c r="G404" s="121">
        <v>5</v>
      </c>
      <c r="H404" s="41"/>
      <c r="I404" s="18">
        <f t="shared" si="6"/>
        <v>1853</v>
      </c>
    </row>
    <row r="405" spans="1:9" x14ac:dyDescent="0.35">
      <c r="A405" s="118" t="s">
        <v>1033</v>
      </c>
      <c r="B405" s="118" t="s">
        <v>1034</v>
      </c>
      <c r="C405" s="118" t="s">
        <v>1294</v>
      </c>
      <c r="D405" s="121">
        <v>2</v>
      </c>
      <c r="E405" s="121">
        <v>2</v>
      </c>
      <c r="F405" s="121"/>
      <c r="G405" s="121"/>
      <c r="H405" s="41"/>
      <c r="I405" s="18">
        <f t="shared" si="6"/>
        <v>4</v>
      </c>
    </row>
    <row r="406" spans="1:9" x14ac:dyDescent="0.35">
      <c r="A406" s="118" t="s">
        <v>1035</v>
      </c>
      <c r="B406" s="118" t="s">
        <v>1268</v>
      </c>
      <c r="C406" s="118" t="s">
        <v>1294</v>
      </c>
      <c r="D406" s="121">
        <v>12</v>
      </c>
      <c r="E406" s="121"/>
      <c r="F406" s="121"/>
      <c r="G406" s="121"/>
      <c r="H406" s="41"/>
      <c r="I406" s="18">
        <f t="shared" si="6"/>
        <v>12</v>
      </c>
    </row>
    <row r="407" spans="1:9" x14ac:dyDescent="0.35">
      <c r="A407" s="118" t="s">
        <v>1036</v>
      </c>
      <c r="B407" s="118" t="s">
        <v>1037</v>
      </c>
      <c r="C407" s="118" t="s">
        <v>1294</v>
      </c>
      <c r="D407" s="121">
        <v>5</v>
      </c>
      <c r="E407" s="121"/>
      <c r="F407" s="121"/>
      <c r="G407" s="121"/>
      <c r="H407" s="41"/>
      <c r="I407" s="18">
        <f t="shared" si="6"/>
        <v>5</v>
      </c>
    </row>
    <row r="408" spans="1:9" x14ac:dyDescent="0.35">
      <c r="A408" s="118" t="s">
        <v>1040</v>
      </c>
      <c r="B408" s="118" t="s">
        <v>1041</v>
      </c>
      <c r="C408" s="118" t="s">
        <v>1294</v>
      </c>
      <c r="D408" s="121">
        <v>7</v>
      </c>
      <c r="E408" s="121">
        <v>1</v>
      </c>
      <c r="F408" s="121"/>
      <c r="G408" s="121">
        <v>1</v>
      </c>
      <c r="H408" s="41"/>
      <c r="I408" s="18">
        <f t="shared" si="6"/>
        <v>9</v>
      </c>
    </row>
    <row r="409" spans="1:9" x14ac:dyDescent="0.35">
      <c r="A409" s="118" t="s">
        <v>1042</v>
      </c>
      <c r="B409" s="118" t="s">
        <v>1043</v>
      </c>
      <c r="C409" s="118" t="s">
        <v>1294</v>
      </c>
      <c r="D409" s="121">
        <v>56</v>
      </c>
      <c r="E409" s="121">
        <v>1</v>
      </c>
      <c r="F409" s="121"/>
      <c r="G409" s="121"/>
      <c r="H409" s="41"/>
      <c r="I409" s="18">
        <f t="shared" si="6"/>
        <v>57</v>
      </c>
    </row>
    <row r="410" spans="1:9" x14ac:dyDescent="0.35">
      <c r="A410" s="118" t="s">
        <v>1044</v>
      </c>
      <c r="B410" s="118" t="s">
        <v>1045</v>
      </c>
      <c r="C410" s="118" t="s">
        <v>1294</v>
      </c>
      <c r="D410" s="121">
        <v>105</v>
      </c>
      <c r="E410" s="121">
        <v>6</v>
      </c>
      <c r="F410" s="121">
        <v>1</v>
      </c>
      <c r="G410" s="121">
        <v>1</v>
      </c>
      <c r="H410" s="41"/>
      <c r="I410" s="18">
        <f t="shared" si="6"/>
        <v>113</v>
      </c>
    </row>
    <row r="411" spans="1:9" x14ac:dyDescent="0.35">
      <c r="A411" s="118" t="s">
        <v>1046</v>
      </c>
      <c r="B411" s="118" t="s">
        <v>1047</v>
      </c>
      <c r="C411" s="118" t="s">
        <v>1294</v>
      </c>
      <c r="D411" s="121">
        <v>13</v>
      </c>
      <c r="E411" s="121">
        <v>1</v>
      </c>
      <c r="F411" s="121"/>
      <c r="G411" s="121"/>
      <c r="H411" s="41"/>
      <c r="I411" s="18">
        <f t="shared" si="6"/>
        <v>14</v>
      </c>
    </row>
    <row r="412" spans="1:9" x14ac:dyDescent="0.35">
      <c r="A412" s="118" t="s">
        <v>1048</v>
      </c>
      <c r="B412" s="118" t="s">
        <v>1269</v>
      </c>
      <c r="C412" s="118" t="s">
        <v>1294</v>
      </c>
      <c r="D412" s="121">
        <v>10</v>
      </c>
      <c r="E412" s="121"/>
      <c r="F412" s="121"/>
      <c r="G412" s="121"/>
      <c r="H412" s="41"/>
      <c r="I412" s="18">
        <f t="shared" si="6"/>
        <v>10</v>
      </c>
    </row>
    <row r="413" spans="1:9" x14ac:dyDescent="0.35">
      <c r="A413" s="118" t="s">
        <v>1049</v>
      </c>
      <c r="B413" s="118" t="s">
        <v>1050</v>
      </c>
      <c r="C413" s="118" t="s">
        <v>1294</v>
      </c>
      <c r="D413" s="121">
        <v>4</v>
      </c>
      <c r="E413" s="121"/>
      <c r="F413" s="121"/>
      <c r="G413" s="121"/>
      <c r="H413" s="41"/>
      <c r="I413" s="18">
        <f t="shared" si="6"/>
        <v>4</v>
      </c>
    </row>
    <row r="414" spans="1:9" x14ac:dyDescent="0.35">
      <c r="A414" s="118" t="s">
        <v>1051</v>
      </c>
      <c r="B414" s="118" t="s">
        <v>1270</v>
      </c>
      <c r="C414" s="118" t="s">
        <v>1294</v>
      </c>
      <c r="D414" s="121">
        <v>28</v>
      </c>
      <c r="E414" s="121">
        <v>2</v>
      </c>
      <c r="F414" s="121">
        <v>1</v>
      </c>
      <c r="G414" s="121"/>
      <c r="H414" s="41"/>
      <c r="I414" s="18">
        <f t="shared" si="6"/>
        <v>31</v>
      </c>
    </row>
    <row r="415" spans="1:9" x14ac:dyDescent="0.35">
      <c r="A415" s="118" t="s">
        <v>1052</v>
      </c>
      <c r="B415" s="118" t="s">
        <v>1271</v>
      </c>
      <c r="C415" s="118" t="s">
        <v>1294</v>
      </c>
      <c r="D415" s="121">
        <v>47</v>
      </c>
      <c r="E415" s="121">
        <v>7</v>
      </c>
      <c r="F415" s="121">
        <v>2</v>
      </c>
      <c r="G415" s="121"/>
      <c r="H415" s="41"/>
      <c r="I415" s="18">
        <f t="shared" si="6"/>
        <v>56</v>
      </c>
    </row>
    <row r="416" spans="1:9" x14ac:dyDescent="0.35">
      <c r="A416" s="118" t="s">
        <v>1053</v>
      </c>
      <c r="B416" s="118" t="s">
        <v>1054</v>
      </c>
      <c r="C416" s="118" t="s">
        <v>1294</v>
      </c>
      <c r="D416" s="121">
        <v>10</v>
      </c>
      <c r="E416" s="121">
        <v>2</v>
      </c>
      <c r="F416" s="121"/>
      <c r="G416" s="121"/>
      <c r="H416" s="41"/>
      <c r="I416" s="18">
        <f t="shared" si="6"/>
        <v>12</v>
      </c>
    </row>
    <row r="417" spans="1:9" x14ac:dyDescent="0.35">
      <c r="A417" s="118" t="s">
        <v>1326</v>
      </c>
      <c r="B417" s="118" t="s">
        <v>1327</v>
      </c>
      <c r="C417" s="118" t="s">
        <v>1294</v>
      </c>
      <c r="D417" s="121">
        <v>2</v>
      </c>
      <c r="E417" s="121"/>
      <c r="F417" s="121"/>
      <c r="G417" s="121"/>
      <c r="H417" s="41"/>
      <c r="I417" s="18">
        <f t="shared" si="6"/>
        <v>2</v>
      </c>
    </row>
    <row r="418" spans="1:9" x14ac:dyDescent="0.35">
      <c r="A418" s="118" t="s">
        <v>1055</v>
      </c>
      <c r="B418" s="118" t="s">
        <v>1056</v>
      </c>
      <c r="C418" s="118" t="s">
        <v>1294</v>
      </c>
      <c r="D418" s="121">
        <v>4</v>
      </c>
      <c r="E418" s="121"/>
      <c r="F418" s="121"/>
      <c r="G418" s="121"/>
      <c r="H418" s="41"/>
      <c r="I418" s="18">
        <f t="shared" si="6"/>
        <v>4</v>
      </c>
    </row>
    <row r="419" spans="1:9" x14ac:dyDescent="0.35">
      <c r="A419" s="118" t="s">
        <v>1057</v>
      </c>
      <c r="B419" s="118" t="s">
        <v>1058</v>
      </c>
      <c r="C419" s="118" t="s">
        <v>1294</v>
      </c>
      <c r="D419" s="121">
        <v>4</v>
      </c>
      <c r="E419" s="121"/>
      <c r="F419" s="121"/>
      <c r="G419" s="121"/>
      <c r="H419" s="41"/>
      <c r="I419" s="18">
        <f t="shared" si="6"/>
        <v>4</v>
      </c>
    </row>
    <row r="420" spans="1:9" x14ac:dyDescent="0.35">
      <c r="A420" s="118" t="s">
        <v>1059</v>
      </c>
      <c r="B420" s="118" t="s">
        <v>1272</v>
      </c>
      <c r="C420" s="118" t="s">
        <v>1294</v>
      </c>
      <c r="D420" s="121">
        <v>196</v>
      </c>
      <c r="E420" s="121">
        <v>14</v>
      </c>
      <c r="F420" s="121">
        <v>4</v>
      </c>
      <c r="G420" s="121">
        <v>2</v>
      </c>
      <c r="H420" s="41"/>
      <c r="I420" s="18">
        <f t="shared" si="6"/>
        <v>216</v>
      </c>
    </row>
    <row r="421" spans="1:9" x14ac:dyDescent="0.35">
      <c r="A421" s="118" t="s">
        <v>1060</v>
      </c>
      <c r="B421" s="118" t="s">
        <v>1061</v>
      </c>
      <c r="C421" s="118" t="s">
        <v>1294</v>
      </c>
      <c r="D421" s="121">
        <v>181</v>
      </c>
      <c r="E421" s="121"/>
      <c r="F421" s="121">
        <v>1</v>
      </c>
      <c r="G421" s="121"/>
      <c r="H421" s="41"/>
      <c r="I421" s="18">
        <f t="shared" si="6"/>
        <v>182</v>
      </c>
    </row>
    <row r="422" spans="1:9" x14ac:dyDescent="0.35">
      <c r="A422" s="118" t="s">
        <v>1062</v>
      </c>
      <c r="B422" s="118" t="s">
        <v>1063</v>
      </c>
      <c r="C422" s="118" t="s">
        <v>1294</v>
      </c>
      <c r="D422" s="121">
        <v>91</v>
      </c>
      <c r="E422" s="121">
        <v>1</v>
      </c>
      <c r="F422" s="121"/>
      <c r="G422" s="121"/>
      <c r="H422" s="41"/>
      <c r="I422" s="18">
        <f t="shared" si="6"/>
        <v>92</v>
      </c>
    </row>
    <row r="423" spans="1:9" x14ac:dyDescent="0.35">
      <c r="A423" s="118" t="s">
        <v>1064</v>
      </c>
      <c r="B423" s="118" t="s">
        <v>1065</v>
      </c>
      <c r="C423" s="118" t="s">
        <v>1294</v>
      </c>
      <c r="D423" s="121">
        <v>397</v>
      </c>
      <c r="E423" s="121">
        <v>18</v>
      </c>
      <c r="F423" s="121">
        <v>2</v>
      </c>
      <c r="G423" s="121">
        <v>1</v>
      </c>
      <c r="H423" s="41"/>
      <c r="I423" s="18">
        <f t="shared" si="6"/>
        <v>418</v>
      </c>
    </row>
    <row r="424" spans="1:9" x14ac:dyDescent="0.35">
      <c r="A424" s="118" t="s">
        <v>1066</v>
      </c>
      <c r="B424" s="118" t="s">
        <v>1067</v>
      </c>
      <c r="C424" s="118" t="s">
        <v>1294</v>
      </c>
      <c r="D424" s="121">
        <v>111</v>
      </c>
      <c r="E424" s="121">
        <v>6</v>
      </c>
      <c r="F424" s="121">
        <v>1</v>
      </c>
      <c r="G424" s="121"/>
      <c r="H424" s="41"/>
      <c r="I424" s="18">
        <f t="shared" si="6"/>
        <v>118</v>
      </c>
    </row>
    <row r="425" spans="1:9" x14ac:dyDescent="0.35">
      <c r="A425" s="118" t="s">
        <v>1068</v>
      </c>
      <c r="B425" s="118" t="s">
        <v>1069</v>
      </c>
      <c r="C425" s="118" t="s">
        <v>1294</v>
      </c>
      <c r="D425" s="121">
        <v>62</v>
      </c>
      <c r="E425" s="121">
        <v>6</v>
      </c>
      <c r="F425" s="121">
        <v>5</v>
      </c>
      <c r="G425" s="121">
        <v>12</v>
      </c>
      <c r="H425" s="41"/>
      <c r="I425" s="18">
        <f t="shared" si="6"/>
        <v>85</v>
      </c>
    </row>
    <row r="426" spans="1:9" x14ac:dyDescent="0.35">
      <c r="A426" s="118" t="s">
        <v>1070</v>
      </c>
      <c r="B426" s="118" t="s">
        <v>1071</v>
      </c>
      <c r="C426" s="118" t="s">
        <v>1294</v>
      </c>
      <c r="D426" s="121">
        <v>837</v>
      </c>
      <c r="E426" s="121">
        <v>108</v>
      </c>
      <c r="F426" s="121">
        <v>35</v>
      </c>
      <c r="G426" s="121">
        <v>15</v>
      </c>
      <c r="H426" s="41"/>
      <c r="I426" s="18">
        <f t="shared" si="6"/>
        <v>995</v>
      </c>
    </row>
    <row r="427" spans="1:9" x14ac:dyDescent="0.35">
      <c r="A427" s="118" t="s">
        <v>1072</v>
      </c>
      <c r="B427" s="118" t="s">
        <v>1073</v>
      </c>
      <c r="C427" s="118" t="s">
        <v>1294</v>
      </c>
      <c r="D427" s="121">
        <v>468</v>
      </c>
      <c r="E427" s="121">
        <v>33</v>
      </c>
      <c r="F427" s="121">
        <v>9</v>
      </c>
      <c r="G427" s="121">
        <v>1</v>
      </c>
      <c r="H427" s="41"/>
      <c r="I427" s="18">
        <f t="shared" si="6"/>
        <v>511</v>
      </c>
    </row>
    <row r="428" spans="1:9" x14ac:dyDescent="0.35">
      <c r="A428" s="118" t="s">
        <v>1074</v>
      </c>
      <c r="B428" s="118" t="s">
        <v>1075</v>
      </c>
      <c r="C428" s="118" t="s">
        <v>1294</v>
      </c>
      <c r="D428" s="121">
        <v>156</v>
      </c>
      <c r="E428" s="121">
        <v>32</v>
      </c>
      <c r="F428" s="121">
        <v>15</v>
      </c>
      <c r="G428" s="121">
        <v>9</v>
      </c>
      <c r="H428" s="41"/>
      <c r="I428" s="18">
        <f t="shared" si="6"/>
        <v>212</v>
      </c>
    </row>
    <row r="429" spans="1:9" x14ac:dyDescent="0.35">
      <c r="A429" s="118" t="s">
        <v>1076</v>
      </c>
      <c r="B429" s="118" t="s">
        <v>1077</v>
      </c>
      <c r="C429" s="118" t="s">
        <v>1294</v>
      </c>
      <c r="D429" s="121">
        <v>409</v>
      </c>
      <c r="E429" s="121">
        <v>12</v>
      </c>
      <c r="F429" s="121">
        <v>3</v>
      </c>
      <c r="G429" s="121">
        <v>1</v>
      </c>
      <c r="H429" s="41"/>
      <c r="I429" s="18">
        <f t="shared" si="6"/>
        <v>425</v>
      </c>
    </row>
    <row r="430" spans="1:9" x14ac:dyDescent="0.35">
      <c r="A430" s="118" t="s">
        <v>1078</v>
      </c>
      <c r="B430" s="118" t="s">
        <v>1079</v>
      </c>
      <c r="C430" s="118" t="s">
        <v>1294</v>
      </c>
      <c r="D430" s="121">
        <v>352</v>
      </c>
      <c r="E430" s="121">
        <v>39</v>
      </c>
      <c r="F430" s="121">
        <v>18</v>
      </c>
      <c r="G430" s="121">
        <v>9</v>
      </c>
      <c r="H430" s="41"/>
      <c r="I430" s="18">
        <f t="shared" si="6"/>
        <v>418</v>
      </c>
    </row>
    <row r="431" spans="1:9" x14ac:dyDescent="0.35">
      <c r="A431" s="118" t="s">
        <v>1080</v>
      </c>
      <c r="B431" s="118" t="s">
        <v>1081</v>
      </c>
      <c r="C431" s="118" t="s">
        <v>1294</v>
      </c>
      <c r="D431" s="121">
        <v>20</v>
      </c>
      <c r="E431" s="121">
        <v>2</v>
      </c>
      <c r="F431" s="121"/>
      <c r="G431" s="121"/>
      <c r="H431" s="41"/>
      <c r="I431" s="18">
        <f t="shared" si="6"/>
        <v>22</v>
      </c>
    </row>
    <row r="432" spans="1:9" x14ac:dyDescent="0.35">
      <c r="A432" s="118" t="s">
        <v>1082</v>
      </c>
      <c r="B432" s="118" t="s">
        <v>1083</v>
      </c>
      <c r="C432" s="118" t="s">
        <v>1294</v>
      </c>
      <c r="D432" s="121">
        <v>3</v>
      </c>
      <c r="E432" s="121"/>
      <c r="F432" s="121"/>
      <c r="G432" s="121">
        <v>1</v>
      </c>
      <c r="H432" s="41"/>
      <c r="I432" s="18">
        <f t="shared" si="6"/>
        <v>4</v>
      </c>
    </row>
    <row r="433" spans="1:9" x14ac:dyDescent="0.35">
      <c r="A433" s="118" t="s">
        <v>1084</v>
      </c>
      <c r="B433" s="118" t="s">
        <v>1085</v>
      </c>
      <c r="C433" s="118" t="s">
        <v>1294</v>
      </c>
      <c r="D433" s="121">
        <v>105</v>
      </c>
      <c r="E433" s="121">
        <v>3</v>
      </c>
      <c r="F433" s="121"/>
      <c r="G433" s="121"/>
      <c r="H433" s="41"/>
      <c r="I433" s="18">
        <f t="shared" si="6"/>
        <v>108</v>
      </c>
    </row>
    <row r="434" spans="1:9" x14ac:dyDescent="0.35">
      <c r="A434" s="118" t="s">
        <v>1086</v>
      </c>
      <c r="B434" s="118" t="s">
        <v>1087</v>
      </c>
      <c r="C434" s="118" t="s">
        <v>1294</v>
      </c>
      <c r="D434" s="121">
        <v>9</v>
      </c>
      <c r="E434" s="121"/>
      <c r="F434" s="121"/>
      <c r="G434" s="121"/>
      <c r="H434" s="41"/>
      <c r="I434" s="18">
        <f t="shared" si="6"/>
        <v>9</v>
      </c>
    </row>
    <row r="435" spans="1:9" x14ac:dyDescent="0.35">
      <c r="A435" s="118" t="s">
        <v>1088</v>
      </c>
      <c r="B435" s="118" t="s">
        <v>1089</v>
      </c>
      <c r="C435" s="118" t="s">
        <v>1294</v>
      </c>
      <c r="D435" s="121">
        <v>9</v>
      </c>
      <c r="E435" s="121"/>
      <c r="F435" s="121"/>
      <c r="G435" s="121"/>
      <c r="H435" s="41"/>
      <c r="I435" s="18">
        <f t="shared" si="6"/>
        <v>9</v>
      </c>
    </row>
    <row r="436" spans="1:9" x14ac:dyDescent="0.35">
      <c r="A436" s="118" t="s">
        <v>1202</v>
      </c>
      <c r="B436" s="118" t="s">
        <v>1273</v>
      </c>
      <c r="C436" s="118" t="s">
        <v>1294</v>
      </c>
      <c r="D436" s="121">
        <v>7</v>
      </c>
      <c r="E436" s="121"/>
      <c r="F436" s="121"/>
      <c r="G436" s="121"/>
      <c r="H436" s="41"/>
      <c r="I436" s="18">
        <f t="shared" si="6"/>
        <v>7</v>
      </c>
    </row>
    <row r="437" spans="1:9" x14ac:dyDescent="0.35">
      <c r="A437" s="118" t="s">
        <v>1203</v>
      </c>
      <c r="B437" s="118" t="s">
        <v>1274</v>
      </c>
      <c r="C437" s="118" t="s">
        <v>1294</v>
      </c>
      <c r="D437" s="121">
        <v>7</v>
      </c>
      <c r="E437" s="121">
        <v>1</v>
      </c>
      <c r="F437" s="121"/>
      <c r="G437" s="121"/>
      <c r="H437" s="41"/>
      <c r="I437" s="18">
        <f t="shared" si="6"/>
        <v>8</v>
      </c>
    </row>
    <row r="438" spans="1:9" x14ac:dyDescent="0.35">
      <c r="A438" s="118" t="s">
        <v>1090</v>
      </c>
      <c r="B438" s="118" t="s">
        <v>1091</v>
      </c>
      <c r="C438" s="118" t="s">
        <v>1294</v>
      </c>
      <c r="D438" s="121">
        <v>10</v>
      </c>
      <c r="E438" s="121"/>
      <c r="F438" s="121"/>
      <c r="G438" s="121"/>
      <c r="H438" s="41"/>
      <c r="I438" s="18">
        <f t="shared" si="6"/>
        <v>10</v>
      </c>
    </row>
    <row r="439" spans="1:9" x14ac:dyDescent="0.35">
      <c r="A439" s="118" t="s">
        <v>1092</v>
      </c>
      <c r="B439" s="118" t="s">
        <v>1093</v>
      </c>
      <c r="C439" s="118" t="s">
        <v>1294</v>
      </c>
      <c r="D439" s="121">
        <v>103</v>
      </c>
      <c r="E439" s="121">
        <v>2</v>
      </c>
      <c r="F439" s="121"/>
      <c r="G439" s="121"/>
      <c r="H439" s="41"/>
      <c r="I439" s="18">
        <f t="shared" si="6"/>
        <v>105</v>
      </c>
    </row>
    <row r="440" spans="1:9" x14ac:dyDescent="0.35">
      <c r="A440" s="118" t="s">
        <v>1094</v>
      </c>
      <c r="B440" s="118" t="s">
        <v>1095</v>
      </c>
      <c r="C440" s="118" t="s">
        <v>1294</v>
      </c>
      <c r="D440" s="121">
        <v>8</v>
      </c>
      <c r="E440" s="121"/>
      <c r="F440" s="121"/>
      <c r="G440" s="121"/>
      <c r="H440" s="41"/>
      <c r="I440" s="18">
        <f t="shared" si="6"/>
        <v>8</v>
      </c>
    </row>
    <row r="441" spans="1:9" x14ac:dyDescent="0.35">
      <c r="A441" s="118" t="s">
        <v>1096</v>
      </c>
      <c r="B441" s="118" t="s">
        <v>1097</v>
      </c>
      <c r="C441" s="118" t="s">
        <v>1294</v>
      </c>
      <c r="D441" s="121">
        <v>301</v>
      </c>
      <c r="E441" s="121">
        <v>10</v>
      </c>
      <c r="F441" s="121">
        <v>1</v>
      </c>
      <c r="G441" s="121"/>
      <c r="H441" s="41"/>
      <c r="I441" s="18">
        <f t="shared" si="6"/>
        <v>312</v>
      </c>
    </row>
    <row r="442" spans="1:9" x14ac:dyDescent="0.35">
      <c r="A442" s="118" t="s">
        <v>1098</v>
      </c>
      <c r="B442" s="118" t="s">
        <v>1099</v>
      </c>
      <c r="C442" s="118" t="s">
        <v>1294</v>
      </c>
      <c r="D442" s="121">
        <v>56</v>
      </c>
      <c r="E442" s="121">
        <v>1</v>
      </c>
      <c r="F442" s="121"/>
      <c r="G442" s="121"/>
      <c r="H442" s="41"/>
      <c r="I442" s="18">
        <f t="shared" si="6"/>
        <v>57</v>
      </c>
    </row>
    <row r="443" spans="1:9" x14ac:dyDescent="0.35">
      <c r="A443" s="118" t="s">
        <v>1100</v>
      </c>
      <c r="B443" s="118" t="s">
        <v>1101</v>
      </c>
      <c r="C443" s="118" t="s">
        <v>1294</v>
      </c>
      <c r="D443" s="121">
        <v>21</v>
      </c>
      <c r="E443" s="121">
        <v>2</v>
      </c>
      <c r="F443" s="121"/>
      <c r="G443" s="121"/>
      <c r="H443" s="41"/>
      <c r="I443" s="18">
        <f t="shared" si="6"/>
        <v>23</v>
      </c>
    </row>
    <row r="444" spans="1:9" x14ac:dyDescent="0.35">
      <c r="A444" s="118" t="s">
        <v>1102</v>
      </c>
      <c r="B444" s="118" t="s">
        <v>1103</v>
      </c>
      <c r="C444" s="118" t="s">
        <v>1294</v>
      </c>
      <c r="D444" s="121">
        <v>365</v>
      </c>
      <c r="E444" s="121">
        <v>27</v>
      </c>
      <c r="F444" s="121">
        <v>6</v>
      </c>
      <c r="G444" s="121">
        <v>4</v>
      </c>
      <c r="H444" s="41"/>
      <c r="I444" s="18">
        <f t="shared" si="6"/>
        <v>402</v>
      </c>
    </row>
    <row r="445" spans="1:9" x14ac:dyDescent="0.35">
      <c r="A445" s="118" t="s">
        <v>1104</v>
      </c>
      <c r="B445" s="118" t="s">
        <v>1275</v>
      </c>
      <c r="C445" s="118" t="s">
        <v>1294</v>
      </c>
      <c r="D445" s="121">
        <v>64</v>
      </c>
      <c r="E445" s="121">
        <v>2</v>
      </c>
      <c r="F445" s="121">
        <v>1</v>
      </c>
      <c r="G445" s="121"/>
      <c r="H445" s="41"/>
      <c r="I445" s="18">
        <f t="shared" si="6"/>
        <v>67</v>
      </c>
    </row>
    <row r="446" spans="1:9" x14ac:dyDescent="0.35">
      <c r="A446" s="118" t="s">
        <v>1105</v>
      </c>
      <c r="B446" s="118" t="s">
        <v>1106</v>
      </c>
      <c r="C446" s="118" t="s">
        <v>1294</v>
      </c>
      <c r="D446" s="121">
        <v>11</v>
      </c>
      <c r="E446" s="121"/>
      <c r="F446" s="121">
        <v>1</v>
      </c>
      <c r="G446" s="121"/>
      <c r="H446" s="41"/>
      <c r="I446" s="18">
        <f t="shared" si="6"/>
        <v>12</v>
      </c>
    </row>
    <row r="447" spans="1:9" x14ac:dyDescent="0.35">
      <c r="A447" s="118" t="s">
        <v>1107</v>
      </c>
      <c r="B447" s="118" t="s">
        <v>1108</v>
      </c>
      <c r="C447" s="118" t="s">
        <v>1294</v>
      </c>
      <c r="D447" s="121">
        <v>5</v>
      </c>
      <c r="E447" s="121"/>
      <c r="F447" s="121"/>
      <c r="G447" s="121"/>
      <c r="H447" s="41"/>
      <c r="I447" s="18">
        <f t="shared" si="6"/>
        <v>5</v>
      </c>
    </row>
    <row r="448" spans="1:9" x14ac:dyDescent="0.35">
      <c r="A448" s="118" t="s">
        <v>1109</v>
      </c>
      <c r="B448" s="118" t="s">
        <v>1110</v>
      </c>
      <c r="C448" s="118" t="s">
        <v>1294</v>
      </c>
      <c r="D448" s="121">
        <v>6</v>
      </c>
      <c r="E448" s="121"/>
      <c r="F448" s="121"/>
      <c r="G448" s="121">
        <v>1</v>
      </c>
      <c r="H448" s="41"/>
      <c r="I448" s="18">
        <f t="shared" si="6"/>
        <v>7</v>
      </c>
    </row>
    <row r="449" spans="1:9" x14ac:dyDescent="0.35">
      <c r="A449" s="118" t="s">
        <v>1111</v>
      </c>
      <c r="B449" s="118" t="s">
        <v>245</v>
      </c>
      <c r="C449" s="118" t="s">
        <v>1294</v>
      </c>
      <c r="D449" s="121">
        <v>770</v>
      </c>
      <c r="E449" s="121">
        <v>31</v>
      </c>
      <c r="F449" s="121">
        <v>13</v>
      </c>
      <c r="G449" s="121">
        <v>3</v>
      </c>
      <c r="H449" s="41"/>
      <c r="I449" s="18">
        <f t="shared" si="6"/>
        <v>817</v>
      </c>
    </row>
    <row r="450" spans="1:9" x14ac:dyDescent="0.35">
      <c r="A450" s="118" t="s">
        <v>1112</v>
      </c>
      <c r="B450" s="118" t="s">
        <v>1113</v>
      </c>
      <c r="C450" s="118" t="s">
        <v>1294</v>
      </c>
      <c r="D450" s="121">
        <v>221</v>
      </c>
      <c r="E450" s="121">
        <v>2</v>
      </c>
      <c r="F450" s="121"/>
      <c r="G450" s="121">
        <v>1</v>
      </c>
      <c r="H450" s="41"/>
      <c r="I450" s="18">
        <f t="shared" si="6"/>
        <v>224</v>
      </c>
    </row>
    <row r="451" spans="1:9" x14ac:dyDescent="0.35">
      <c r="A451" s="118" t="s">
        <v>1114</v>
      </c>
      <c r="B451" s="118" t="s">
        <v>1115</v>
      </c>
      <c r="C451" s="118" t="s">
        <v>1294</v>
      </c>
      <c r="D451" s="121">
        <v>32</v>
      </c>
      <c r="E451" s="121"/>
      <c r="F451" s="121"/>
      <c r="G451" s="121">
        <v>2</v>
      </c>
      <c r="H451" s="41"/>
      <c r="I451" s="18">
        <f t="shared" si="6"/>
        <v>34</v>
      </c>
    </row>
    <row r="452" spans="1:9" x14ac:dyDescent="0.35">
      <c r="A452" s="118" t="s">
        <v>1116</v>
      </c>
      <c r="B452" s="118" t="s">
        <v>1117</v>
      </c>
      <c r="C452" s="118" t="s">
        <v>1294</v>
      </c>
      <c r="D452" s="121">
        <v>150</v>
      </c>
      <c r="E452" s="121">
        <v>3</v>
      </c>
      <c r="F452" s="121"/>
      <c r="G452" s="121"/>
      <c r="H452" s="41"/>
      <c r="I452" s="18">
        <f t="shared" si="6"/>
        <v>153</v>
      </c>
    </row>
    <row r="453" spans="1:9" x14ac:dyDescent="0.35">
      <c r="A453" s="118" t="s">
        <v>1118</v>
      </c>
      <c r="B453" s="118" t="s">
        <v>1119</v>
      </c>
      <c r="C453" s="118" t="s">
        <v>1294</v>
      </c>
      <c r="D453" s="121">
        <v>26</v>
      </c>
      <c r="E453" s="121">
        <v>4</v>
      </c>
      <c r="F453" s="121"/>
      <c r="G453" s="121">
        <v>1</v>
      </c>
      <c r="H453" s="41"/>
      <c r="I453" s="18">
        <f t="shared" ref="I453:I475" si="7">SUM(D453:H453)</f>
        <v>31</v>
      </c>
    </row>
    <row r="454" spans="1:9" x14ac:dyDescent="0.35">
      <c r="A454" s="118" t="s">
        <v>1120</v>
      </c>
      <c r="B454" s="118" t="s">
        <v>1121</v>
      </c>
      <c r="C454" s="118" t="s">
        <v>1294</v>
      </c>
      <c r="D454" s="121">
        <v>321</v>
      </c>
      <c r="E454" s="121">
        <v>3</v>
      </c>
      <c r="F454" s="121"/>
      <c r="G454" s="121">
        <v>1</v>
      </c>
      <c r="H454" s="41"/>
      <c r="I454" s="18">
        <f t="shared" si="7"/>
        <v>325</v>
      </c>
    </row>
    <row r="455" spans="1:9" x14ac:dyDescent="0.35">
      <c r="A455" s="118" t="s">
        <v>1122</v>
      </c>
      <c r="B455" s="118" t="s">
        <v>1123</v>
      </c>
      <c r="C455" s="118" t="s">
        <v>1294</v>
      </c>
      <c r="D455" s="121">
        <v>17</v>
      </c>
      <c r="E455" s="121"/>
      <c r="F455" s="121"/>
      <c r="G455" s="121"/>
      <c r="H455" s="41"/>
      <c r="I455" s="18">
        <f t="shared" si="7"/>
        <v>17</v>
      </c>
    </row>
    <row r="456" spans="1:9" x14ac:dyDescent="0.35">
      <c r="A456" s="118" t="s">
        <v>1124</v>
      </c>
      <c r="B456" s="118" t="s">
        <v>1125</v>
      </c>
      <c r="C456" s="118" t="s">
        <v>1294</v>
      </c>
      <c r="D456" s="121">
        <v>4</v>
      </c>
      <c r="E456" s="121"/>
      <c r="F456" s="121"/>
      <c r="G456" s="121"/>
      <c r="H456" s="41"/>
      <c r="I456" s="18">
        <f t="shared" si="7"/>
        <v>4</v>
      </c>
    </row>
    <row r="457" spans="1:9" x14ac:dyDescent="0.35">
      <c r="A457" s="118" t="s">
        <v>1126</v>
      </c>
      <c r="B457" s="118" t="s">
        <v>1127</v>
      </c>
      <c r="C457" s="118" t="s">
        <v>1294</v>
      </c>
      <c r="D457" s="121">
        <v>2</v>
      </c>
      <c r="E457" s="121"/>
      <c r="F457" s="121"/>
      <c r="G457" s="121"/>
      <c r="H457" s="41"/>
      <c r="I457" s="18">
        <f t="shared" si="7"/>
        <v>2</v>
      </c>
    </row>
    <row r="458" spans="1:9" x14ac:dyDescent="0.35">
      <c r="A458" s="118" t="s">
        <v>1128</v>
      </c>
      <c r="B458" s="118" t="s">
        <v>1129</v>
      </c>
      <c r="C458" s="118" t="s">
        <v>1294</v>
      </c>
      <c r="D458" s="121">
        <v>17</v>
      </c>
      <c r="E458" s="121"/>
      <c r="F458" s="121"/>
      <c r="G458" s="121"/>
      <c r="H458" s="41"/>
      <c r="I458" s="18">
        <f t="shared" si="7"/>
        <v>17</v>
      </c>
    </row>
    <row r="459" spans="1:9" x14ac:dyDescent="0.35">
      <c r="A459" s="118" t="s">
        <v>1130</v>
      </c>
      <c r="B459" s="118" t="s">
        <v>1131</v>
      </c>
      <c r="C459" s="118" t="s">
        <v>1294</v>
      </c>
      <c r="D459" s="121">
        <v>282</v>
      </c>
      <c r="E459" s="121">
        <v>5</v>
      </c>
      <c r="F459" s="121">
        <v>2</v>
      </c>
      <c r="G459" s="121"/>
      <c r="H459" s="41"/>
      <c r="I459" s="18">
        <f t="shared" si="7"/>
        <v>289</v>
      </c>
    </row>
    <row r="460" spans="1:9" x14ac:dyDescent="0.35">
      <c r="A460" s="118" t="s">
        <v>1132</v>
      </c>
      <c r="B460" s="118" t="s">
        <v>1133</v>
      </c>
      <c r="C460" s="118" t="s">
        <v>1294</v>
      </c>
      <c r="D460" s="121">
        <v>276</v>
      </c>
      <c r="E460" s="121"/>
      <c r="F460" s="121">
        <v>1</v>
      </c>
      <c r="G460" s="121"/>
      <c r="H460" s="41"/>
      <c r="I460" s="18">
        <f t="shared" si="7"/>
        <v>277</v>
      </c>
    </row>
    <row r="461" spans="1:9" x14ac:dyDescent="0.35">
      <c r="A461" s="118" t="s">
        <v>1134</v>
      </c>
      <c r="B461" s="118" t="s">
        <v>1135</v>
      </c>
      <c r="C461" s="118" t="s">
        <v>1294</v>
      </c>
      <c r="D461" s="121">
        <v>92</v>
      </c>
      <c r="E461" s="121"/>
      <c r="F461" s="121"/>
      <c r="G461" s="121"/>
      <c r="H461" s="41"/>
      <c r="I461" s="18">
        <f t="shared" si="7"/>
        <v>92</v>
      </c>
    </row>
    <row r="462" spans="1:9" x14ac:dyDescent="0.35">
      <c r="A462" s="118" t="s">
        <v>1136</v>
      </c>
      <c r="B462" s="118" t="s">
        <v>1276</v>
      </c>
      <c r="C462" s="118" t="s">
        <v>1294</v>
      </c>
      <c r="D462" s="121">
        <v>150</v>
      </c>
      <c r="E462" s="121"/>
      <c r="F462" s="121">
        <v>1</v>
      </c>
      <c r="G462" s="121"/>
      <c r="H462" s="41"/>
      <c r="I462" s="18">
        <f t="shared" si="7"/>
        <v>151</v>
      </c>
    </row>
    <row r="463" spans="1:9" x14ac:dyDescent="0.35">
      <c r="A463" s="118" t="s">
        <v>1137</v>
      </c>
      <c r="B463" s="118" t="s">
        <v>1138</v>
      </c>
      <c r="C463" s="118" t="s">
        <v>1294</v>
      </c>
      <c r="D463" s="121">
        <v>24</v>
      </c>
      <c r="E463" s="121"/>
      <c r="F463" s="121"/>
      <c r="G463" s="121"/>
      <c r="H463" s="41"/>
      <c r="I463" s="18">
        <f t="shared" si="7"/>
        <v>24</v>
      </c>
    </row>
    <row r="464" spans="1:9" x14ac:dyDescent="0.35">
      <c r="A464" s="118" t="s">
        <v>1139</v>
      </c>
      <c r="B464" s="118" t="s">
        <v>1140</v>
      </c>
      <c r="C464" s="118" t="s">
        <v>1294</v>
      </c>
      <c r="D464" s="121">
        <v>84</v>
      </c>
      <c r="E464" s="121"/>
      <c r="F464" s="121"/>
      <c r="G464" s="121"/>
      <c r="H464" s="41"/>
      <c r="I464" s="18">
        <f t="shared" si="7"/>
        <v>84</v>
      </c>
    </row>
    <row r="465" spans="1:9" x14ac:dyDescent="0.35">
      <c r="A465" s="118" t="s">
        <v>1141</v>
      </c>
      <c r="B465" s="118" t="s">
        <v>1142</v>
      </c>
      <c r="C465" s="118" t="s">
        <v>1294</v>
      </c>
      <c r="D465" s="121">
        <v>206</v>
      </c>
      <c r="E465" s="121"/>
      <c r="F465" s="121"/>
      <c r="G465" s="121"/>
      <c r="H465" s="41"/>
      <c r="I465" s="18">
        <f t="shared" si="7"/>
        <v>206</v>
      </c>
    </row>
    <row r="466" spans="1:9" x14ac:dyDescent="0.35">
      <c r="A466" s="118" t="s">
        <v>1143</v>
      </c>
      <c r="B466" s="118" t="s">
        <v>1144</v>
      </c>
      <c r="C466" s="118" t="s">
        <v>1294</v>
      </c>
      <c r="D466" s="121">
        <v>109</v>
      </c>
      <c r="E466" s="121">
        <v>5</v>
      </c>
      <c r="F466" s="121"/>
      <c r="G466" s="121"/>
      <c r="H466" s="41"/>
      <c r="I466" s="18">
        <f t="shared" si="7"/>
        <v>114</v>
      </c>
    </row>
    <row r="467" spans="1:9" x14ac:dyDescent="0.35">
      <c r="A467" s="118" t="s">
        <v>1145</v>
      </c>
      <c r="B467" s="118" t="s">
        <v>1146</v>
      </c>
      <c r="C467" s="118" t="s">
        <v>1294</v>
      </c>
      <c r="D467" s="121">
        <v>4133</v>
      </c>
      <c r="E467" s="121">
        <v>8</v>
      </c>
      <c r="F467" s="121">
        <v>1</v>
      </c>
      <c r="G467" s="121">
        <v>1</v>
      </c>
      <c r="H467" s="41"/>
      <c r="I467" s="18">
        <f t="shared" si="7"/>
        <v>4143</v>
      </c>
    </row>
    <row r="468" spans="1:9" x14ac:dyDescent="0.35">
      <c r="A468" s="118" t="s">
        <v>1147</v>
      </c>
      <c r="B468" s="118" t="s">
        <v>1148</v>
      </c>
      <c r="C468" s="118" t="s">
        <v>1294</v>
      </c>
      <c r="D468" s="121">
        <v>77</v>
      </c>
      <c r="E468" s="121">
        <v>8</v>
      </c>
      <c r="F468" s="121">
        <v>3</v>
      </c>
      <c r="G468" s="121">
        <v>2</v>
      </c>
      <c r="H468" s="41"/>
      <c r="I468" s="18">
        <f t="shared" si="7"/>
        <v>90</v>
      </c>
    </row>
    <row r="469" spans="1:9" x14ac:dyDescent="0.35">
      <c r="A469" s="118" t="s">
        <v>1149</v>
      </c>
      <c r="B469" s="118" t="s">
        <v>1150</v>
      </c>
      <c r="C469" s="118" t="s">
        <v>1294</v>
      </c>
      <c r="D469" s="121">
        <v>771</v>
      </c>
      <c r="E469" s="121">
        <v>4</v>
      </c>
      <c r="F469" s="121"/>
      <c r="G469" s="121"/>
      <c r="H469" s="41"/>
      <c r="I469" s="18">
        <f t="shared" si="7"/>
        <v>775</v>
      </c>
    </row>
    <row r="470" spans="1:9" x14ac:dyDescent="0.35">
      <c r="A470" s="118" t="s">
        <v>1151</v>
      </c>
      <c r="B470" s="118" t="s">
        <v>255</v>
      </c>
      <c r="C470" s="118" t="s">
        <v>1294</v>
      </c>
      <c r="D470" s="121">
        <v>14</v>
      </c>
      <c r="E470" s="121"/>
      <c r="F470" s="121"/>
      <c r="G470" s="121"/>
      <c r="H470" s="41"/>
      <c r="I470" s="18">
        <f t="shared" si="7"/>
        <v>14</v>
      </c>
    </row>
    <row r="471" spans="1:9" x14ac:dyDescent="0.35">
      <c r="A471" s="118" t="s">
        <v>1152</v>
      </c>
      <c r="B471" s="118" t="s">
        <v>1153</v>
      </c>
      <c r="C471" s="118" t="s">
        <v>1294</v>
      </c>
      <c r="D471" s="121">
        <v>1</v>
      </c>
      <c r="E471" s="121"/>
      <c r="F471" s="121"/>
      <c r="G471" s="121"/>
      <c r="H471" s="41"/>
      <c r="I471" s="18">
        <f t="shared" si="7"/>
        <v>1</v>
      </c>
    </row>
    <row r="472" spans="1:9" x14ac:dyDescent="0.35">
      <c r="A472" s="118" t="s">
        <v>1154</v>
      </c>
      <c r="B472" s="118" t="s">
        <v>1155</v>
      </c>
      <c r="C472" s="118" t="s">
        <v>1294</v>
      </c>
      <c r="D472" s="121">
        <v>10</v>
      </c>
      <c r="E472" s="121"/>
      <c r="F472" s="121"/>
      <c r="G472" s="121"/>
      <c r="H472" s="41"/>
      <c r="I472" s="18">
        <f t="shared" si="7"/>
        <v>10</v>
      </c>
    </row>
    <row r="473" spans="1:9" x14ac:dyDescent="0.35">
      <c r="A473" s="118" t="s">
        <v>1204</v>
      </c>
      <c r="B473" s="118" t="s">
        <v>67</v>
      </c>
      <c r="C473" s="118" t="s">
        <v>1294</v>
      </c>
      <c r="D473" s="121">
        <v>1</v>
      </c>
      <c r="E473" s="121"/>
      <c r="F473" s="121"/>
      <c r="G473" s="121"/>
      <c r="H473" s="41"/>
      <c r="I473" s="18">
        <f t="shared" si="7"/>
        <v>1</v>
      </c>
    </row>
    <row r="474" spans="1:9" x14ac:dyDescent="0.35">
      <c r="A474" s="118" t="s">
        <v>1193</v>
      </c>
      <c r="B474" s="118" t="s">
        <v>1193</v>
      </c>
      <c r="C474" s="118" t="s">
        <v>1193</v>
      </c>
      <c r="D474" s="121"/>
      <c r="E474" s="121"/>
      <c r="F474" s="121"/>
      <c r="G474" s="121"/>
      <c r="H474" s="41">
        <v>7</v>
      </c>
      <c r="I474" s="18">
        <f t="shared" si="7"/>
        <v>7</v>
      </c>
    </row>
    <row r="475" spans="1:9" x14ac:dyDescent="0.35">
      <c r="A475" s="118" t="s">
        <v>328</v>
      </c>
      <c r="B475" s="118" t="s">
        <v>68</v>
      </c>
      <c r="C475" s="118" t="s">
        <v>1193</v>
      </c>
      <c r="D475" s="121"/>
      <c r="E475" s="121"/>
      <c r="F475" s="121"/>
      <c r="G475" s="121"/>
      <c r="H475" s="41">
        <v>171</v>
      </c>
      <c r="I475" s="18">
        <f t="shared" si="7"/>
        <v>171</v>
      </c>
    </row>
    <row r="476" spans="1:9" x14ac:dyDescent="0.35">
      <c r="A476" s="59" t="s">
        <v>16</v>
      </c>
      <c r="B476" s="59"/>
      <c r="C476" s="59"/>
      <c r="D476" s="40">
        <f>SUM(D4:D475)</f>
        <v>148015</v>
      </c>
      <c r="E476" s="40">
        <f>SUM(E4:E475)</f>
        <v>8175</v>
      </c>
      <c r="F476" s="40">
        <f>SUM(F4:F475)</f>
        <v>1953</v>
      </c>
      <c r="G476" s="40">
        <f>SUM(G4:G475)</f>
        <v>688</v>
      </c>
      <c r="H476" s="40">
        <f>SUM(H4:H475)</f>
        <v>178</v>
      </c>
      <c r="I476" s="40">
        <f>SUM(I4:I475)</f>
        <v>159009</v>
      </c>
    </row>
    <row r="478" spans="1:9" x14ac:dyDescent="0.35">
      <c r="A478" t="s">
        <v>1356</v>
      </c>
    </row>
    <row r="479" spans="1:9" x14ac:dyDescent="0.35">
      <c r="A479" t="s">
        <v>1288</v>
      </c>
    </row>
    <row r="480" spans="1:9" ht="78" customHeight="1" x14ac:dyDescent="0.35">
      <c r="A480" s="77" t="s">
        <v>1300</v>
      </c>
      <c r="B480" s="77"/>
      <c r="C480" s="77"/>
      <c r="D480" s="77"/>
      <c r="E480" s="77"/>
      <c r="F480" s="77"/>
    </row>
    <row r="481" spans="1:1" x14ac:dyDescent="0.35">
      <c r="A481" t="s">
        <v>17</v>
      </c>
    </row>
    <row r="482" spans="1:1" x14ac:dyDescent="0.35">
      <c r="A482" t="s">
        <v>1320</v>
      </c>
    </row>
  </sheetData>
  <mergeCells count="2">
    <mergeCell ref="A476:C476"/>
    <mergeCell ref="A480:F480"/>
  </mergeCells>
  <hyperlinks>
    <hyperlink ref="J1" location="Índice!A1" display="Volver al índice" xr:uid="{8C8B82A1-5D17-43F7-A4BB-EC70A363807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8AF1-AB06-427C-A4A1-C6F074CFEFCC}">
  <dimension ref="A1:AJ509"/>
  <sheetViews>
    <sheetView workbookViewId="0">
      <selection activeCell="H1" sqref="H1"/>
    </sheetView>
  </sheetViews>
  <sheetFormatPr baseColWidth="10" defaultColWidth="11.453125" defaultRowHeight="14.5" x14ac:dyDescent="0.35"/>
  <cols>
    <col min="2" max="2" width="68.1796875" customWidth="1"/>
    <col min="3" max="3" width="16.26953125" customWidth="1"/>
    <col min="4" max="4" width="19.81640625" bestFit="1" customWidth="1"/>
    <col min="6" max="7" width="11.81640625" bestFit="1" customWidth="1"/>
  </cols>
  <sheetData>
    <row r="1" spans="1:36" ht="18.5" x14ac:dyDescent="0.45">
      <c r="A1" s="21" t="s">
        <v>1299</v>
      </c>
      <c r="H1" s="17" t="s">
        <v>1</v>
      </c>
    </row>
    <row r="2" spans="1:36" ht="18.5" x14ac:dyDescent="0.45">
      <c r="A2" s="21"/>
      <c r="H2" s="17"/>
    </row>
    <row r="3" spans="1:36" ht="14.5" customHeight="1" x14ac:dyDescent="0.35">
      <c r="A3" s="50" t="s">
        <v>327</v>
      </c>
      <c r="B3" s="76" t="s">
        <v>19</v>
      </c>
      <c r="C3" s="122" t="s">
        <v>71</v>
      </c>
      <c r="D3" s="122"/>
      <c r="E3" s="122"/>
      <c r="F3" s="122"/>
      <c r="G3" s="125" t="s">
        <v>79</v>
      </c>
      <c r="H3" s="122" t="s">
        <v>72</v>
      </c>
      <c r="I3" s="122"/>
      <c r="J3" s="122"/>
      <c r="K3" s="122"/>
      <c r="L3" s="125" t="s">
        <v>80</v>
      </c>
      <c r="M3" s="122" t="s">
        <v>73</v>
      </c>
      <c r="N3" s="122"/>
      <c r="O3" s="122"/>
      <c r="P3" s="122"/>
      <c r="Q3" s="125" t="s">
        <v>81</v>
      </c>
      <c r="R3" s="122" t="s">
        <v>74</v>
      </c>
      <c r="S3" s="122"/>
      <c r="T3" s="122"/>
      <c r="U3" s="122"/>
      <c r="V3" s="125" t="s">
        <v>82</v>
      </c>
      <c r="W3" s="122" t="s">
        <v>1156</v>
      </c>
      <c r="X3" s="122"/>
      <c r="Y3" s="122"/>
      <c r="Z3" s="122"/>
      <c r="AA3" s="125" t="s">
        <v>1157</v>
      </c>
      <c r="AB3" s="124" t="s">
        <v>76</v>
      </c>
      <c r="AC3" s="123"/>
      <c r="AD3" s="123"/>
      <c r="AE3" s="98"/>
      <c r="AF3" s="125" t="s">
        <v>83</v>
      </c>
      <c r="AG3" s="122" t="s">
        <v>77</v>
      </c>
      <c r="AH3" s="122"/>
      <c r="AI3" s="125" t="s">
        <v>1158</v>
      </c>
      <c r="AJ3" s="122" t="s">
        <v>1159</v>
      </c>
    </row>
    <row r="4" spans="1:36" x14ac:dyDescent="0.35">
      <c r="A4" s="50"/>
      <c r="B4" s="76"/>
      <c r="C4" s="130" t="s">
        <v>22</v>
      </c>
      <c r="D4" s="130" t="s">
        <v>23</v>
      </c>
      <c r="E4" s="130" t="s">
        <v>24</v>
      </c>
      <c r="F4" s="130" t="s">
        <v>25</v>
      </c>
      <c r="G4" s="125"/>
      <c r="H4" s="130" t="s">
        <v>22</v>
      </c>
      <c r="I4" s="130" t="s">
        <v>23</v>
      </c>
      <c r="J4" s="130" t="s">
        <v>24</v>
      </c>
      <c r="K4" s="130" t="s">
        <v>25</v>
      </c>
      <c r="L4" s="125"/>
      <c r="M4" s="130" t="s">
        <v>22</v>
      </c>
      <c r="N4" s="130" t="s">
        <v>23</v>
      </c>
      <c r="O4" s="130" t="s">
        <v>24</v>
      </c>
      <c r="P4" s="130" t="s">
        <v>25</v>
      </c>
      <c r="Q4" s="125"/>
      <c r="R4" s="130" t="s">
        <v>22</v>
      </c>
      <c r="S4" s="130" t="s">
        <v>23</v>
      </c>
      <c r="T4" s="130" t="s">
        <v>24</v>
      </c>
      <c r="U4" s="130" t="s">
        <v>25</v>
      </c>
      <c r="V4" s="125"/>
      <c r="W4" s="130" t="s">
        <v>22</v>
      </c>
      <c r="X4" s="130" t="s">
        <v>23</v>
      </c>
      <c r="Y4" s="130" t="s">
        <v>24</v>
      </c>
      <c r="Z4" s="130" t="s">
        <v>25</v>
      </c>
      <c r="AA4" s="125"/>
      <c r="AB4" s="130" t="s">
        <v>22</v>
      </c>
      <c r="AC4" s="130" t="s">
        <v>23</v>
      </c>
      <c r="AD4" s="130" t="s">
        <v>24</v>
      </c>
      <c r="AE4" s="130" t="s">
        <v>25</v>
      </c>
      <c r="AF4" s="125"/>
      <c r="AG4" s="130" t="s">
        <v>22</v>
      </c>
      <c r="AH4" s="130" t="s">
        <v>23</v>
      </c>
      <c r="AI4" s="125"/>
      <c r="AJ4" s="122"/>
    </row>
    <row r="5" spans="1:36" x14ac:dyDescent="0.35">
      <c r="A5" s="127" t="s">
        <v>328</v>
      </c>
      <c r="B5" s="127" t="s">
        <v>68</v>
      </c>
      <c r="C5" s="129">
        <v>134</v>
      </c>
      <c r="D5" s="129">
        <v>2</v>
      </c>
      <c r="E5" s="129">
        <v>3</v>
      </c>
      <c r="F5" s="129">
        <v>1</v>
      </c>
      <c r="G5" s="129">
        <v>140</v>
      </c>
      <c r="H5" s="129">
        <v>11</v>
      </c>
      <c r="I5" s="129">
        <v>1</v>
      </c>
      <c r="J5" s="129">
        <v>0</v>
      </c>
      <c r="K5" s="129">
        <v>0</v>
      </c>
      <c r="L5" s="129">
        <v>12</v>
      </c>
      <c r="M5" s="129">
        <v>4</v>
      </c>
      <c r="N5" s="129">
        <v>0</v>
      </c>
      <c r="O5" s="129">
        <v>0</v>
      </c>
      <c r="P5" s="129">
        <v>0</v>
      </c>
      <c r="Q5" s="129">
        <v>4</v>
      </c>
      <c r="R5" s="129">
        <v>3</v>
      </c>
      <c r="S5" s="129">
        <v>0</v>
      </c>
      <c r="T5" s="129">
        <v>0</v>
      </c>
      <c r="U5" s="129">
        <v>0</v>
      </c>
      <c r="V5" s="129">
        <v>3</v>
      </c>
      <c r="W5" s="129">
        <v>10</v>
      </c>
      <c r="X5" s="129">
        <v>1</v>
      </c>
      <c r="Y5" s="129">
        <v>0</v>
      </c>
      <c r="Z5" s="129">
        <v>0</v>
      </c>
      <c r="AA5" s="129">
        <v>11</v>
      </c>
      <c r="AB5" s="129">
        <v>1</v>
      </c>
      <c r="AC5" s="129">
        <v>0</v>
      </c>
      <c r="AD5" s="129">
        <v>0</v>
      </c>
      <c r="AE5" s="129">
        <v>0</v>
      </c>
      <c r="AF5" s="129">
        <v>1</v>
      </c>
      <c r="AG5" s="129">
        <v>0</v>
      </c>
      <c r="AH5" s="129">
        <v>0</v>
      </c>
      <c r="AI5" s="126">
        <v>0</v>
      </c>
      <c r="AJ5" s="131">
        <v>171</v>
      </c>
    </row>
    <row r="6" spans="1:36" x14ac:dyDescent="0.35">
      <c r="A6" s="127" t="s">
        <v>329</v>
      </c>
      <c r="B6" s="127" t="s">
        <v>1207</v>
      </c>
      <c r="C6" s="129">
        <v>16</v>
      </c>
      <c r="D6" s="129">
        <v>6</v>
      </c>
      <c r="E6" s="129">
        <v>2</v>
      </c>
      <c r="F6" s="129">
        <v>0</v>
      </c>
      <c r="G6" s="129">
        <v>24</v>
      </c>
      <c r="H6" s="129">
        <v>1</v>
      </c>
      <c r="I6" s="129">
        <v>0</v>
      </c>
      <c r="J6" s="129">
        <v>0</v>
      </c>
      <c r="K6" s="129">
        <v>0</v>
      </c>
      <c r="L6" s="129">
        <v>1</v>
      </c>
      <c r="M6" s="129">
        <v>1</v>
      </c>
      <c r="N6" s="129">
        <v>0</v>
      </c>
      <c r="O6" s="129">
        <v>0</v>
      </c>
      <c r="P6" s="129">
        <v>0</v>
      </c>
      <c r="Q6" s="129">
        <v>1</v>
      </c>
      <c r="R6" s="129">
        <v>0</v>
      </c>
      <c r="S6" s="129">
        <v>0</v>
      </c>
      <c r="T6" s="129">
        <v>0</v>
      </c>
      <c r="U6" s="129">
        <v>0</v>
      </c>
      <c r="V6" s="129">
        <v>0</v>
      </c>
      <c r="W6" s="129">
        <v>2</v>
      </c>
      <c r="X6" s="129">
        <v>0</v>
      </c>
      <c r="Y6" s="129">
        <v>0</v>
      </c>
      <c r="Z6" s="129">
        <v>0</v>
      </c>
      <c r="AA6" s="129">
        <v>2</v>
      </c>
      <c r="AB6" s="129">
        <v>0</v>
      </c>
      <c r="AC6" s="129">
        <v>0</v>
      </c>
      <c r="AD6" s="129">
        <v>0</v>
      </c>
      <c r="AE6" s="129">
        <v>0</v>
      </c>
      <c r="AF6" s="129">
        <v>0</v>
      </c>
      <c r="AG6" s="129">
        <v>0</v>
      </c>
      <c r="AH6" s="129">
        <v>0</v>
      </c>
      <c r="AI6" s="126">
        <v>0</v>
      </c>
      <c r="AJ6" s="131">
        <v>28</v>
      </c>
    </row>
    <row r="7" spans="1:36" x14ac:dyDescent="0.35">
      <c r="A7" s="127" t="s">
        <v>330</v>
      </c>
      <c r="B7" s="127" t="s">
        <v>1208</v>
      </c>
      <c r="C7" s="129">
        <v>3</v>
      </c>
      <c r="D7" s="129">
        <v>3</v>
      </c>
      <c r="E7" s="129">
        <v>0</v>
      </c>
      <c r="F7" s="129">
        <v>0</v>
      </c>
      <c r="G7" s="129">
        <v>6</v>
      </c>
      <c r="H7" s="129">
        <v>0</v>
      </c>
      <c r="I7" s="129">
        <v>0</v>
      </c>
      <c r="J7" s="129">
        <v>0</v>
      </c>
      <c r="K7" s="129">
        <v>0</v>
      </c>
      <c r="L7" s="129">
        <v>0</v>
      </c>
      <c r="M7" s="129">
        <v>0</v>
      </c>
      <c r="N7" s="129">
        <v>0</v>
      </c>
      <c r="O7" s="129">
        <v>0</v>
      </c>
      <c r="P7" s="129">
        <v>0</v>
      </c>
      <c r="Q7" s="129">
        <v>0</v>
      </c>
      <c r="R7" s="129">
        <v>4</v>
      </c>
      <c r="S7" s="129">
        <v>0</v>
      </c>
      <c r="T7" s="129">
        <v>0</v>
      </c>
      <c r="U7" s="129">
        <v>0</v>
      </c>
      <c r="V7" s="129">
        <v>4</v>
      </c>
      <c r="W7" s="129">
        <v>0</v>
      </c>
      <c r="X7" s="129">
        <v>0</v>
      </c>
      <c r="Y7" s="129">
        <v>0</v>
      </c>
      <c r="Z7" s="129">
        <v>0</v>
      </c>
      <c r="AA7" s="129">
        <v>0</v>
      </c>
      <c r="AB7" s="129">
        <v>0</v>
      </c>
      <c r="AC7" s="129">
        <v>0</v>
      </c>
      <c r="AD7" s="129">
        <v>0</v>
      </c>
      <c r="AE7" s="129">
        <v>0</v>
      </c>
      <c r="AF7" s="129">
        <v>0</v>
      </c>
      <c r="AG7" s="129">
        <v>0</v>
      </c>
      <c r="AH7" s="129">
        <v>0</v>
      </c>
      <c r="AI7" s="126">
        <v>0</v>
      </c>
      <c r="AJ7" s="131">
        <v>10</v>
      </c>
    </row>
    <row r="8" spans="1:36" x14ac:dyDescent="0.35">
      <c r="A8" s="127" t="s">
        <v>331</v>
      </c>
      <c r="B8" s="127" t="s">
        <v>1209</v>
      </c>
      <c r="C8" s="129">
        <v>48</v>
      </c>
      <c r="D8" s="129">
        <v>3</v>
      </c>
      <c r="E8" s="129">
        <v>2</v>
      </c>
      <c r="F8" s="129">
        <v>1</v>
      </c>
      <c r="G8" s="129">
        <v>54</v>
      </c>
      <c r="H8" s="129">
        <v>4</v>
      </c>
      <c r="I8" s="129">
        <v>0</v>
      </c>
      <c r="J8" s="129">
        <v>0</v>
      </c>
      <c r="K8" s="129">
        <v>0</v>
      </c>
      <c r="L8" s="129">
        <v>4</v>
      </c>
      <c r="M8" s="129">
        <v>3</v>
      </c>
      <c r="N8" s="129">
        <v>0</v>
      </c>
      <c r="O8" s="129">
        <v>0</v>
      </c>
      <c r="P8" s="129">
        <v>0</v>
      </c>
      <c r="Q8" s="129">
        <v>3</v>
      </c>
      <c r="R8" s="129">
        <v>0</v>
      </c>
      <c r="S8" s="129">
        <v>0</v>
      </c>
      <c r="T8" s="129">
        <v>0</v>
      </c>
      <c r="U8" s="129">
        <v>0</v>
      </c>
      <c r="V8" s="129">
        <v>0</v>
      </c>
      <c r="W8" s="129">
        <v>4</v>
      </c>
      <c r="X8" s="129">
        <v>0</v>
      </c>
      <c r="Y8" s="129">
        <v>1</v>
      </c>
      <c r="Z8" s="129">
        <v>0</v>
      </c>
      <c r="AA8" s="129">
        <v>5</v>
      </c>
      <c r="AB8" s="129">
        <v>1</v>
      </c>
      <c r="AC8" s="129">
        <v>0</v>
      </c>
      <c r="AD8" s="129">
        <v>0</v>
      </c>
      <c r="AE8" s="129">
        <v>0</v>
      </c>
      <c r="AF8" s="129">
        <v>1</v>
      </c>
      <c r="AG8" s="129">
        <v>0</v>
      </c>
      <c r="AH8" s="129">
        <v>0</v>
      </c>
      <c r="AI8" s="126">
        <v>0</v>
      </c>
      <c r="AJ8" s="131">
        <v>67</v>
      </c>
    </row>
    <row r="9" spans="1:36" x14ac:dyDescent="0.35">
      <c r="A9" s="127" t="s">
        <v>1328</v>
      </c>
      <c r="B9" s="127" t="s">
        <v>1329</v>
      </c>
      <c r="C9" s="129">
        <v>0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129">
        <v>0</v>
      </c>
      <c r="P9" s="129">
        <v>0</v>
      </c>
      <c r="Q9" s="129">
        <v>0</v>
      </c>
      <c r="R9" s="129">
        <v>0</v>
      </c>
      <c r="S9" s="129">
        <v>0</v>
      </c>
      <c r="T9" s="129">
        <v>0</v>
      </c>
      <c r="U9" s="129">
        <v>0</v>
      </c>
      <c r="V9" s="129">
        <v>0</v>
      </c>
      <c r="W9" s="129">
        <v>0</v>
      </c>
      <c r="X9" s="129">
        <v>0</v>
      </c>
      <c r="Y9" s="129">
        <v>0</v>
      </c>
      <c r="Z9" s="129">
        <v>0</v>
      </c>
      <c r="AA9" s="129">
        <v>0</v>
      </c>
      <c r="AB9" s="129">
        <v>0</v>
      </c>
      <c r="AC9" s="129">
        <v>0</v>
      </c>
      <c r="AD9" s="129">
        <v>0</v>
      </c>
      <c r="AE9" s="129">
        <v>0</v>
      </c>
      <c r="AF9" s="129">
        <v>0</v>
      </c>
      <c r="AG9" s="129">
        <v>0</v>
      </c>
      <c r="AH9" s="129">
        <v>0</v>
      </c>
      <c r="AI9" s="126">
        <v>0</v>
      </c>
      <c r="AJ9" s="131">
        <v>0</v>
      </c>
    </row>
    <row r="10" spans="1:36" x14ac:dyDescent="0.35">
      <c r="A10" s="127" t="s">
        <v>332</v>
      </c>
      <c r="B10" s="127" t="s">
        <v>1210</v>
      </c>
      <c r="C10" s="129">
        <v>2</v>
      </c>
      <c r="D10" s="129">
        <v>0</v>
      </c>
      <c r="E10" s="129">
        <v>0</v>
      </c>
      <c r="F10" s="129">
        <v>0</v>
      </c>
      <c r="G10" s="129">
        <v>2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Z10" s="129">
        <v>0</v>
      </c>
      <c r="AA10" s="129">
        <v>0</v>
      </c>
      <c r="AB10" s="129">
        <v>0</v>
      </c>
      <c r="AC10" s="129">
        <v>0</v>
      </c>
      <c r="AD10" s="129">
        <v>0</v>
      </c>
      <c r="AE10" s="129">
        <v>0</v>
      </c>
      <c r="AF10" s="129">
        <v>0</v>
      </c>
      <c r="AG10" s="129">
        <v>0</v>
      </c>
      <c r="AH10" s="129">
        <v>0</v>
      </c>
      <c r="AI10" s="126">
        <v>0</v>
      </c>
      <c r="AJ10" s="131">
        <v>2</v>
      </c>
    </row>
    <row r="11" spans="1:36" x14ac:dyDescent="0.35">
      <c r="A11" s="127" t="s">
        <v>333</v>
      </c>
      <c r="B11" s="127" t="s">
        <v>334</v>
      </c>
      <c r="C11" s="129">
        <v>11</v>
      </c>
      <c r="D11" s="129">
        <v>6</v>
      </c>
      <c r="E11" s="129">
        <v>0</v>
      </c>
      <c r="F11" s="129">
        <v>2</v>
      </c>
      <c r="G11" s="129">
        <v>19</v>
      </c>
      <c r="H11" s="129">
        <v>1</v>
      </c>
      <c r="I11" s="129">
        <v>2</v>
      </c>
      <c r="J11" s="129">
        <v>1</v>
      </c>
      <c r="K11" s="129">
        <v>0</v>
      </c>
      <c r="L11" s="129">
        <v>4</v>
      </c>
      <c r="M11" s="129">
        <v>1</v>
      </c>
      <c r="N11" s="129">
        <v>0</v>
      </c>
      <c r="O11" s="129">
        <v>0</v>
      </c>
      <c r="P11" s="129">
        <v>0</v>
      </c>
      <c r="Q11" s="129">
        <v>1</v>
      </c>
      <c r="R11" s="129">
        <v>0</v>
      </c>
      <c r="S11" s="129">
        <v>0</v>
      </c>
      <c r="T11" s="129">
        <v>0</v>
      </c>
      <c r="U11" s="129">
        <v>0</v>
      </c>
      <c r="V11" s="129">
        <v>0</v>
      </c>
      <c r="W11" s="129">
        <v>0</v>
      </c>
      <c r="X11" s="129">
        <v>0</v>
      </c>
      <c r="Y11" s="129">
        <v>0</v>
      </c>
      <c r="Z11" s="129">
        <v>0</v>
      </c>
      <c r="AA11" s="129">
        <v>0</v>
      </c>
      <c r="AB11" s="129">
        <v>0</v>
      </c>
      <c r="AC11" s="129">
        <v>0</v>
      </c>
      <c r="AD11" s="129">
        <v>0</v>
      </c>
      <c r="AE11" s="129">
        <v>0</v>
      </c>
      <c r="AF11" s="129">
        <v>0</v>
      </c>
      <c r="AG11" s="129">
        <v>0</v>
      </c>
      <c r="AH11" s="129">
        <v>0</v>
      </c>
      <c r="AI11" s="126">
        <v>0</v>
      </c>
      <c r="AJ11" s="131">
        <v>24</v>
      </c>
    </row>
    <row r="12" spans="1:36" x14ac:dyDescent="0.35">
      <c r="A12" s="127" t="s">
        <v>335</v>
      </c>
      <c r="B12" s="127" t="s">
        <v>336</v>
      </c>
      <c r="C12" s="129">
        <v>97</v>
      </c>
      <c r="D12" s="129">
        <v>62</v>
      </c>
      <c r="E12" s="129">
        <v>31</v>
      </c>
      <c r="F12" s="129">
        <v>12</v>
      </c>
      <c r="G12" s="129">
        <v>202</v>
      </c>
      <c r="H12" s="129">
        <v>44</v>
      </c>
      <c r="I12" s="129">
        <v>31</v>
      </c>
      <c r="J12" s="129">
        <v>8</v>
      </c>
      <c r="K12" s="129">
        <v>0</v>
      </c>
      <c r="L12" s="129">
        <v>83</v>
      </c>
      <c r="M12" s="129">
        <v>9</v>
      </c>
      <c r="N12" s="129">
        <v>8</v>
      </c>
      <c r="O12" s="129">
        <v>0</v>
      </c>
      <c r="P12" s="129">
        <v>0</v>
      </c>
      <c r="Q12" s="129">
        <v>17</v>
      </c>
      <c r="R12" s="129">
        <v>0</v>
      </c>
      <c r="S12" s="129">
        <v>0</v>
      </c>
      <c r="T12" s="129">
        <v>0</v>
      </c>
      <c r="U12" s="129">
        <v>0</v>
      </c>
      <c r="V12" s="129">
        <v>0</v>
      </c>
      <c r="W12" s="129">
        <v>8</v>
      </c>
      <c r="X12" s="129">
        <v>1</v>
      </c>
      <c r="Y12" s="129">
        <v>0</v>
      </c>
      <c r="Z12" s="129">
        <v>0</v>
      </c>
      <c r="AA12" s="129">
        <v>9</v>
      </c>
      <c r="AB12" s="129">
        <v>3</v>
      </c>
      <c r="AC12" s="129">
        <v>3</v>
      </c>
      <c r="AD12" s="129">
        <v>0</v>
      </c>
      <c r="AE12" s="129">
        <v>0</v>
      </c>
      <c r="AF12" s="129">
        <v>6</v>
      </c>
      <c r="AG12" s="129">
        <v>0</v>
      </c>
      <c r="AH12" s="129">
        <v>0</v>
      </c>
      <c r="AI12" s="126">
        <v>0</v>
      </c>
      <c r="AJ12" s="131">
        <v>317</v>
      </c>
    </row>
    <row r="13" spans="1:36" x14ac:dyDescent="0.35">
      <c r="A13" s="127" t="s">
        <v>337</v>
      </c>
      <c r="B13" s="127" t="s">
        <v>338</v>
      </c>
      <c r="C13" s="129">
        <v>14</v>
      </c>
      <c r="D13" s="129">
        <v>37</v>
      </c>
      <c r="E13" s="129">
        <v>34</v>
      </c>
      <c r="F13" s="129">
        <v>14</v>
      </c>
      <c r="G13" s="129">
        <v>99</v>
      </c>
      <c r="H13" s="129">
        <v>3</v>
      </c>
      <c r="I13" s="129">
        <v>0</v>
      </c>
      <c r="J13" s="129">
        <v>0</v>
      </c>
      <c r="K13" s="129">
        <v>0</v>
      </c>
      <c r="L13" s="129">
        <v>3</v>
      </c>
      <c r="M13" s="129">
        <v>0</v>
      </c>
      <c r="N13" s="129">
        <v>0</v>
      </c>
      <c r="O13" s="129">
        <v>0</v>
      </c>
      <c r="P13" s="129">
        <v>0</v>
      </c>
      <c r="Q13" s="129">
        <v>0</v>
      </c>
      <c r="R13" s="129">
        <v>0</v>
      </c>
      <c r="S13" s="129">
        <v>0</v>
      </c>
      <c r="T13" s="129">
        <v>0</v>
      </c>
      <c r="U13" s="129">
        <v>0</v>
      </c>
      <c r="V13" s="129">
        <v>0</v>
      </c>
      <c r="W13" s="129">
        <v>0</v>
      </c>
      <c r="X13" s="129">
        <v>0</v>
      </c>
      <c r="Y13" s="129">
        <v>0</v>
      </c>
      <c r="Z13" s="129">
        <v>0</v>
      </c>
      <c r="AA13" s="129">
        <v>0</v>
      </c>
      <c r="AB13" s="129">
        <v>0</v>
      </c>
      <c r="AC13" s="129">
        <v>0</v>
      </c>
      <c r="AD13" s="129">
        <v>0</v>
      </c>
      <c r="AE13" s="129">
        <v>0</v>
      </c>
      <c r="AF13" s="129">
        <v>0</v>
      </c>
      <c r="AG13" s="129">
        <v>0</v>
      </c>
      <c r="AH13" s="129">
        <v>0</v>
      </c>
      <c r="AI13" s="126">
        <v>0</v>
      </c>
      <c r="AJ13" s="131">
        <v>102</v>
      </c>
    </row>
    <row r="14" spans="1:36" x14ac:dyDescent="0.35">
      <c r="A14" s="127" t="s">
        <v>339</v>
      </c>
      <c r="B14" s="127" t="s">
        <v>340</v>
      </c>
      <c r="C14" s="129">
        <v>53</v>
      </c>
      <c r="D14" s="129">
        <v>16</v>
      </c>
      <c r="E14" s="129">
        <v>2</v>
      </c>
      <c r="F14" s="129">
        <v>2</v>
      </c>
      <c r="G14" s="129">
        <v>73</v>
      </c>
      <c r="H14" s="129">
        <v>115</v>
      </c>
      <c r="I14" s="129">
        <v>11</v>
      </c>
      <c r="J14" s="129">
        <v>6</v>
      </c>
      <c r="K14" s="129">
        <v>1</v>
      </c>
      <c r="L14" s="129">
        <v>133</v>
      </c>
      <c r="M14" s="129">
        <v>6</v>
      </c>
      <c r="N14" s="129">
        <v>0</v>
      </c>
      <c r="O14" s="129">
        <v>0</v>
      </c>
      <c r="P14" s="129">
        <v>0</v>
      </c>
      <c r="Q14" s="129">
        <v>6</v>
      </c>
      <c r="R14" s="129">
        <v>0</v>
      </c>
      <c r="S14" s="129">
        <v>0</v>
      </c>
      <c r="T14" s="129">
        <v>0</v>
      </c>
      <c r="U14" s="129">
        <v>0</v>
      </c>
      <c r="V14" s="129">
        <v>0</v>
      </c>
      <c r="W14" s="129">
        <v>6</v>
      </c>
      <c r="X14" s="129">
        <v>0</v>
      </c>
      <c r="Y14" s="129">
        <v>0</v>
      </c>
      <c r="Z14" s="129">
        <v>0</v>
      </c>
      <c r="AA14" s="129">
        <v>6</v>
      </c>
      <c r="AB14" s="129">
        <v>21</v>
      </c>
      <c r="AC14" s="129">
        <v>2</v>
      </c>
      <c r="AD14" s="129">
        <v>0</v>
      </c>
      <c r="AE14" s="129">
        <v>0</v>
      </c>
      <c r="AF14" s="129">
        <v>23</v>
      </c>
      <c r="AG14" s="129">
        <v>0</v>
      </c>
      <c r="AH14" s="129">
        <v>0</v>
      </c>
      <c r="AI14" s="126">
        <v>0</v>
      </c>
      <c r="AJ14" s="131">
        <v>241</v>
      </c>
    </row>
    <row r="15" spans="1:36" x14ac:dyDescent="0.35">
      <c r="A15" s="127" t="s">
        <v>341</v>
      </c>
      <c r="B15" s="127" t="s">
        <v>342</v>
      </c>
      <c r="C15" s="129">
        <v>6</v>
      </c>
      <c r="D15" s="129">
        <v>3</v>
      </c>
      <c r="E15" s="129">
        <v>2</v>
      </c>
      <c r="F15" s="129">
        <v>0</v>
      </c>
      <c r="G15" s="129">
        <v>11</v>
      </c>
      <c r="H15" s="129">
        <v>0</v>
      </c>
      <c r="I15" s="129">
        <v>0</v>
      </c>
      <c r="J15" s="129">
        <v>0</v>
      </c>
      <c r="K15" s="129">
        <v>0</v>
      </c>
      <c r="L15" s="129">
        <v>0</v>
      </c>
      <c r="M15" s="129">
        <v>1</v>
      </c>
      <c r="N15" s="129">
        <v>0</v>
      </c>
      <c r="O15" s="129">
        <v>0</v>
      </c>
      <c r="P15" s="129">
        <v>0</v>
      </c>
      <c r="Q15" s="129">
        <v>1</v>
      </c>
      <c r="R15" s="129">
        <v>0</v>
      </c>
      <c r="S15" s="129">
        <v>0</v>
      </c>
      <c r="T15" s="129">
        <v>0</v>
      </c>
      <c r="U15" s="129">
        <v>0</v>
      </c>
      <c r="V15" s="129">
        <v>0</v>
      </c>
      <c r="W15" s="129">
        <v>0</v>
      </c>
      <c r="X15" s="129">
        <v>0</v>
      </c>
      <c r="Y15" s="129">
        <v>0</v>
      </c>
      <c r="Z15" s="129">
        <v>0</v>
      </c>
      <c r="AA15" s="129">
        <v>0</v>
      </c>
      <c r="AB15" s="129">
        <v>0</v>
      </c>
      <c r="AC15" s="129">
        <v>0</v>
      </c>
      <c r="AD15" s="129">
        <v>0</v>
      </c>
      <c r="AE15" s="129">
        <v>0</v>
      </c>
      <c r="AF15" s="129">
        <v>0</v>
      </c>
      <c r="AG15" s="129">
        <v>0</v>
      </c>
      <c r="AH15" s="129">
        <v>0</v>
      </c>
      <c r="AI15" s="126">
        <v>0</v>
      </c>
      <c r="AJ15" s="131">
        <v>12</v>
      </c>
    </row>
    <row r="16" spans="1:36" x14ac:dyDescent="0.35">
      <c r="A16" s="127" t="s">
        <v>343</v>
      </c>
      <c r="B16" s="127" t="s">
        <v>344</v>
      </c>
      <c r="C16" s="129">
        <v>23</v>
      </c>
      <c r="D16" s="129">
        <v>4</v>
      </c>
      <c r="E16" s="129">
        <v>2</v>
      </c>
      <c r="F16" s="129">
        <v>3</v>
      </c>
      <c r="G16" s="129">
        <v>32</v>
      </c>
      <c r="H16" s="129">
        <v>1</v>
      </c>
      <c r="I16" s="129">
        <v>0</v>
      </c>
      <c r="J16" s="129">
        <v>0</v>
      </c>
      <c r="K16" s="129">
        <v>0</v>
      </c>
      <c r="L16" s="129">
        <v>1</v>
      </c>
      <c r="M16" s="129">
        <v>0</v>
      </c>
      <c r="N16" s="129">
        <v>0</v>
      </c>
      <c r="O16" s="129">
        <v>0</v>
      </c>
      <c r="P16" s="129">
        <v>0</v>
      </c>
      <c r="Q16" s="129">
        <v>0</v>
      </c>
      <c r="R16" s="129">
        <v>0</v>
      </c>
      <c r="S16" s="129">
        <v>0</v>
      </c>
      <c r="T16" s="129">
        <v>0</v>
      </c>
      <c r="U16" s="129">
        <v>0</v>
      </c>
      <c r="V16" s="129">
        <v>0</v>
      </c>
      <c r="W16" s="129">
        <v>0</v>
      </c>
      <c r="X16" s="129">
        <v>0</v>
      </c>
      <c r="Y16" s="129">
        <v>0</v>
      </c>
      <c r="Z16" s="129">
        <v>0</v>
      </c>
      <c r="AA16" s="129">
        <v>0</v>
      </c>
      <c r="AB16" s="129">
        <v>0</v>
      </c>
      <c r="AC16" s="129">
        <v>0</v>
      </c>
      <c r="AD16" s="129">
        <v>0</v>
      </c>
      <c r="AE16" s="129">
        <v>0</v>
      </c>
      <c r="AF16" s="129">
        <v>0</v>
      </c>
      <c r="AG16" s="129">
        <v>0</v>
      </c>
      <c r="AH16" s="129">
        <v>0</v>
      </c>
      <c r="AI16" s="126">
        <v>0</v>
      </c>
      <c r="AJ16" s="131">
        <v>33</v>
      </c>
    </row>
    <row r="17" spans="1:36" x14ac:dyDescent="0.35">
      <c r="A17" s="127" t="s">
        <v>345</v>
      </c>
      <c r="B17" s="127" t="s">
        <v>346</v>
      </c>
      <c r="C17" s="129">
        <v>9</v>
      </c>
      <c r="D17" s="129">
        <v>14</v>
      </c>
      <c r="E17" s="129">
        <v>12</v>
      </c>
      <c r="F17" s="129">
        <v>3</v>
      </c>
      <c r="G17" s="129">
        <v>38</v>
      </c>
      <c r="H17" s="129">
        <v>1</v>
      </c>
      <c r="I17" s="129">
        <v>1</v>
      </c>
      <c r="J17" s="129">
        <v>0</v>
      </c>
      <c r="K17" s="129">
        <v>0</v>
      </c>
      <c r="L17" s="129">
        <v>2</v>
      </c>
      <c r="M17" s="129">
        <v>0</v>
      </c>
      <c r="N17" s="129">
        <v>0</v>
      </c>
      <c r="O17" s="129">
        <v>0</v>
      </c>
      <c r="P17" s="129">
        <v>0</v>
      </c>
      <c r="Q17" s="129">
        <v>0</v>
      </c>
      <c r="R17" s="129">
        <v>0</v>
      </c>
      <c r="S17" s="129">
        <v>0</v>
      </c>
      <c r="T17" s="129">
        <v>0</v>
      </c>
      <c r="U17" s="129">
        <v>0</v>
      </c>
      <c r="V17" s="129">
        <v>0</v>
      </c>
      <c r="W17" s="129">
        <v>0</v>
      </c>
      <c r="X17" s="129">
        <v>0</v>
      </c>
      <c r="Y17" s="129">
        <v>0</v>
      </c>
      <c r="Z17" s="129">
        <v>0</v>
      </c>
      <c r="AA17" s="129">
        <v>0</v>
      </c>
      <c r="AB17" s="129">
        <v>0</v>
      </c>
      <c r="AC17" s="129">
        <v>0</v>
      </c>
      <c r="AD17" s="129">
        <v>0</v>
      </c>
      <c r="AE17" s="129">
        <v>0</v>
      </c>
      <c r="AF17" s="129">
        <v>0</v>
      </c>
      <c r="AG17" s="129">
        <v>0</v>
      </c>
      <c r="AH17" s="129">
        <v>0</v>
      </c>
      <c r="AI17" s="126">
        <v>0</v>
      </c>
      <c r="AJ17" s="131">
        <v>40</v>
      </c>
    </row>
    <row r="18" spans="1:36" x14ac:dyDescent="0.35">
      <c r="A18" s="127" t="s">
        <v>347</v>
      </c>
      <c r="B18" s="127" t="s">
        <v>348</v>
      </c>
      <c r="C18" s="129">
        <v>3</v>
      </c>
      <c r="D18" s="129">
        <v>2</v>
      </c>
      <c r="E18" s="129">
        <v>0</v>
      </c>
      <c r="F18" s="129">
        <v>1</v>
      </c>
      <c r="G18" s="129">
        <v>6</v>
      </c>
      <c r="H18" s="129">
        <v>1</v>
      </c>
      <c r="I18" s="129">
        <v>0</v>
      </c>
      <c r="J18" s="129">
        <v>0</v>
      </c>
      <c r="K18" s="129">
        <v>1</v>
      </c>
      <c r="L18" s="129">
        <v>2</v>
      </c>
      <c r="M18" s="129">
        <v>1</v>
      </c>
      <c r="N18" s="129">
        <v>0</v>
      </c>
      <c r="O18" s="129">
        <v>0</v>
      </c>
      <c r="P18" s="129">
        <v>0</v>
      </c>
      <c r="Q18" s="129">
        <v>1</v>
      </c>
      <c r="R18" s="129">
        <v>1</v>
      </c>
      <c r="S18" s="129">
        <v>0</v>
      </c>
      <c r="T18" s="129">
        <v>0</v>
      </c>
      <c r="U18" s="129">
        <v>0</v>
      </c>
      <c r="V18" s="129">
        <v>1</v>
      </c>
      <c r="W18" s="129">
        <v>0</v>
      </c>
      <c r="X18" s="129">
        <v>0</v>
      </c>
      <c r="Y18" s="129">
        <v>0</v>
      </c>
      <c r="Z18" s="129">
        <v>0</v>
      </c>
      <c r="AA18" s="129">
        <v>0</v>
      </c>
      <c r="AB18" s="129">
        <v>0</v>
      </c>
      <c r="AC18" s="129">
        <v>0</v>
      </c>
      <c r="AD18" s="129">
        <v>0</v>
      </c>
      <c r="AE18" s="129">
        <v>0</v>
      </c>
      <c r="AF18" s="129">
        <v>0</v>
      </c>
      <c r="AG18" s="129">
        <v>0</v>
      </c>
      <c r="AH18" s="129">
        <v>0</v>
      </c>
      <c r="AI18" s="126">
        <v>0</v>
      </c>
      <c r="AJ18" s="131">
        <v>10</v>
      </c>
    </row>
    <row r="19" spans="1:36" x14ac:dyDescent="0.35">
      <c r="A19" s="127" t="s">
        <v>349</v>
      </c>
      <c r="B19" s="127" t="s">
        <v>1211</v>
      </c>
      <c r="C19" s="129">
        <v>61</v>
      </c>
      <c r="D19" s="129">
        <v>7</v>
      </c>
      <c r="E19" s="129">
        <v>2</v>
      </c>
      <c r="F19" s="129">
        <v>0</v>
      </c>
      <c r="G19" s="129">
        <v>70</v>
      </c>
      <c r="H19" s="129">
        <v>5</v>
      </c>
      <c r="I19" s="129">
        <v>1</v>
      </c>
      <c r="J19" s="129">
        <v>0</v>
      </c>
      <c r="K19" s="129">
        <v>0</v>
      </c>
      <c r="L19" s="129">
        <v>6</v>
      </c>
      <c r="M19" s="129">
        <v>1</v>
      </c>
      <c r="N19" s="129">
        <v>1</v>
      </c>
      <c r="O19" s="129">
        <v>0</v>
      </c>
      <c r="P19" s="129">
        <v>0</v>
      </c>
      <c r="Q19" s="129">
        <v>2</v>
      </c>
      <c r="R19" s="129">
        <v>0</v>
      </c>
      <c r="S19" s="129">
        <v>0</v>
      </c>
      <c r="T19" s="129">
        <v>0</v>
      </c>
      <c r="U19" s="129">
        <v>0</v>
      </c>
      <c r="V19" s="129">
        <v>0</v>
      </c>
      <c r="W19" s="129">
        <v>3</v>
      </c>
      <c r="X19" s="129">
        <v>0</v>
      </c>
      <c r="Y19" s="129">
        <v>0</v>
      </c>
      <c r="Z19" s="129">
        <v>0</v>
      </c>
      <c r="AA19" s="129">
        <v>3</v>
      </c>
      <c r="AB19" s="129">
        <v>2</v>
      </c>
      <c r="AC19" s="129">
        <v>0</v>
      </c>
      <c r="AD19" s="129">
        <v>0</v>
      </c>
      <c r="AE19" s="129">
        <v>0</v>
      </c>
      <c r="AF19" s="129">
        <v>2</v>
      </c>
      <c r="AG19" s="129">
        <v>0</v>
      </c>
      <c r="AH19" s="129">
        <v>0</v>
      </c>
      <c r="AI19" s="126">
        <v>0</v>
      </c>
      <c r="AJ19" s="131">
        <v>83</v>
      </c>
    </row>
    <row r="20" spans="1:36" x14ac:dyDescent="0.35">
      <c r="A20" s="127" t="s">
        <v>350</v>
      </c>
      <c r="B20" s="127" t="s">
        <v>351</v>
      </c>
      <c r="C20" s="129">
        <v>20</v>
      </c>
      <c r="D20" s="129">
        <v>6</v>
      </c>
      <c r="E20" s="129">
        <v>3</v>
      </c>
      <c r="F20" s="129">
        <v>1</v>
      </c>
      <c r="G20" s="129">
        <v>30</v>
      </c>
      <c r="H20" s="129">
        <v>2</v>
      </c>
      <c r="I20" s="129">
        <v>1</v>
      </c>
      <c r="J20" s="129">
        <v>0</v>
      </c>
      <c r="K20" s="129">
        <v>0</v>
      </c>
      <c r="L20" s="129">
        <v>3</v>
      </c>
      <c r="M20" s="129">
        <v>7</v>
      </c>
      <c r="N20" s="129">
        <v>0</v>
      </c>
      <c r="O20" s="129">
        <v>0</v>
      </c>
      <c r="P20" s="129">
        <v>0</v>
      </c>
      <c r="Q20" s="129">
        <v>7</v>
      </c>
      <c r="R20" s="129">
        <v>1</v>
      </c>
      <c r="S20" s="129">
        <v>0</v>
      </c>
      <c r="T20" s="129">
        <v>0</v>
      </c>
      <c r="U20" s="129">
        <v>0</v>
      </c>
      <c r="V20" s="129">
        <v>1</v>
      </c>
      <c r="W20" s="129">
        <v>0</v>
      </c>
      <c r="X20" s="129">
        <v>0</v>
      </c>
      <c r="Y20" s="129">
        <v>0</v>
      </c>
      <c r="Z20" s="129">
        <v>0</v>
      </c>
      <c r="AA20" s="129">
        <v>0</v>
      </c>
      <c r="AB20" s="129">
        <v>1</v>
      </c>
      <c r="AC20" s="129">
        <v>0</v>
      </c>
      <c r="AD20" s="129">
        <v>0</v>
      </c>
      <c r="AE20" s="129">
        <v>0</v>
      </c>
      <c r="AF20" s="129">
        <v>1</v>
      </c>
      <c r="AG20" s="129">
        <v>0</v>
      </c>
      <c r="AH20" s="129">
        <v>0</v>
      </c>
      <c r="AI20" s="126">
        <v>0</v>
      </c>
      <c r="AJ20" s="131">
        <v>42</v>
      </c>
    </row>
    <row r="21" spans="1:36" x14ac:dyDescent="0.35">
      <c r="A21" s="127" t="s">
        <v>352</v>
      </c>
      <c r="B21" s="127" t="s">
        <v>1212</v>
      </c>
      <c r="C21" s="129">
        <v>64</v>
      </c>
      <c r="D21" s="129">
        <v>3</v>
      </c>
      <c r="E21" s="129">
        <v>0</v>
      </c>
      <c r="F21" s="129">
        <v>0</v>
      </c>
      <c r="G21" s="129">
        <v>67</v>
      </c>
      <c r="H21" s="129">
        <v>20</v>
      </c>
      <c r="I21" s="129">
        <v>0</v>
      </c>
      <c r="J21" s="129">
        <v>0</v>
      </c>
      <c r="K21" s="129">
        <v>0</v>
      </c>
      <c r="L21" s="129">
        <v>20</v>
      </c>
      <c r="M21" s="129">
        <v>8</v>
      </c>
      <c r="N21" s="129">
        <v>0</v>
      </c>
      <c r="O21" s="129">
        <v>0</v>
      </c>
      <c r="P21" s="129">
        <v>0</v>
      </c>
      <c r="Q21" s="129">
        <v>8</v>
      </c>
      <c r="R21" s="129">
        <v>4</v>
      </c>
      <c r="S21" s="129">
        <v>0</v>
      </c>
      <c r="T21" s="129">
        <v>0</v>
      </c>
      <c r="U21" s="129">
        <v>0</v>
      </c>
      <c r="V21" s="129">
        <v>4</v>
      </c>
      <c r="W21" s="129">
        <v>11</v>
      </c>
      <c r="X21" s="129">
        <v>0</v>
      </c>
      <c r="Y21" s="129">
        <v>0</v>
      </c>
      <c r="Z21" s="129">
        <v>0</v>
      </c>
      <c r="AA21" s="129">
        <v>11</v>
      </c>
      <c r="AB21" s="129">
        <v>14</v>
      </c>
      <c r="AC21" s="129">
        <v>0</v>
      </c>
      <c r="AD21" s="129">
        <v>0</v>
      </c>
      <c r="AE21" s="129">
        <v>0</v>
      </c>
      <c r="AF21" s="129">
        <v>14</v>
      </c>
      <c r="AG21" s="129">
        <v>0</v>
      </c>
      <c r="AH21" s="129">
        <v>0</v>
      </c>
      <c r="AI21" s="126">
        <v>0</v>
      </c>
      <c r="AJ21" s="131">
        <v>124</v>
      </c>
    </row>
    <row r="22" spans="1:36" x14ac:dyDescent="0.35">
      <c r="A22" s="127" t="s">
        <v>353</v>
      </c>
      <c r="B22" s="127" t="s">
        <v>354</v>
      </c>
      <c r="C22" s="129">
        <v>340</v>
      </c>
      <c r="D22" s="129">
        <v>291</v>
      </c>
      <c r="E22" s="129">
        <v>104</v>
      </c>
      <c r="F22" s="129">
        <v>8</v>
      </c>
      <c r="G22" s="129">
        <v>743</v>
      </c>
      <c r="H22" s="129">
        <v>13</v>
      </c>
      <c r="I22" s="129">
        <v>4</v>
      </c>
      <c r="J22" s="129">
        <v>3</v>
      </c>
      <c r="K22" s="129">
        <v>2</v>
      </c>
      <c r="L22" s="129">
        <v>22</v>
      </c>
      <c r="M22" s="129">
        <v>78</v>
      </c>
      <c r="N22" s="129">
        <v>29</v>
      </c>
      <c r="O22" s="129">
        <v>3</v>
      </c>
      <c r="P22" s="129">
        <v>1</v>
      </c>
      <c r="Q22" s="129">
        <v>111</v>
      </c>
      <c r="R22" s="129">
        <v>43</v>
      </c>
      <c r="S22" s="129">
        <v>18</v>
      </c>
      <c r="T22" s="129">
        <v>0</v>
      </c>
      <c r="U22" s="129">
        <v>0</v>
      </c>
      <c r="V22" s="129">
        <v>61</v>
      </c>
      <c r="W22" s="129">
        <v>23</v>
      </c>
      <c r="X22" s="129">
        <v>2</v>
      </c>
      <c r="Y22" s="129">
        <v>1</v>
      </c>
      <c r="Z22" s="129">
        <v>0</v>
      </c>
      <c r="AA22" s="129">
        <v>26</v>
      </c>
      <c r="AB22" s="129">
        <v>6</v>
      </c>
      <c r="AC22" s="129">
        <v>2</v>
      </c>
      <c r="AD22" s="129">
        <v>1</v>
      </c>
      <c r="AE22" s="129">
        <v>0</v>
      </c>
      <c r="AF22" s="129">
        <v>9</v>
      </c>
      <c r="AG22" s="129">
        <v>0</v>
      </c>
      <c r="AH22" s="129">
        <v>0</v>
      </c>
      <c r="AI22" s="126">
        <v>0</v>
      </c>
      <c r="AJ22" s="131">
        <v>972</v>
      </c>
    </row>
    <row r="23" spans="1:36" x14ac:dyDescent="0.35">
      <c r="A23" s="127" t="s">
        <v>355</v>
      </c>
      <c r="B23" s="127" t="s">
        <v>1213</v>
      </c>
      <c r="C23" s="129">
        <v>19</v>
      </c>
      <c r="D23" s="129">
        <v>2</v>
      </c>
      <c r="E23" s="129">
        <v>1</v>
      </c>
      <c r="F23" s="129">
        <v>0</v>
      </c>
      <c r="G23" s="129">
        <v>22</v>
      </c>
      <c r="H23" s="129">
        <v>1</v>
      </c>
      <c r="I23" s="129">
        <v>0</v>
      </c>
      <c r="J23" s="129">
        <v>0</v>
      </c>
      <c r="K23" s="129">
        <v>0</v>
      </c>
      <c r="L23" s="129">
        <v>1</v>
      </c>
      <c r="M23" s="129">
        <v>0</v>
      </c>
      <c r="N23" s="129">
        <v>0</v>
      </c>
      <c r="O23" s="129">
        <v>0</v>
      </c>
      <c r="P23" s="129">
        <v>0</v>
      </c>
      <c r="Q23" s="129">
        <v>0</v>
      </c>
      <c r="R23" s="129">
        <v>0</v>
      </c>
      <c r="S23" s="129">
        <v>0</v>
      </c>
      <c r="T23" s="129">
        <v>0</v>
      </c>
      <c r="U23" s="129">
        <v>0</v>
      </c>
      <c r="V23" s="129">
        <v>0</v>
      </c>
      <c r="W23" s="129">
        <v>10</v>
      </c>
      <c r="X23" s="129">
        <v>0</v>
      </c>
      <c r="Y23" s="129">
        <v>0</v>
      </c>
      <c r="Z23" s="129">
        <v>0</v>
      </c>
      <c r="AA23" s="129">
        <v>10</v>
      </c>
      <c r="AB23" s="129">
        <v>1</v>
      </c>
      <c r="AC23" s="129">
        <v>0</v>
      </c>
      <c r="AD23" s="129">
        <v>0</v>
      </c>
      <c r="AE23" s="129">
        <v>0</v>
      </c>
      <c r="AF23" s="129">
        <v>1</v>
      </c>
      <c r="AG23" s="129">
        <v>0</v>
      </c>
      <c r="AH23" s="129">
        <v>0</v>
      </c>
      <c r="AI23" s="126">
        <v>0</v>
      </c>
      <c r="AJ23" s="131">
        <v>34</v>
      </c>
    </row>
    <row r="24" spans="1:36" x14ac:dyDescent="0.35">
      <c r="A24" s="127" t="s">
        <v>356</v>
      </c>
      <c r="B24" s="127" t="s">
        <v>1214</v>
      </c>
      <c r="C24" s="129">
        <v>1</v>
      </c>
      <c r="D24" s="129">
        <v>1</v>
      </c>
      <c r="E24" s="129">
        <v>0</v>
      </c>
      <c r="F24" s="129">
        <v>0</v>
      </c>
      <c r="G24" s="129">
        <v>2</v>
      </c>
      <c r="H24" s="129">
        <v>1</v>
      </c>
      <c r="I24" s="129">
        <v>0</v>
      </c>
      <c r="J24" s="129">
        <v>0</v>
      </c>
      <c r="K24" s="129">
        <v>0</v>
      </c>
      <c r="L24" s="129">
        <v>1</v>
      </c>
      <c r="M24" s="129">
        <v>0</v>
      </c>
      <c r="N24" s="129">
        <v>0</v>
      </c>
      <c r="O24" s="129">
        <v>0</v>
      </c>
      <c r="P24" s="129">
        <v>0</v>
      </c>
      <c r="Q24" s="129">
        <v>0</v>
      </c>
      <c r="R24" s="129">
        <v>0</v>
      </c>
      <c r="S24" s="129">
        <v>0</v>
      </c>
      <c r="T24" s="129">
        <v>0</v>
      </c>
      <c r="U24" s="129">
        <v>0</v>
      </c>
      <c r="V24" s="129">
        <v>0</v>
      </c>
      <c r="W24" s="129">
        <v>0</v>
      </c>
      <c r="X24" s="129">
        <v>0</v>
      </c>
      <c r="Y24" s="129">
        <v>0</v>
      </c>
      <c r="Z24" s="129">
        <v>0</v>
      </c>
      <c r="AA24" s="129">
        <v>0</v>
      </c>
      <c r="AB24" s="129">
        <v>0</v>
      </c>
      <c r="AC24" s="129">
        <v>0</v>
      </c>
      <c r="AD24" s="129">
        <v>0</v>
      </c>
      <c r="AE24" s="129">
        <v>0</v>
      </c>
      <c r="AF24" s="129">
        <v>0</v>
      </c>
      <c r="AG24" s="129">
        <v>0</v>
      </c>
      <c r="AH24" s="129">
        <v>0</v>
      </c>
      <c r="AI24" s="126">
        <v>0</v>
      </c>
      <c r="AJ24" s="131">
        <v>3</v>
      </c>
    </row>
    <row r="25" spans="1:36" x14ac:dyDescent="0.35">
      <c r="A25" s="127" t="s">
        <v>357</v>
      </c>
      <c r="B25" s="127" t="s">
        <v>358</v>
      </c>
      <c r="C25" s="129">
        <v>44</v>
      </c>
      <c r="D25" s="129">
        <v>39</v>
      </c>
      <c r="E25" s="129">
        <v>16</v>
      </c>
      <c r="F25" s="129">
        <v>2</v>
      </c>
      <c r="G25" s="129">
        <v>101</v>
      </c>
      <c r="H25" s="129">
        <v>12</v>
      </c>
      <c r="I25" s="129">
        <v>3</v>
      </c>
      <c r="J25" s="129">
        <v>1</v>
      </c>
      <c r="K25" s="129">
        <v>0</v>
      </c>
      <c r="L25" s="129">
        <v>16</v>
      </c>
      <c r="M25" s="129">
        <v>33</v>
      </c>
      <c r="N25" s="129">
        <v>19</v>
      </c>
      <c r="O25" s="129">
        <v>3</v>
      </c>
      <c r="P25" s="129">
        <v>0</v>
      </c>
      <c r="Q25" s="129">
        <v>55</v>
      </c>
      <c r="R25" s="129">
        <v>3</v>
      </c>
      <c r="S25" s="129">
        <v>0</v>
      </c>
      <c r="T25" s="129">
        <v>0</v>
      </c>
      <c r="U25" s="129">
        <v>0</v>
      </c>
      <c r="V25" s="129">
        <v>3</v>
      </c>
      <c r="W25" s="129">
        <v>17</v>
      </c>
      <c r="X25" s="129">
        <v>6</v>
      </c>
      <c r="Y25" s="129">
        <v>0</v>
      </c>
      <c r="Z25" s="129">
        <v>1</v>
      </c>
      <c r="AA25" s="129">
        <v>24</v>
      </c>
      <c r="AB25" s="129">
        <v>11</v>
      </c>
      <c r="AC25" s="129">
        <v>1</v>
      </c>
      <c r="AD25" s="129">
        <v>0</v>
      </c>
      <c r="AE25" s="129">
        <v>0</v>
      </c>
      <c r="AF25" s="129">
        <v>12</v>
      </c>
      <c r="AG25" s="129">
        <v>0</v>
      </c>
      <c r="AH25" s="129">
        <v>0</v>
      </c>
      <c r="AI25" s="126">
        <v>0</v>
      </c>
      <c r="AJ25" s="131">
        <v>211</v>
      </c>
    </row>
    <row r="26" spans="1:36" x14ac:dyDescent="0.35">
      <c r="A26" s="127" t="s">
        <v>359</v>
      </c>
      <c r="B26" s="127" t="s">
        <v>360</v>
      </c>
      <c r="C26" s="129">
        <v>31</v>
      </c>
      <c r="D26" s="129">
        <v>4</v>
      </c>
      <c r="E26" s="129">
        <v>5</v>
      </c>
      <c r="F26" s="129">
        <v>1</v>
      </c>
      <c r="G26" s="129">
        <v>41</v>
      </c>
      <c r="H26" s="129">
        <v>11</v>
      </c>
      <c r="I26" s="129">
        <v>0</v>
      </c>
      <c r="J26" s="129">
        <v>0</v>
      </c>
      <c r="K26" s="129">
        <v>0</v>
      </c>
      <c r="L26" s="129">
        <v>11</v>
      </c>
      <c r="M26" s="129">
        <v>14</v>
      </c>
      <c r="N26" s="129">
        <v>1</v>
      </c>
      <c r="O26" s="129">
        <v>0</v>
      </c>
      <c r="P26" s="129">
        <v>0</v>
      </c>
      <c r="Q26" s="129">
        <v>15</v>
      </c>
      <c r="R26" s="129">
        <v>1</v>
      </c>
      <c r="S26" s="129">
        <v>0</v>
      </c>
      <c r="T26" s="129">
        <v>0</v>
      </c>
      <c r="U26" s="129">
        <v>0</v>
      </c>
      <c r="V26" s="129">
        <v>1</v>
      </c>
      <c r="W26" s="129">
        <v>14</v>
      </c>
      <c r="X26" s="129">
        <v>1</v>
      </c>
      <c r="Y26" s="129">
        <v>1</v>
      </c>
      <c r="Z26" s="129">
        <v>0</v>
      </c>
      <c r="AA26" s="129">
        <v>16</v>
      </c>
      <c r="AB26" s="129">
        <v>7</v>
      </c>
      <c r="AC26" s="129">
        <v>1</v>
      </c>
      <c r="AD26" s="129">
        <v>0</v>
      </c>
      <c r="AE26" s="129">
        <v>0</v>
      </c>
      <c r="AF26" s="129">
        <v>8</v>
      </c>
      <c r="AG26" s="129">
        <v>0</v>
      </c>
      <c r="AH26" s="129">
        <v>0</v>
      </c>
      <c r="AI26" s="126">
        <v>0</v>
      </c>
      <c r="AJ26" s="131">
        <v>92</v>
      </c>
    </row>
    <row r="27" spans="1:36" x14ac:dyDescent="0.35">
      <c r="A27" s="127" t="s">
        <v>361</v>
      </c>
      <c r="B27" s="127" t="s">
        <v>362</v>
      </c>
      <c r="C27" s="129">
        <v>27</v>
      </c>
      <c r="D27" s="129">
        <v>3</v>
      </c>
      <c r="E27" s="129">
        <v>0</v>
      </c>
      <c r="F27" s="129">
        <v>1</v>
      </c>
      <c r="G27" s="129">
        <v>31</v>
      </c>
      <c r="H27" s="129">
        <v>13</v>
      </c>
      <c r="I27" s="129">
        <v>1</v>
      </c>
      <c r="J27" s="129">
        <v>0</v>
      </c>
      <c r="K27" s="129">
        <v>0</v>
      </c>
      <c r="L27" s="129">
        <v>14</v>
      </c>
      <c r="M27" s="129">
        <v>1</v>
      </c>
      <c r="N27" s="129">
        <v>0</v>
      </c>
      <c r="O27" s="129">
        <v>0</v>
      </c>
      <c r="P27" s="129">
        <v>0</v>
      </c>
      <c r="Q27" s="129">
        <v>1</v>
      </c>
      <c r="R27" s="129">
        <v>1</v>
      </c>
      <c r="S27" s="129">
        <v>0</v>
      </c>
      <c r="T27" s="129">
        <v>0</v>
      </c>
      <c r="U27" s="129">
        <v>0</v>
      </c>
      <c r="V27" s="129">
        <v>1</v>
      </c>
      <c r="W27" s="129">
        <v>9</v>
      </c>
      <c r="X27" s="129">
        <v>0</v>
      </c>
      <c r="Y27" s="129">
        <v>0</v>
      </c>
      <c r="Z27" s="129">
        <v>0</v>
      </c>
      <c r="AA27" s="129">
        <v>9</v>
      </c>
      <c r="AB27" s="129">
        <v>4</v>
      </c>
      <c r="AC27" s="129">
        <v>0</v>
      </c>
      <c r="AD27" s="129">
        <v>0</v>
      </c>
      <c r="AE27" s="129">
        <v>0</v>
      </c>
      <c r="AF27" s="129">
        <v>4</v>
      </c>
      <c r="AG27" s="129">
        <v>0</v>
      </c>
      <c r="AH27" s="129">
        <v>0</v>
      </c>
      <c r="AI27" s="126">
        <v>0</v>
      </c>
      <c r="AJ27" s="131">
        <v>60</v>
      </c>
    </row>
    <row r="28" spans="1:36" x14ac:dyDescent="0.35">
      <c r="A28" s="127" t="s">
        <v>363</v>
      </c>
      <c r="B28" s="127" t="s">
        <v>1215</v>
      </c>
      <c r="C28" s="129">
        <v>94</v>
      </c>
      <c r="D28" s="129">
        <v>54</v>
      </c>
      <c r="E28" s="129">
        <v>20</v>
      </c>
      <c r="F28" s="129">
        <v>2</v>
      </c>
      <c r="G28" s="129">
        <v>170</v>
      </c>
      <c r="H28" s="129">
        <v>13</v>
      </c>
      <c r="I28" s="129">
        <v>6</v>
      </c>
      <c r="J28" s="129">
        <v>2</v>
      </c>
      <c r="K28" s="129">
        <v>1</v>
      </c>
      <c r="L28" s="129">
        <v>22</v>
      </c>
      <c r="M28" s="129">
        <v>8</v>
      </c>
      <c r="N28" s="129">
        <v>4</v>
      </c>
      <c r="O28" s="129">
        <v>1</v>
      </c>
      <c r="P28" s="129">
        <v>0</v>
      </c>
      <c r="Q28" s="129">
        <v>13</v>
      </c>
      <c r="R28" s="129">
        <v>28</v>
      </c>
      <c r="S28" s="129">
        <v>0</v>
      </c>
      <c r="T28" s="129">
        <v>0</v>
      </c>
      <c r="U28" s="129">
        <v>0</v>
      </c>
      <c r="V28" s="129">
        <v>28</v>
      </c>
      <c r="W28" s="129">
        <v>8</v>
      </c>
      <c r="X28" s="129">
        <v>0</v>
      </c>
      <c r="Y28" s="129">
        <v>0</v>
      </c>
      <c r="Z28" s="129">
        <v>0</v>
      </c>
      <c r="AA28" s="129">
        <v>8</v>
      </c>
      <c r="AB28" s="129">
        <v>2</v>
      </c>
      <c r="AC28" s="129">
        <v>0</v>
      </c>
      <c r="AD28" s="129">
        <v>0</v>
      </c>
      <c r="AE28" s="129">
        <v>0</v>
      </c>
      <c r="AF28" s="129">
        <v>2</v>
      </c>
      <c r="AG28" s="129">
        <v>0</v>
      </c>
      <c r="AH28" s="129">
        <v>0</v>
      </c>
      <c r="AI28" s="126">
        <v>0</v>
      </c>
      <c r="AJ28" s="131">
        <v>243</v>
      </c>
    </row>
    <row r="29" spans="1:36" x14ac:dyDescent="0.35">
      <c r="A29" s="127" t="s">
        <v>364</v>
      </c>
      <c r="B29" s="127" t="s">
        <v>1216</v>
      </c>
      <c r="C29" s="129">
        <v>145</v>
      </c>
      <c r="D29" s="129">
        <v>25</v>
      </c>
      <c r="E29" s="129">
        <v>3</v>
      </c>
      <c r="F29" s="129">
        <v>1</v>
      </c>
      <c r="G29" s="129">
        <v>174</v>
      </c>
      <c r="H29" s="129">
        <v>21</v>
      </c>
      <c r="I29" s="129">
        <v>7</v>
      </c>
      <c r="J29" s="129">
        <v>0</v>
      </c>
      <c r="K29" s="129">
        <v>0</v>
      </c>
      <c r="L29" s="129">
        <v>28</v>
      </c>
      <c r="M29" s="129">
        <v>14</v>
      </c>
      <c r="N29" s="129">
        <v>0</v>
      </c>
      <c r="O29" s="129">
        <v>0</v>
      </c>
      <c r="P29" s="129">
        <v>0</v>
      </c>
      <c r="Q29" s="129">
        <v>14</v>
      </c>
      <c r="R29" s="129">
        <v>10</v>
      </c>
      <c r="S29" s="129">
        <v>1</v>
      </c>
      <c r="T29" s="129">
        <v>0</v>
      </c>
      <c r="U29" s="129">
        <v>0</v>
      </c>
      <c r="V29" s="129">
        <v>11</v>
      </c>
      <c r="W29" s="129">
        <v>18</v>
      </c>
      <c r="X29" s="129">
        <v>1</v>
      </c>
      <c r="Y29" s="129">
        <v>0</v>
      </c>
      <c r="Z29" s="129">
        <v>0</v>
      </c>
      <c r="AA29" s="129">
        <v>19</v>
      </c>
      <c r="AB29" s="129">
        <v>6</v>
      </c>
      <c r="AC29" s="129">
        <v>0</v>
      </c>
      <c r="AD29" s="129">
        <v>0</v>
      </c>
      <c r="AE29" s="129">
        <v>0</v>
      </c>
      <c r="AF29" s="129">
        <v>6</v>
      </c>
      <c r="AG29" s="129">
        <v>0</v>
      </c>
      <c r="AH29" s="129">
        <v>0</v>
      </c>
      <c r="AI29" s="126">
        <v>0</v>
      </c>
      <c r="AJ29" s="131">
        <v>252</v>
      </c>
    </row>
    <row r="30" spans="1:36" x14ac:dyDescent="0.35">
      <c r="A30" s="127" t="s">
        <v>365</v>
      </c>
      <c r="B30" s="127" t="s">
        <v>366</v>
      </c>
      <c r="C30" s="129">
        <v>66</v>
      </c>
      <c r="D30" s="129">
        <v>19</v>
      </c>
      <c r="E30" s="129">
        <v>5</v>
      </c>
      <c r="F30" s="129">
        <v>0</v>
      </c>
      <c r="G30" s="129">
        <v>90</v>
      </c>
      <c r="H30" s="129">
        <v>0</v>
      </c>
      <c r="I30" s="129">
        <v>1</v>
      </c>
      <c r="J30" s="129">
        <v>0</v>
      </c>
      <c r="K30" s="129">
        <v>0</v>
      </c>
      <c r="L30" s="129">
        <v>1</v>
      </c>
      <c r="M30" s="129">
        <v>8</v>
      </c>
      <c r="N30" s="129">
        <v>1</v>
      </c>
      <c r="O30" s="129">
        <v>0</v>
      </c>
      <c r="P30" s="129">
        <v>0</v>
      </c>
      <c r="Q30" s="129">
        <v>9</v>
      </c>
      <c r="R30" s="129">
        <v>7</v>
      </c>
      <c r="S30" s="129">
        <v>1</v>
      </c>
      <c r="T30" s="129">
        <v>0</v>
      </c>
      <c r="U30" s="129">
        <v>0</v>
      </c>
      <c r="V30" s="129">
        <v>8</v>
      </c>
      <c r="W30" s="129">
        <v>6</v>
      </c>
      <c r="X30" s="129">
        <v>1</v>
      </c>
      <c r="Y30" s="129">
        <v>0</v>
      </c>
      <c r="Z30" s="129">
        <v>0</v>
      </c>
      <c r="AA30" s="129">
        <v>7</v>
      </c>
      <c r="AB30" s="129">
        <v>3</v>
      </c>
      <c r="AC30" s="129">
        <v>0</v>
      </c>
      <c r="AD30" s="129">
        <v>0</v>
      </c>
      <c r="AE30" s="129">
        <v>0</v>
      </c>
      <c r="AF30" s="129">
        <v>3</v>
      </c>
      <c r="AG30" s="129">
        <v>0</v>
      </c>
      <c r="AH30" s="129">
        <v>0</v>
      </c>
      <c r="AI30" s="126">
        <v>0</v>
      </c>
      <c r="AJ30" s="131">
        <v>118</v>
      </c>
    </row>
    <row r="31" spans="1:36" x14ac:dyDescent="0.35">
      <c r="A31" s="127" t="s">
        <v>367</v>
      </c>
      <c r="B31" s="127" t="s">
        <v>1217</v>
      </c>
      <c r="C31" s="129">
        <v>16</v>
      </c>
      <c r="D31" s="129">
        <v>5</v>
      </c>
      <c r="E31" s="129">
        <v>1</v>
      </c>
      <c r="F31" s="129">
        <v>0</v>
      </c>
      <c r="G31" s="129">
        <v>22</v>
      </c>
      <c r="H31" s="129">
        <v>12</v>
      </c>
      <c r="I31" s="129">
        <v>0</v>
      </c>
      <c r="J31" s="129">
        <v>0</v>
      </c>
      <c r="K31" s="129">
        <v>0</v>
      </c>
      <c r="L31" s="129">
        <v>12</v>
      </c>
      <c r="M31" s="129">
        <v>1</v>
      </c>
      <c r="N31" s="129">
        <v>1</v>
      </c>
      <c r="O31" s="129">
        <v>0</v>
      </c>
      <c r="P31" s="129">
        <v>0</v>
      </c>
      <c r="Q31" s="129">
        <v>2</v>
      </c>
      <c r="R31" s="129">
        <v>0</v>
      </c>
      <c r="S31" s="129">
        <v>0</v>
      </c>
      <c r="T31" s="129">
        <v>0</v>
      </c>
      <c r="U31" s="129">
        <v>0</v>
      </c>
      <c r="V31" s="129">
        <v>0</v>
      </c>
      <c r="W31" s="129">
        <v>1</v>
      </c>
      <c r="X31" s="129">
        <v>0</v>
      </c>
      <c r="Y31" s="129">
        <v>0</v>
      </c>
      <c r="Z31" s="129">
        <v>0</v>
      </c>
      <c r="AA31" s="129">
        <v>1</v>
      </c>
      <c r="AB31" s="129">
        <v>3</v>
      </c>
      <c r="AC31" s="129">
        <v>0</v>
      </c>
      <c r="AD31" s="129">
        <v>0</v>
      </c>
      <c r="AE31" s="129">
        <v>0</v>
      </c>
      <c r="AF31" s="129">
        <v>3</v>
      </c>
      <c r="AG31" s="129">
        <v>0</v>
      </c>
      <c r="AH31" s="129">
        <v>0</v>
      </c>
      <c r="AI31" s="126">
        <v>0</v>
      </c>
      <c r="AJ31" s="131">
        <v>40</v>
      </c>
    </row>
    <row r="32" spans="1:36" x14ac:dyDescent="0.35">
      <c r="A32" s="127" t="s">
        <v>368</v>
      </c>
      <c r="B32" s="127" t="s">
        <v>1218</v>
      </c>
      <c r="C32" s="129">
        <v>5</v>
      </c>
      <c r="D32" s="129">
        <v>0</v>
      </c>
      <c r="E32" s="129">
        <v>0</v>
      </c>
      <c r="F32" s="129">
        <v>0</v>
      </c>
      <c r="G32" s="129">
        <v>5</v>
      </c>
      <c r="H32" s="129">
        <v>0</v>
      </c>
      <c r="I32" s="129">
        <v>0</v>
      </c>
      <c r="J32" s="129">
        <v>0</v>
      </c>
      <c r="K32" s="129">
        <v>0</v>
      </c>
      <c r="L32" s="129">
        <v>0</v>
      </c>
      <c r="M32" s="129">
        <v>0</v>
      </c>
      <c r="N32" s="129">
        <v>0</v>
      </c>
      <c r="O32" s="129">
        <v>0</v>
      </c>
      <c r="P32" s="129">
        <v>0</v>
      </c>
      <c r="Q32" s="129">
        <v>0</v>
      </c>
      <c r="R32" s="129">
        <v>0</v>
      </c>
      <c r="S32" s="129">
        <v>0</v>
      </c>
      <c r="T32" s="129">
        <v>0</v>
      </c>
      <c r="U32" s="129">
        <v>0</v>
      </c>
      <c r="V32" s="129">
        <v>0</v>
      </c>
      <c r="W32" s="129">
        <v>0</v>
      </c>
      <c r="X32" s="129">
        <v>0</v>
      </c>
      <c r="Y32" s="129">
        <v>0</v>
      </c>
      <c r="Z32" s="129">
        <v>0</v>
      </c>
      <c r="AA32" s="129">
        <v>0</v>
      </c>
      <c r="AB32" s="129">
        <v>0</v>
      </c>
      <c r="AC32" s="129">
        <v>0</v>
      </c>
      <c r="AD32" s="129">
        <v>0</v>
      </c>
      <c r="AE32" s="129">
        <v>0</v>
      </c>
      <c r="AF32" s="129">
        <v>0</v>
      </c>
      <c r="AG32" s="129">
        <v>0</v>
      </c>
      <c r="AH32" s="129">
        <v>0</v>
      </c>
      <c r="AI32" s="126">
        <v>0</v>
      </c>
      <c r="AJ32" s="131">
        <v>5</v>
      </c>
    </row>
    <row r="33" spans="1:36" x14ac:dyDescent="0.35">
      <c r="A33" s="127" t="s">
        <v>1381</v>
      </c>
      <c r="B33" s="127" t="s">
        <v>1382</v>
      </c>
      <c r="C33" s="129">
        <v>0</v>
      </c>
      <c r="D33" s="129">
        <v>0</v>
      </c>
      <c r="E33" s="129">
        <v>0</v>
      </c>
      <c r="F33" s="129">
        <v>0</v>
      </c>
      <c r="G33" s="129">
        <v>0</v>
      </c>
      <c r="H33" s="129">
        <v>0</v>
      </c>
      <c r="I33" s="129">
        <v>0</v>
      </c>
      <c r="J33" s="129">
        <v>0</v>
      </c>
      <c r="K33" s="129">
        <v>0</v>
      </c>
      <c r="L33" s="129">
        <v>0</v>
      </c>
      <c r="M33" s="129">
        <v>0</v>
      </c>
      <c r="N33" s="129">
        <v>0</v>
      </c>
      <c r="O33" s="129">
        <v>0</v>
      </c>
      <c r="P33" s="129">
        <v>0</v>
      </c>
      <c r="Q33" s="129">
        <v>0</v>
      </c>
      <c r="R33" s="129">
        <v>0</v>
      </c>
      <c r="S33" s="129">
        <v>0</v>
      </c>
      <c r="T33" s="129">
        <v>0</v>
      </c>
      <c r="U33" s="129">
        <v>0</v>
      </c>
      <c r="V33" s="129">
        <v>0</v>
      </c>
      <c r="W33" s="129">
        <v>0</v>
      </c>
      <c r="X33" s="129">
        <v>0</v>
      </c>
      <c r="Y33" s="129">
        <v>0</v>
      </c>
      <c r="Z33" s="129">
        <v>0</v>
      </c>
      <c r="AA33" s="129">
        <v>0</v>
      </c>
      <c r="AB33" s="129">
        <v>0</v>
      </c>
      <c r="AC33" s="129">
        <v>0</v>
      </c>
      <c r="AD33" s="129">
        <v>0</v>
      </c>
      <c r="AE33" s="129">
        <v>0</v>
      </c>
      <c r="AF33" s="129">
        <v>0</v>
      </c>
      <c r="AG33" s="129">
        <v>0</v>
      </c>
      <c r="AH33" s="129">
        <v>0</v>
      </c>
      <c r="AI33" s="126">
        <v>0</v>
      </c>
      <c r="AJ33" s="131">
        <v>0</v>
      </c>
    </row>
    <row r="34" spans="1:36" x14ac:dyDescent="0.35">
      <c r="A34" s="127" t="s">
        <v>369</v>
      </c>
      <c r="B34" s="127" t="s">
        <v>370</v>
      </c>
      <c r="C34" s="129">
        <v>36</v>
      </c>
      <c r="D34" s="129">
        <v>33</v>
      </c>
      <c r="E34" s="129">
        <v>11</v>
      </c>
      <c r="F34" s="129">
        <v>7</v>
      </c>
      <c r="G34" s="129">
        <v>87</v>
      </c>
      <c r="H34" s="129">
        <v>4</v>
      </c>
      <c r="I34" s="129">
        <v>0</v>
      </c>
      <c r="J34" s="129">
        <v>0</v>
      </c>
      <c r="K34" s="129">
        <v>0</v>
      </c>
      <c r="L34" s="129">
        <v>4</v>
      </c>
      <c r="M34" s="129">
        <v>4</v>
      </c>
      <c r="N34" s="129">
        <v>0</v>
      </c>
      <c r="O34" s="129">
        <v>0</v>
      </c>
      <c r="P34" s="129">
        <v>0</v>
      </c>
      <c r="Q34" s="129">
        <v>4</v>
      </c>
      <c r="R34" s="129">
        <v>5</v>
      </c>
      <c r="S34" s="129">
        <v>0</v>
      </c>
      <c r="T34" s="129">
        <v>0</v>
      </c>
      <c r="U34" s="129">
        <v>0</v>
      </c>
      <c r="V34" s="129">
        <v>5</v>
      </c>
      <c r="W34" s="129">
        <v>2</v>
      </c>
      <c r="X34" s="129">
        <v>1</v>
      </c>
      <c r="Y34" s="129">
        <v>0</v>
      </c>
      <c r="Z34" s="129">
        <v>0</v>
      </c>
      <c r="AA34" s="129">
        <v>3</v>
      </c>
      <c r="AB34" s="129">
        <v>2</v>
      </c>
      <c r="AC34" s="129">
        <v>0</v>
      </c>
      <c r="AD34" s="129">
        <v>0</v>
      </c>
      <c r="AE34" s="129">
        <v>0</v>
      </c>
      <c r="AF34" s="129">
        <v>2</v>
      </c>
      <c r="AG34" s="129">
        <v>0</v>
      </c>
      <c r="AH34" s="129">
        <v>0</v>
      </c>
      <c r="AI34" s="126">
        <v>0</v>
      </c>
      <c r="AJ34" s="131">
        <v>105</v>
      </c>
    </row>
    <row r="35" spans="1:36" x14ac:dyDescent="0.35">
      <c r="A35" s="127" t="s">
        <v>371</v>
      </c>
      <c r="B35" s="127" t="s">
        <v>1219</v>
      </c>
      <c r="C35" s="129">
        <v>11</v>
      </c>
      <c r="D35" s="129">
        <v>8</v>
      </c>
      <c r="E35" s="129">
        <v>1</v>
      </c>
      <c r="F35" s="129">
        <v>1</v>
      </c>
      <c r="G35" s="129">
        <v>21</v>
      </c>
      <c r="H35" s="129">
        <v>8</v>
      </c>
      <c r="I35" s="129">
        <v>0</v>
      </c>
      <c r="J35" s="129">
        <v>0</v>
      </c>
      <c r="K35" s="129">
        <v>0</v>
      </c>
      <c r="L35" s="129">
        <v>8</v>
      </c>
      <c r="M35" s="129">
        <v>1</v>
      </c>
      <c r="N35" s="129">
        <v>1</v>
      </c>
      <c r="O35" s="129">
        <v>0</v>
      </c>
      <c r="P35" s="129">
        <v>0</v>
      </c>
      <c r="Q35" s="129">
        <v>2</v>
      </c>
      <c r="R35" s="129">
        <v>2</v>
      </c>
      <c r="S35" s="129">
        <v>0</v>
      </c>
      <c r="T35" s="129">
        <v>0</v>
      </c>
      <c r="U35" s="129">
        <v>0</v>
      </c>
      <c r="V35" s="129">
        <v>2</v>
      </c>
      <c r="W35" s="129">
        <v>7</v>
      </c>
      <c r="X35" s="129">
        <v>0</v>
      </c>
      <c r="Y35" s="129">
        <v>0</v>
      </c>
      <c r="Z35" s="129">
        <v>0</v>
      </c>
      <c r="AA35" s="129">
        <v>7</v>
      </c>
      <c r="AB35" s="129">
        <v>4</v>
      </c>
      <c r="AC35" s="129">
        <v>0</v>
      </c>
      <c r="AD35" s="129">
        <v>0</v>
      </c>
      <c r="AE35" s="129">
        <v>0</v>
      </c>
      <c r="AF35" s="129">
        <v>4</v>
      </c>
      <c r="AG35" s="129">
        <v>0</v>
      </c>
      <c r="AH35" s="129">
        <v>0</v>
      </c>
      <c r="AI35" s="126">
        <v>0</v>
      </c>
      <c r="AJ35" s="131">
        <v>44</v>
      </c>
    </row>
    <row r="36" spans="1:36" x14ac:dyDescent="0.35">
      <c r="A36" s="127" t="s">
        <v>372</v>
      </c>
      <c r="B36" s="127" t="s">
        <v>373</v>
      </c>
      <c r="C36" s="129">
        <v>1</v>
      </c>
      <c r="D36" s="129">
        <v>1</v>
      </c>
      <c r="E36" s="129">
        <v>0</v>
      </c>
      <c r="F36" s="129">
        <v>0</v>
      </c>
      <c r="G36" s="129">
        <v>2</v>
      </c>
      <c r="H36" s="129">
        <v>0</v>
      </c>
      <c r="I36" s="129">
        <v>0</v>
      </c>
      <c r="J36" s="129">
        <v>0</v>
      </c>
      <c r="K36" s="129">
        <v>0</v>
      </c>
      <c r="L36" s="129">
        <v>0</v>
      </c>
      <c r="M36" s="129">
        <v>0</v>
      </c>
      <c r="N36" s="129">
        <v>0</v>
      </c>
      <c r="O36" s="129">
        <v>0</v>
      </c>
      <c r="P36" s="129">
        <v>0</v>
      </c>
      <c r="Q36" s="129">
        <v>0</v>
      </c>
      <c r="R36" s="129">
        <v>0</v>
      </c>
      <c r="S36" s="129">
        <v>0</v>
      </c>
      <c r="T36" s="129">
        <v>0</v>
      </c>
      <c r="U36" s="129">
        <v>0</v>
      </c>
      <c r="V36" s="129">
        <v>0</v>
      </c>
      <c r="W36" s="129">
        <v>0</v>
      </c>
      <c r="X36" s="129">
        <v>0</v>
      </c>
      <c r="Y36" s="129">
        <v>0</v>
      </c>
      <c r="Z36" s="129">
        <v>0</v>
      </c>
      <c r="AA36" s="129">
        <v>0</v>
      </c>
      <c r="AB36" s="129">
        <v>0</v>
      </c>
      <c r="AC36" s="129">
        <v>0</v>
      </c>
      <c r="AD36" s="129">
        <v>0</v>
      </c>
      <c r="AE36" s="129">
        <v>0</v>
      </c>
      <c r="AF36" s="129">
        <v>0</v>
      </c>
      <c r="AG36" s="129">
        <v>0</v>
      </c>
      <c r="AH36" s="129">
        <v>0</v>
      </c>
      <c r="AI36" s="126">
        <v>0</v>
      </c>
      <c r="AJ36" s="131">
        <v>2</v>
      </c>
    </row>
    <row r="37" spans="1:36" x14ac:dyDescent="0.35">
      <c r="A37" s="127" t="s">
        <v>374</v>
      </c>
      <c r="B37" s="127" t="s">
        <v>1220</v>
      </c>
      <c r="C37" s="129">
        <v>6</v>
      </c>
      <c r="D37" s="129">
        <v>4</v>
      </c>
      <c r="E37" s="129">
        <v>0</v>
      </c>
      <c r="F37" s="129">
        <v>0</v>
      </c>
      <c r="G37" s="129">
        <v>10</v>
      </c>
      <c r="H37" s="129">
        <v>0</v>
      </c>
      <c r="I37" s="129">
        <v>0</v>
      </c>
      <c r="J37" s="129">
        <v>0</v>
      </c>
      <c r="K37" s="129">
        <v>0</v>
      </c>
      <c r="L37" s="129">
        <v>0</v>
      </c>
      <c r="M37" s="129">
        <v>1</v>
      </c>
      <c r="N37" s="129">
        <v>0</v>
      </c>
      <c r="O37" s="129">
        <v>0</v>
      </c>
      <c r="P37" s="129">
        <v>0</v>
      </c>
      <c r="Q37" s="129">
        <v>1</v>
      </c>
      <c r="R37" s="129">
        <v>1</v>
      </c>
      <c r="S37" s="129">
        <v>1</v>
      </c>
      <c r="T37" s="129">
        <v>0</v>
      </c>
      <c r="U37" s="129">
        <v>0</v>
      </c>
      <c r="V37" s="129">
        <v>2</v>
      </c>
      <c r="W37" s="129">
        <v>0</v>
      </c>
      <c r="X37" s="129">
        <v>0</v>
      </c>
      <c r="Y37" s="129">
        <v>0</v>
      </c>
      <c r="Z37" s="129">
        <v>0</v>
      </c>
      <c r="AA37" s="129">
        <v>0</v>
      </c>
      <c r="AB37" s="129">
        <v>0</v>
      </c>
      <c r="AC37" s="129">
        <v>0</v>
      </c>
      <c r="AD37" s="129">
        <v>0</v>
      </c>
      <c r="AE37" s="129">
        <v>0</v>
      </c>
      <c r="AF37" s="129">
        <v>0</v>
      </c>
      <c r="AG37" s="129">
        <v>0</v>
      </c>
      <c r="AH37" s="129">
        <v>0</v>
      </c>
      <c r="AI37" s="126">
        <v>0</v>
      </c>
      <c r="AJ37" s="131">
        <v>13</v>
      </c>
    </row>
    <row r="38" spans="1:36" x14ac:dyDescent="0.35">
      <c r="A38" s="127" t="s">
        <v>1383</v>
      </c>
      <c r="B38" s="127" t="s">
        <v>1384</v>
      </c>
      <c r="C38" s="129">
        <v>0</v>
      </c>
      <c r="D38" s="129">
        <v>0</v>
      </c>
      <c r="E38" s="129">
        <v>0</v>
      </c>
      <c r="F38" s="129">
        <v>0</v>
      </c>
      <c r="G38" s="129">
        <v>0</v>
      </c>
      <c r="H38" s="129">
        <v>0</v>
      </c>
      <c r="I38" s="129">
        <v>0</v>
      </c>
      <c r="J38" s="129">
        <v>0</v>
      </c>
      <c r="K38" s="129">
        <v>0</v>
      </c>
      <c r="L38" s="129">
        <v>0</v>
      </c>
      <c r="M38" s="129">
        <v>0</v>
      </c>
      <c r="N38" s="129">
        <v>0</v>
      </c>
      <c r="O38" s="129">
        <v>0</v>
      </c>
      <c r="P38" s="129">
        <v>0</v>
      </c>
      <c r="Q38" s="129">
        <v>0</v>
      </c>
      <c r="R38" s="129">
        <v>0</v>
      </c>
      <c r="S38" s="129">
        <v>0</v>
      </c>
      <c r="T38" s="129">
        <v>0</v>
      </c>
      <c r="U38" s="129">
        <v>0</v>
      </c>
      <c r="V38" s="129">
        <v>0</v>
      </c>
      <c r="W38" s="129">
        <v>0</v>
      </c>
      <c r="X38" s="129">
        <v>0</v>
      </c>
      <c r="Y38" s="129">
        <v>0</v>
      </c>
      <c r="Z38" s="129">
        <v>0</v>
      </c>
      <c r="AA38" s="129">
        <v>0</v>
      </c>
      <c r="AB38" s="129">
        <v>0</v>
      </c>
      <c r="AC38" s="129">
        <v>0</v>
      </c>
      <c r="AD38" s="129">
        <v>0</v>
      </c>
      <c r="AE38" s="129">
        <v>0</v>
      </c>
      <c r="AF38" s="129">
        <v>0</v>
      </c>
      <c r="AG38" s="129">
        <v>0</v>
      </c>
      <c r="AH38" s="129">
        <v>0</v>
      </c>
      <c r="AI38" s="126">
        <v>0</v>
      </c>
      <c r="AJ38" s="131">
        <v>0</v>
      </c>
    </row>
    <row r="39" spans="1:36" x14ac:dyDescent="0.35">
      <c r="A39" s="127" t="s">
        <v>375</v>
      </c>
      <c r="B39" s="127" t="s">
        <v>1221</v>
      </c>
      <c r="C39" s="129">
        <v>2</v>
      </c>
      <c r="D39" s="129">
        <v>0</v>
      </c>
      <c r="E39" s="129">
        <v>0</v>
      </c>
      <c r="F39" s="129">
        <v>0</v>
      </c>
      <c r="G39" s="129">
        <v>2</v>
      </c>
      <c r="H39" s="129">
        <v>1</v>
      </c>
      <c r="I39" s="129">
        <v>0</v>
      </c>
      <c r="J39" s="129">
        <v>0</v>
      </c>
      <c r="K39" s="129">
        <v>0</v>
      </c>
      <c r="L39" s="129">
        <v>1</v>
      </c>
      <c r="M39" s="129">
        <v>1</v>
      </c>
      <c r="N39" s="129">
        <v>0</v>
      </c>
      <c r="O39" s="129">
        <v>0</v>
      </c>
      <c r="P39" s="129">
        <v>0</v>
      </c>
      <c r="Q39" s="129">
        <v>1</v>
      </c>
      <c r="R39" s="129">
        <v>0</v>
      </c>
      <c r="S39" s="129">
        <v>1</v>
      </c>
      <c r="T39" s="129">
        <v>0</v>
      </c>
      <c r="U39" s="129">
        <v>0</v>
      </c>
      <c r="V39" s="129">
        <v>1</v>
      </c>
      <c r="W39" s="129">
        <v>0</v>
      </c>
      <c r="X39" s="129">
        <v>0</v>
      </c>
      <c r="Y39" s="129">
        <v>0</v>
      </c>
      <c r="Z39" s="129">
        <v>0</v>
      </c>
      <c r="AA39" s="129">
        <v>0</v>
      </c>
      <c r="AB39" s="129">
        <v>0</v>
      </c>
      <c r="AC39" s="129">
        <v>0</v>
      </c>
      <c r="AD39" s="129">
        <v>0</v>
      </c>
      <c r="AE39" s="129">
        <v>0</v>
      </c>
      <c r="AF39" s="129">
        <v>0</v>
      </c>
      <c r="AG39" s="129">
        <v>0</v>
      </c>
      <c r="AH39" s="129">
        <v>0</v>
      </c>
      <c r="AI39" s="126">
        <v>0</v>
      </c>
      <c r="AJ39" s="131">
        <v>5</v>
      </c>
    </row>
    <row r="40" spans="1:36" x14ac:dyDescent="0.35">
      <c r="A40" s="127" t="s">
        <v>376</v>
      </c>
      <c r="B40" s="127" t="s">
        <v>1222</v>
      </c>
      <c r="C40" s="129">
        <v>0</v>
      </c>
      <c r="D40" s="129">
        <v>0</v>
      </c>
      <c r="E40" s="129">
        <v>0</v>
      </c>
      <c r="F40" s="129">
        <v>0</v>
      </c>
      <c r="G40" s="129">
        <v>0</v>
      </c>
      <c r="H40" s="129">
        <v>0</v>
      </c>
      <c r="I40" s="129">
        <v>0</v>
      </c>
      <c r="J40" s="129">
        <v>0</v>
      </c>
      <c r="K40" s="129">
        <v>0</v>
      </c>
      <c r="L40" s="129">
        <v>0</v>
      </c>
      <c r="M40" s="129">
        <v>0</v>
      </c>
      <c r="N40" s="129">
        <v>0</v>
      </c>
      <c r="O40" s="129">
        <v>0</v>
      </c>
      <c r="P40" s="129">
        <v>0</v>
      </c>
      <c r="Q40" s="129">
        <v>0</v>
      </c>
      <c r="R40" s="129">
        <v>0</v>
      </c>
      <c r="S40" s="129">
        <v>0</v>
      </c>
      <c r="T40" s="129">
        <v>0</v>
      </c>
      <c r="U40" s="129">
        <v>0</v>
      </c>
      <c r="V40" s="129">
        <v>0</v>
      </c>
      <c r="W40" s="129">
        <v>1</v>
      </c>
      <c r="X40" s="129">
        <v>0</v>
      </c>
      <c r="Y40" s="129">
        <v>0</v>
      </c>
      <c r="Z40" s="129">
        <v>0</v>
      </c>
      <c r="AA40" s="129">
        <v>1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0</v>
      </c>
      <c r="AH40" s="129">
        <v>0</v>
      </c>
      <c r="AI40" s="126">
        <v>0</v>
      </c>
      <c r="AJ40" s="131">
        <v>1</v>
      </c>
    </row>
    <row r="41" spans="1:36" x14ac:dyDescent="0.35">
      <c r="A41" s="127" t="s">
        <v>377</v>
      </c>
      <c r="B41" s="127" t="s">
        <v>378</v>
      </c>
      <c r="C41" s="129">
        <v>21</v>
      </c>
      <c r="D41" s="129">
        <v>3</v>
      </c>
      <c r="E41" s="129">
        <v>1</v>
      </c>
      <c r="F41" s="129">
        <v>0</v>
      </c>
      <c r="G41" s="129">
        <v>25</v>
      </c>
      <c r="H41" s="129">
        <v>8</v>
      </c>
      <c r="I41" s="129">
        <v>0</v>
      </c>
      <c r="J41" s="129">
        <v>0</v>
      </c>
      <c r="K41" s="129">
        <v>0</v>
      </c>
      <c r="L41" s="129">
        <v>8</v>
      </c>
      <c r="M41" s="129">
        <v>4</v>
      </c>
      <c r="N41" s="129">
        <v>0</v>
      </c>
      <c r="O41" s="129">
        <v>0</v>
      </c>
      <c r="P41" s="129">
        <v>0</v>
      </c>
      <c r="Q41" s="129">
        <v>4</v>
      </c>
      <c r="R41" s="129">
        <v>3</v>
      </c>
      <c r="S41" s="129">
        <v>0</v>
      </c>
      <c r="T41" s="129">
        <v>0</v>
      </c>
      <c r="U41" s="129">
        <v>0</v>
      </c>
      <c r="V41" s="129">
        <v>3</v>
      </c>
      <c r="W41" s="129">
        <v>4</v>
      </c>
      <c r="X41" s="129">
        <v>0</v>
      </c>
      <c r="Y41" s="129">
        <v>0</v>
      </c>
      <c r="Z41" s="129">
        <v>0</v>
      </c>
      <c r="AA41" s="129">
        <v>4</v>
      </c>
      <c r="AB41" s="129">
        <v>3</v>
      </c>
      <c r="AC41" s="129">
        <v>0</v>
      </c>
      <c r="AD41" s="129">
        <v>0</v>
      </c>
      <c r="AE41" s="129">
        <v>0</v>
      </c>
      <c r="AF41" s="129">
        <v>3</v>
      </c>
      <c r="AG41" s="129">
        <v>0</v>
      </c>
      <c r="AH41" s="129">
        <v>0</v>
      </c>
      <c r="AI41" s="126">
        <v>0</v>
      </c>
      <c r="AJ41" s="131">
        <v>47</v>
      </c>
    </row>
    <row r="42" spans="1:36" x14ac:dyDescent="0.35">
      <c r="A42" s="127" t="s">
        <v>379</v>
      </c>
      <c r="B42" s="127" t="s">
        <v>380</v>
      </c>
      <c r="C42" s="129">
        <v>8</v>
      </c>
      <c r="D42" s="129">
        <v>2</v>
      </c>
      <c r="E42" s="129">
        <v>1</v>
      </c>
      <c r="F42" s="129">
        <v>2</v>
      </c>
      <c r="G42" s="129">
        <v>13</v>
      </c>
      <c r="H42" s="129">
        <v>47</v>
      </c>
      <c r="I42" s="129">
        <v>3</v>
      </c>
      <c r="J42" s="129">
        <v>2</v>
      </c>
      <c r="K42" s="129">
        <v>1</v>
      </c>
      <c r="L42" s="129">
        <v>53</v>
      </c>
      <c r="M42" s="129">
        <v>0</v>
      </c>
      <c r="N42" s="129">
        <v>0</v>
      </c>
      <c r="O42" s="129">
        <v>0</v>
      </c>
      <c r="P42" s="129">
        <v>0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0</v>
      </c>
      <c r="W42" s="129">
        <v>0</v>
      </c>
      <c r="X42" s="129">
        <v>0</v>
      </c>
      <c r="Y42" s="129">
        <v>0</v>
      </c>
      <c r="Z42" s="129">
        <v>0</v>
      </c>
      <c r="AA42" s="129">
        <v>0</v>
      </c>
      <c r="AB42" s="129">
        <v>0</v>
      </c>
      <c r="AC42" s="129">
        <v>0</v>
      </c>
      <c r="AD42" s="129">
        <v>0</v>
      </c>
      <c r="AE42" s="129">
        <v>0</v>
      </c>
      <c r="AF42" s="129">
        <v>0</v>
      </c>
      <c r="AG42" s="129">
        <v>0</v>
      </c>
      <c r="AH42" s="129">
        <v>0</v>
      </c>
      <c r="AI42" s="126">
        <v>0</v>
      </c>
      <c r="AJ42" s="131">
        <v>66</v>
      </c>
    </row>
    <row r="43" spans="1:36" x14ac:dyDescent="0.35">
      <c r="A43" s="127" t="s">
        <v>1196</v>
      </c>
      <c r="B43" s="127" t="s">
        <v>1205</v>
      </c>
      <c r="C43" s="129">
        <v>1</v>
      </c>
      <c r="D43" s="129">
        <v>0</v>
      </c>
      <c r="E43" s="129">
        <v>0</v>
      </c>
      <c r="F43" s="129">
        <v>0</v>
      </c>
      <c r="G43" s="129">
        <v>1</v>
      </c>
      <c r="H43" s="129">
        <v>0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29">
        <v>0</v>
      </c>
      <c r="O43" s="129">
        <v>0</v>
      </c>
      <c r="P43" s="129">
        <v>0</v>
      </c>
      <c r="Q43" s="129">
        <v>0</v>
      </c>
      <c r="R43" s="129">
        <v>0</v>
      </c>
      <c r="S43" s="129">
        <v>0</v>
      </c>
      <c r="T43" s="129">
        <v>0</v>
      </c>
      <c r="U43" s="129">
        <v>0</v>
      </c>
      <c r="V43" s="129">
        <v>0</v>
      </c>
      <c r="W43" s="129">
        <v>0</v>
      </c>
      <c r="X43" s="129">
        <v>0</v>
      </c>
      <c r="Y43" s="129">
        <v>0</v>
      </c>
      <c r="Z43" s="129">
        <v>0</v>
      </c>
      <c r="AA43" s="129">
        <v>0</v>
      </c>
      <c r="AB43" s="129">
        <v>0</v>
      </c>
      <c r="AC43" s="129">
        <v>0</v>
      </c>
      <c r="AD43" s="129">
        <v>0</v>
      </c>
      <c r="AE43" s="129">
        <v>0</v>
      </c>
      <c r="AF43" s="129">
        <v>0</v>
      </c>
      <c r="AG43" s="129">
        <v>0</v>
      </c>
      <c r="AH43" s="129">
        <v>0</v>
      </c>
      <c r="AI43" s="126">
        <v>0</v>
      </c>
      <c r="AJ43" s="131">
        <v>1</v>
      </c>
    </row>
    <row r="44" spans="1:36" x14ac:dyDescent="0.35">
      <c r="A44" s="127" t="s">
        <v>1385</v>
      </c>
      <c r="B44" s="127" t="s">
        <v>1386</v>
      </c>
      <c r="C44" s="129">
        <v>0</v>
      </c>
      <c r="D44" s="129">
        <v>0</v>
      </c>
      <c r="E44" s="129">
        <v>0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  <c r="N44" s="129">
        <v>0</v>
      </c>
      <c r="O44" s="129">
        <v>0</v>
      </c>
      <c r="P44" s="129">
        <v>0</v>
      </c>
      <c r="Q44" s="129">
        <v>0</v>
      </c>
      <c r="R44" s="129">
        <v>0</v>
      </c>
      <c r="S44" s="129">
        <v>0</v>
      </c>
      <c r="T44" s="129">
        <v>0</v>
      </c>
      <c r="U44" s="129">
        <v>0</v>
      </c>
      <c r="V44" s="129">
        <v>0</v>
      </c>
      <c r="W44" s="129">
        <v>0</v>
      </c>
      <c r="X44" s="129">
        <v>0</v>
      </c>
      <c r="Y44" s="129">
        <v>0</v>
      </c>
      <c r="Z44" s="129">
        <v>0</v>
      </c>
      <c r="AA44" s="129">
        <v>0</v>
      </c>
      <c r="AB44" s="129">
        <v>0</v>
      </c>
      <c r="AC44" s="129">
        <v>0</v>
      </c>
      <c r="AD44" s="129">
        <v>0</v>
      </c>
      <c r="AE44" s="129">
        <v>0</v>
      </c>
      <c r="AF44" s="129">
        <v>0</v>
      </c>
      <c r="AG44" s="129">
        <v>0</v>
      </c>
      <c r="AH44" s="129">
        <v>0</v>
      </c>
      <c r="AI44" s="126">
        <v>0</v>
      </c>
      <c r="AJ44" s="131">
        <v>0</v>
      </c>
    </row>
    <row r="45" spans="1:36" x14ac:dyDescent="0.35">
      <c r="A45" s="127" t="s">
        <v>1387</v>
      </c>
      <c r="B45" s="127" t="s">
        <v>1388</v>
      </c>
      <c r="C45" s="129">
        <v>0</v>
      </c>
      <c r="D45" s="129">
        <v>0</v>
      </c>
      <c r="E45" s="129">
        <v>0</v>
      </c>
      <c r="F45" s="129">
        <v>0</v>
      </c>
      <c r="G45" s="129">
        <v>0</v>
      </c>
      <c r="H45" s="129">
        <v>0</v>
      </c>
      <c r="I45" s="129">
        <v>0</v>
      </c>
      <c r="J45" s="129">
        <v>0</v>
      </c>
      <c r="K45" s="129">
        <v>0</v>
      </c>
      <c r="L45" s="129">
        <v>0</v>
      </c>
      <c r="M45" s="129">
        <v>0</v>
      </c>
      <c r="N45" s="129">
        <v>0</v>
      </c>
      <c r="O45" s="129">
        <v>0</v>
      </c>
      <c r="P45" s="129">
        <v>0</v>
      </c>
      <c r="Q45" s="129">
        <v>0</v>
      </c>
      <c r="R45" s="129">
        <v>0</v>
      </c>
      <c r="S45" s="129">
        <v>0</v>
      </c>
      <c r="T45" s="129">
        <v>0</v>
      </c>
      <c r="U45" s="129">
        <v>0</v>
      </c>
      <c r="V45" s="129">
        <v>0</v>
      </c>
      <c r="W45" s="129">
        <v>0</v>
      </c>
      <c r="X45" s="129">
        <v>0</v>
      </c>
      <c r="Y45" s="129">
        <v>0</v>
      </c>
      <c r="Z45" s="129">
        <v>0</v>
      </c>
      <c r="AA45" s="129">
        <v>0</v>
      </c>
      <c r="AB45" s="129">
        <v>0</v>
      </c>
      <c r="AC45" s="129">
        <v>0</v>
      </c>
      <c r="AD45" s="129">
        <v>0</v>
      </c>
      <c r="AE45" s="129">
        <v>0</v>
      </c>
      <c r="AF45" s="129">
        <v>0</v>
      </c>
      <c r="AG45" s="129">
        <v>0</v>
      </c>
      <c r="AH45" s="129">
        <v>0</v>
      </c>
      <c r="AI45" s="126">
        <v>0</v>
      </c>
      <c r="AJ45" s="131">
        <v>0</v>
      </c>
    </row>
    <row r="46" spans="1:36" x14ac:dyDescent="0.35">
      <c r="A46" s="127" t="s">
        <v>1389</v>
      </c>
      <c r="B46" s="127" t="s">
        <v>1390</v>
      </c>
      <c r="C46" s="129">
        <v>0</v>
      </c>
      <c r="D46" s="129">
        <v>0</v>
      </c>
      <c r="E46" s="129">
        <v>0</v>
      </c>
      <c r="F46" s="129">
        <v>0</v>
      </c>
      <c r="G46" s="129">
        <v>0</v>
      </c>
      <c r="H46" s="129">
        <v>0</v>
      </c>
      <c r="I46" s="129">
        <v>0</v>
      </c>
      <c r="J46" s="129">
        <v>0</v>
      </c>
      <c r="K46" s="129">
        <v>0</v>
      </c>
      <c r="L46" s="129">
        <v>0</v>
      </c>
      <c r="M46" s="129">
        <v>0</v>
      </c>
      <c r="N46" s="129">
        <v>0</v>
      </c>
      <c r="O46" s="129">
        <v>0</v>
      </c>
      <c r="P46" s="129">
        <v>0</v>
      </c>
      <c r="Q46" s="129">
        <v>0</v>
      </c>
      <c r="R46" s="129">
        <v>0</v>
      </c>
      <c r="S46" s="129">
        <v>0</v>
      </c>
      <c r="T46" s="129">
        <v>0</v>
      </c>
      <c r="U46" s="129">
        <v>0</v>
      </c>
      <c r="V46" s="129">
        <v>0</v>
      </c>
      <c r="W46" s="129">
        <v>0</v>
      </c>
      <c r="X46" s="129">
        <v>0</v>
      </c>
      <c r="Y46" s="129">
        <v>0</v>
      </c>
      <c r="Z46" s="129">
        <v>0</v>
      </c>
      <c r="AA46" s="129">
        <v>0</v>
      </c>
      <c r="AB46" s="129">
        <v>0</v>
      </c>
      <c r="AC46" s="129">
        <v>0</v>
      </c>
      <c r="AD46" s="129">
        <v>0</v>
      </c>
      <c r="AE46" s="129">
        <v>0</v>
      </c>
      <c r="AF46" s="129">
        <v>0</v>
      </c>
      <c r="AG46" s="129">
        <v>0</v>
      </c>
      <c r="AH46" s="129">
        <v>0</v>
      </c>
      <c r="AI46" s="126">
        <v>0</v>
      </c>
      <c r="AJ46" s="131">
        <v>0</v>
      </c>
    </row>
    <row r="47" spans="1:36" x14ac:dyDescent="0.35">
      <c r="A47" s="127" t="s">
        <v>381</v>
      </c>
      <c r="B47" s="127" t="s">
        <v>382</v>
      </c>
      <c r="C47" s="129">
        <v>0</v>
      </c>
      <c r="D47" s="129">
        <v>0</v>
      </c>
      <c r="E47" s="129">
        <v>1</v>
      </c>
      <c r="F47" s="129">
        <v>0</v>
      </c>
      <c r="G47" s="129">
        <v>1</v>
      </c>
      <c r="H47" s="129">
        <v>0</v>
      </c>
      <c r="I47" s="129">
        <v>0</v>
      </c>
      <c r="J47" s="129">
        <v>0</v>
      </c>
      <c r="K47" s="129">
        <v>0</v>
      </c>
      <c r="L47" s="129">
        <v>0</v>
      </c>
      <c r="M47" s="129">
        <v>0</v>
      </c>
      <c r="N47" s="129">
        <v>0</v>
      </c>
      <c r="O47" s="129">
        <v>0</v>
      </c>
      <c r="P47" s="129">
        <v>0</v>
      </c>
      <c r="Q47" s="129">
        <v>0</v>
      </c>
      <c r="R47" s="129">
        <v>0</v>
      </c>
      <c r="S47" s="129">
        <v>0</v>
      </c>
      <c r="T47" s="129">
        <v>0</v>
      </c>
      <c r="U47" s="129">
        <v>0</v>
      </c>
      <c r="V47" s="129">
        <v>0</v>
      </c>
      <c r="W47" s="129">
        <v>0</v>
      </c>
      <c r="X47" s="129">
        <v>0</v>
      </c>
      <c r="Y47" s="129">
        <v>0</v>
      </c>
      <c r="Z47" s="129">
        <v>0</v>
      </c>
      <c r="AA47" s="129">
        <v>0</v>
      </c>
      <c r="AB47" s="129">
        <v>0</v>
      </c>
      <c r="AC47" s="129">
        <v>0</v>
      </c>
      <c r="AD47" s="129">
        <v>0</v>
      </c>
      <c r="AE47" s="129">
        <v>0</v>
      </c>
      <c r="AF47" s="129">
        <v>0</v>
      </c>
      <c r="AG47" s="129">
        <v>0</v>
      </c>
      <c r="AH47" s="129">
        <v>0</v>
      </c>
      <c r="AI47" s="126">
        <v>0</v>
      </c>
      <c r="AJ47" s="131">
        <v>1</v>
      </c>
    </row>
    <row r="48" spans="1:36" x14ac:dyDescent="0.35">
      <c r="A48" s="127" t="s">
        <v>383</v>
      </c>
      <c r="B48" s="127" t="s">
        <v>384</v>
      </c>
      <c r="C48" s="129">
        <v>101</v>
      </c>
      <c r="D48" s="129">
        <v>46</v>
      </c>
      <c r="E48" s="129">
        <v>11</v>
      </c>
      <c r="F48" s="129">
        <v>11</v>
      </c>
      <c r="G48" s="129">
        <v>169</v>
      </c>
      <c r="H48" s="129">
        <v>8</v>
      </c>
      <c r="I48" s="129">
        <v>0</v>
      </c>
      <c r="J48" s="129">
        <v>0</v>
      </c>
      <c r="K48" s="129">
        <v>0</v>
      </c>
      <c r="L48" s="129">
        <v>8</v>
      </c>
      <c r="M48" s="129">
        <v>8</v>
      </c>
      <c r="N48" s="129">
        <v>1</v>
      </c>
      <c r="O48" s="129">
        <v>0</v>
      </c>
      <c r="P48" s="129">
        <v>0</v>
      </c>
      <c r="Q48" s="129">
        <v>9</v>
      </c>
      <c r="R48" s="129">
        <v>41</v>
      </c>
      <c r="S48" s="129">
        <v>13</v>
      </c>
      <c r="T48" s="129">
        <v>2</v>
      </c>
      <c r="U48" s="129">
        <v>0</v>
      </c>
      <c r="V48" s="129">
        <v>56</v>
      </c>
      <c r="W48" s="129">
        <v>19</v>
      </c>
      <c r="X48" s="129">
        <v>4</v>
      </c>
      <c r="Y48" s="129">
        <v>0</v>
      </c>
      <c r="Z48" s="129">
        <v>0</v>
      </c>
      <c r="AA48" s="129">
        <v>23</v>
      </c>
      <c r="AB48" s="129">
        <v>18</v>
      </c>
      <c r="AC48" s="129">
        <v>1</v>
      </c>
      <c r="AD48" s="129">
        <v>0</v>
      </c>
      <c r="AE48" s="129">
        <v>0</v>
      </c>
      <c r="AF48" s="129">
        <v>19</v>
      </c>
      <c r="AG48" s="129">
        <v>0</v>
      </c>
      <c r="AH48" s="129">
        <v>0</v>
      </c>
      <c r="AI48" s="126">
        <v>0</v>
      </c>
      <c r="AJ48" s="131">
        <v>284</v>
      </c>
    </row>
    <row r="49" spans="1:36" x14ac:dyDescent="0.35">
      <c r="A49" s="127" t="s">
        <v>1391</v>
      </c>
      <c r="B49" s="127" t="s">
        <v>1392</v>
      </c>
      <c r="C49" s="129">
        <v>0</v>
      </c>
      <c r="D49" s="129">
        <v>0</v>
      </c>
      <c r="E49" s="129">
        <v>0</v>
      </c>
      <c r="F49" s="129">
        <v>0</v>
      </c>
      <c r="G49" s="129">
        <v>0</v>
      </c>
      <c r="H49" s="129">
        <v>0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29">
        <v>0</v>
      </c>
      <c r="O49" s="129">
        <v>0</v>
      </c>
      <c r="P49" s="129">
        <v>0</v>
      </c>
      <c r="Q49" s="129">
        <v>0</v>
      </c>
      <c r="R49" s="129">
        <v>0</v>
      </c>
      <c r="S49" s="129">
        <v>0</v>
      </c>
      <c r="T49" s="129">
        <v>0</v>
      </c>
      <c r="U49" s="129">
        <v>0</v>
      </c>
      <c r="V49" s="129">
        <v>0</v>
      </c>
      <c r="W49" s="129">
        <v>0</v>
      </c>
      <c r="X49" s="129">
        <v>0</v>
      </c>
      <c r="Y49" s="129">
        <v>0</v>
      </c>
      <c r="Z49" s="129">
        <v>0</v>
      </c>
      <c r="AA49" s="129">
        <v>0</v>
      </c>
      <c r="AB49" s="129">
        <v>0</v>
      </c>
      <c r="AC49" s="129">
        <v>0</v>
      </c>
      <c r="AD49" s="129">
        <v>0</v>
      </c>
      <c r="AE49" s="129">
        <v>0</v>
      </c>
      <c r="AF49" s="129">
        <v>0</v>
      </c>
      <c r="AG49" s="129">
        <v>0</v>
      </c>
      <c r="AH49" s="129">
        <v>0</v>
      </c>
      <c r="AI49" s="126">
        <v>0</v>
      </c>
      <c r="AJ49" s="131">
        <v>0</v>
      </c>
    </row>
    <row r="50" spans="1:36" x14ac:dyDescent="0.35">
      <c r="A50" s="127" t="s">
        <v>385</v>
      </c>
      <c r="B50" s="127" t="s">
        <v>386</v>
      </c>
      <c r="C50" s="129">
        <v>4</v>
      </c>
      <c r="D50" s="129">
        <v>1</v>
      </c>
      <c r="E50" s="129">
        <v>0</v>
      </c>
      <c r="F50" s="129">
        <v>2</v>
      </c>
      <c r="G50" s="129">
        <v>7</v>
      </c>
      <c r="H50" s="129">
        <v>2</v>
      </c>
      <c r="I50" s="129">
        <v>0</v>
      </c>
      <c r="J50" s="129">
        <v>0</v>
      </c>
      <c r="K50" s="129">
        <v>0</v>
      </c>
      <c r="L50" s="129">
        <v>2</v>
      </c>
      <c r="M50" s="129">
        <v>0</v>
      </c>
      <c r="N50" s="129">
        <v>0</v>
      </c>
      <c r="O50" s="129">
        <v>0</v>
      </c>
      <c r="P50" s="129">
        <v>0</v>
      </c>
      <c r="Q50" s="129">
        <v>0</v>
      </c>
      <c r="R50" s="129">
        <v>0</v>
      </c>
      <c r="S50" s="129">
        <v>0</v>
      </c>
      <c r="T50" s="129">
        <v>0</v>
      </c>
      <c r="U50" s="129">
        <v>0</v>
      </c>
      <c r="V50" s="129">
        <v>0</v>
      </c>
      <c r="W50" s="129">
        <v>0</v>
      </c>
      <c r="X50" s="129">
        <v>1</v>
      </c>
      <c r="Y50" s="129">
        <v>0</v>
      </c>
      <c r="Z50" s="129">
        <v>0</v>
      </c>
      <c r="AA50" s="129">
        <v>1</v>
      </c>
      <c r="AB50" s="129">
        <v>0</v>
      </c>
      <c r="AC50" s="129">
        <v>0</v>
      </c>
      <c r="AD50" s="129">
        <v>0</v>
      </c>
      <c r="AE50" s="129">
        <v>0</v>
      </c>
      <c r="AF50" s="129">
        <v>0</v>
      </c>
      <c r="AG50" s="129">
        <v>0</v>
      </c>
      <c r="AH50" s="129">
        <v>0</v>
      </c>
      <c r="AI50" s="126">
        <v>0</v>
      </c>
      <c r="AJ50" s="131">
        <v>10</v>
      </c>
    </row>
    <row r="51" spans="1:36" x14ac:dyDescent="0.35">
      <c r="A51" s="127" t="s">
        <v>387</v>
      </c>
      <c r="B51" s="127" t="s">
        <v>388</v>
      </c>
      <c r="C51" s="129">
        <v>41</v>
      </c>
      <c r="D51" s="129">
        <v>15</v>
      </c>
      <c r="E51" s="129">
        <v>3</v>
      </c>
      <c r="F51" s="129">
        <v>2</v>
      </c>
      <c r="G51" s="129">
        <v>61</v>
      </c>
      <c r="H51" s="129">
        <v>9</v>
      </c>
      <c r="I51" s="129">
        <v>4</v>
      </c>
      <c r="J51" s="129">
        <v>1</v>
      </c>
      <c r="K51" s="129">
        <v>0</v>
      </c>
      <c r="L51" s="129">
        <v>14</v>
      </c>
      <c r="M51" s="129">
        <v>6</v>
      </c>
      <c r="N51" s="129">
        <v>1</v>
      </c>
      <c r="O51" s="129">
        <v>0</v>
      </c>
      <c r="P51" s="129">
        <v>0</v>
      </c>
      <c r="Q51" s="129">
        <v>7</v>
      </c>
      <c r="R51" s="129">
        <v>2</v>
      </c>
      <c r="S51" s="129">
        <v>1</v>
      </c>
      <c r="T51" s="129">
        <v>0</v>
      </c>
      <c r="U51" s="129">
        <v>0</v>
      </c>
      <c r="V51" s="129">
        <v>3</v>
      </c>
      <c r="W51" s="129">
        <v>13</v>
      </c>
      <c r="X51" s="129">
        <v>3</v>
      </c>
      <c r="Y51" s="129">
        <v>0</v>
      </c>
      <c r="Z51" s="129">
        <v>2</v>
      </c>
      <c r="AA51" s="129">
        <v>18</v>
      </c>
      <c r="AB51" s="129">
        <v>4</v>
      </c>
      <c r="AC51" s="129">
        <v>2</v>
      </c>
      <c r="AD51" s="129">
        <v>0</v>
      </c>
      <c r="AE51" s="129">
        <v>0</v>
      </c>
      <c r="AF51" s="129">
        <v>6</v>
      </c>
      <c r="AG51" s="129">
        <v>0</v>
      </c>
      <c r="AH51" s="129">
        <v>0</v>
      </c>
      <c r="AI51" s="126">
        <v>0</v>
      </c>
      <c r="AJ51" s="131">
        <v>109</v>
      </c>
    </row>
    <row r="52" spans="1:36" x14ac:dyDescent="0.35">
      <c r="A52" s="127" t="s">
        <v>389</v>
      </c>
      <c r="B52" s="127" t="s">
        <v>390</v>
      </c>
      <c r="C52" s="129">
        <v>2</v>
      </c>
      <c r="D52" s="129">
        <v>5</v>
      </c>
      <c r="E52" s="129">
        <v>1</v>
      </c>
      <c r="F52" s="129">
        <v>0</v>
      </c>
      <c r="G52" s="129">
        <v>8</v>
      </c>
      <c r="H52" s="129">
        <v>0</v>
      </c>
      <c r="I52" s="129">
        <v>0</v>
      </c>
      <c r="J52" s="129">
        <v>0</v>
      </c>
      <c r="K52" s="129">
        <v>0</v>
      </c>
      <c r="L52" s="129">
        <v>0</v>
      </c>
      <c r="M52" s="129">
        <v>1</v>
      </c>
      <c r="N52" s="129">
        <v>0</v>
      </c>
      <c r="O52" s="129">
        <v>0</v>
      </c>
      <c r="P52" s="129">
        <v>0</v>
      </c>
      <c r="Q52" s="129">
        <v>1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1</v>
      </c>
      <c r="X52" s="129">
        <v>0</v>
      </c>
      <c r="Y52" s="129">
        <v>0</v>
      </c>
      <c r="Z52" s="129">
        <v>0</v>
      </c>
      <c r="AA52" s="129">
        <v>1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6">
        <v>0</v>
      </c>
      <c r="AJ52" s="131">
        <v>10</v>
      </c>
    </row>
    <row r="53" spans="1:36" x14ac:dyDescent="0.35">
      <c r="A53" s="127" t="s">
        <v>391</v>
      </c>
      <c r="B53" s="127" t="s">
        <v>392</v>
      </c>
      <c r="C53" s="129">
        <v>8</v>
      </c>
      <c r="D53" s="129">
        <v>1</v>
      </c>
      <c r="E53" s="129">
        <v>0</v>
      </c>
      <c r="F53" s="129">
        <v>0</v>
      </c>
      <c r="G53" s="129">
        <v>9</v>
      </c>
      <c r="H53" s="129">
        <v>0</v>
      </c>
      <c r="I53" s="129">
        <v>0</v>
      </c>
      <c r="J53" s="129">
        <v>0</v>
      </c>
      <c r="K53" s="129">
        <v>0</v>
      </c>
      <c r="L53" s="129">
        <v>0</v>
      </c>
      <c r="M53" s="129">
        <v>0</v>
      </c>
      <c r="N53" s="129">
        <v>0</v>
      </c>
      <c r="O53" s="129">
        <v>0</v>
      </c>
      <c r="P53" s="129">
        <v>0</v>
      </c>
      <c r="Q53" s="129">
        <v>0</v>
      </c>
      <c r="R53" s="129">
        <v>0</v>
      </c>
      <c r="S53" s="129">
        <v>0</v>
      </c>
      <c r="T53" s="129">
        <v>0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6">
        <v>0</v>
      </c>
      <c r="AJ53" s="131">
        <v>9</v>
      </c>
    </row>
    <row r="54" spans="1:36" x14ac:dyDescent="0.35">
      <c r="A54" s="127" t="s">
        <v>393</v>
      </c>
      <c r="B54" s="127" t="s">
        <v>394</v>
      </c>
      <c r="C54" s="129">
        <v>2</v>
      </c>
      <c r="D54" s="129">
        <v>0</v>
      </c>
      <c r="E54" s="129">
        <v>0</v>
      </c>
      <c r="F54" s="129">
        <v>0</v>
      </c>
      <c r="G54" s="129">
        <v>2</v>
      </c>
      <c r="H54" s="129">
        <v>0</v>
      </c>
      <c r="I54" s="129">
        <v>0</v>
      </c>
      <c r="J54" s="129">
        <v>0</v>
      </c>
      <c r="K54" s="129">
        <v>0</v>
      </c>
      <c r="L54" s="129">
        <v>0</v>
      </c>
      <c r="M54" s="129">
        <v>0</v>
      </c>
      <c r="N54" s="129">
        <v>0</v>
      </c>
      <c r="O54" s="129">
        <v>0</v>
      </c>
      <c r="P54" s="129">
        <v>0</v>
      </c>
      <c r="Q54" s="129">
        <v>0</v>
      </c>
      <c r="R54" s="129">
        <v>0</v>
      </c>
      <c r="S54" s="129">
        <v>0</v>
      </c>
      <c r="T54" s="129">
        <v>0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0</v>
      </c>
      <c r="AB54" s="129">
        <v>1</v>
      </c>
      <c r="AC54" s="129">
        <v>1</v>
      </c>
      <c r="AD54" s="129">
        <v>0</v>
      </c>
      <c r="AE54" s="129">
        <v>0</v>
      </c>
      <c r="AF54" s="129">
        <v>2</v>
      </c>
      <c r="AG54" s="129">
        <v>0</v>
      </c>
      <c r="AH54" s="129">
        <v>0</v>
      </c>
      <c r="AI54" s="126">
        <v>0</v>
      </c>
      <c r="AJ54" s="131">
        <v>4</v>
      </c>
    </row>
    <row r="55" spans="1:36" x14ac:dyDescent="0.35">
      <c r="A55" s="127" t="s">
        <v>1197</v>
      </c>
      <c r="B55" s="127" t="s">
        <v>1206</v>
      </c>
      <c r="C55" s="129">
        <v>1</v>
      </c>
      <c r="D55" s="129">
        <v>0</v>
      </c>
      <c r="E55" s="129">
        <v>0</v>
      </c>
      <c r="F55" s="129">
        <v>0</v>
      </c>
      <c r="G55" s="129">
        <v>1</v>
      </c>
      <c r="H55" s="129">
        <v>0</v>
      </c>
      <c r="I55" s="129">
        <v>0</v>
      </c>
      <c r="J55" s="129">
        <v>0</v>
      </c>
      <c r="K55" s="129">
        <v>0</v>
      </c>
      <c r="L55" s="129">
        <v>0</v>
      </c>
      <c r="M55" s="129">
        <v>0</v>
      </c>
      <c r="N55" s="129">
        <v>0</v>
      </c>
      <c r="O55" s="129">
        <v>0</v>
      </c>
      <c r="P55" s="129">
        <v>0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0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0</v>
      </c>
      <c r="AI55" s="126">
        <v>0</v>
      </c>
      <c r="AJ55" s="131">
        <v>1</v>
      </c>
    </row>
    <row r="56" spans="1:36" x14ac:dyDescent="0.35">
      <c r="A56" s="127" t="s">
        <v>395</v>
      </c>
      <c r="B56" s="127" t="s">
        <v>396</v>
      </c>
      <c r="C56" s="129">
        <v>1</v>
      </c>
      <c r="D56" s="129">
        <v>1</v>
      </c>
      <c r="E56" s="129">
        <v>1</v>
      </c>
      <c r="F56" s="129">
        <v>0</v>
      </c>
      <c r="G56" s="129">
        <v>3</v>
      </c>
      <c r="H56" s="129">
        <v>0</v>
      </c>
      <c r="I56" s="129">
        <v>0</v>
      </c>
      <c r="J56" s="129">
        <v>0</v>
      </c>
      <c r="K56" s="129">
        <v>0</v>
      </c>
      <c r="L56" s="129">
        <v>0</v>
      </c>
      <c r="M56" s="129">
        <v>0</v>
      </c>
      <c r="N56" s="129">
        <v>0</v>
      </c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6">
        <v>0</v>
      </c>
      <c r="AJ56" s="131">
        <v>3</v>
      </c>
    </row>
    <row r="57" spans="1:36" x14ac:dyDescent="0.35">
      <c r="A57" s="127" t="s">
        <v>397</v>
      </c>
      <c r="B57" s="127" t="s">
        <v>398</v>
      </c>
      <c r="C57" s="129">
        <v>3</v>
      </c>
      <c r="D57" s="129">
        <v>0</v>
      </c>
      <c r="E57" s="129">
        <v>0</v>
      </c>
      <c r="F57" s="129">
        <v>0</v>
      </c>
      <c r="G57" s="129">
        <v>3</v>
      </c>
      <c r="H57" s="129">
        <v>0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29">
        <v>0</v>
      </c>
      <c r="O57" s="129">
        <v>0</v>
      </c>
      <c r="P57" s="129">
        <v>0</v>
      </c>
      <c r="Q57" s="129">
        <v>0</v>
      </c>
      <c r="R57" s="129">
        <v>0</v>
      </c>
      <c r="S57" s="129">
        <v>0</v>
      </c>
      <c r="T57" s="129">
        <v>0</v>
      </c>
      <c r="U57" s="129">
        <v>0</v>
      </c>
      <c r="V57" s="129">
        <v>0</v>
      </c>
      <c r="W57" s="129">
        <v>1</v>
      </c>
      <c r="X57" s="129">
        <v>0</v>
      </c>
      <c r="Y57" s="129">
        <v>0</v>
      </c>
      <c r="Z57" s="129">
        <v>0</v>
      </c>
      <c r="AA57" s="129">
        <v>1</v>
      </c>
      <c r="AB57" s="129">
        <v>0</v>
      </c>
      <c r="AC57" s="129">
        <v>0</v>
      </c>
      <c r="AD57" s="129">
        <v>0</v>
      </c>
      <c r="AE57" s="129">
        <v>0</v>
      </c>
      <c r="AF57" s="129">
        <v>0</v>
      </c>
      <c r="AG57" s="129">
        <v>0</v>
      </c>
      <c r="AH57" s="129">
        <v>0</v>
      </c>
      <c r="AI57" s="126">
        <v>0</v>
      </c>
      <c r="AJ57" s="131">
        <v>4</v>
      </c>
    </row>
    <row r="58" spans="1:36" x14ac:dyDescent="0.35">
      <c r="A58" s="127" t="s">
        <v>399</v>
      </c>
      <c r="B58" s="127" t="s">
        <v>400</v>
      </c>
      <c r="C58" s="129">
        <v>44</v>
      </c>
      <c r="D58" s="129">
        <v>10</v>
      </c>
      <c r="E58" s="129">
        <v>8</v>
      </c>
      <c r="F58" s="129">
        <v>5</v>
      </c>
      <c r="G58" s="129">
        <v>67</v>
      </c>
      <c r="H58" s="129">
        <v>3</v>
      </c>
      <c r="I58" s="129">
        <v>0</v>
      </c>
      <c r="J58" s="129">
        <v>0</v>
      </c>
      <c r="K58" s="129">
        <v>0</v>
      </c>
      <c r="L58" s="129">
        <v>3</v>
      </c>
      <c r="M58" s="129">
        <v>1</v>
      </c>
      <c r="N58" s="129">
        <v>0</v>
      </c>
      <c r="O58" s="129">
        <v>0</v>
      </c>
      <c r="P58" s="129">
        <v>0</v>
      </c>
      <c r="Q58" s="129">
        <v>1</v>
      </c>
      <c r="R58" s="129">
        <v>6</v>
      </c>
      <c r="S58" s="129">
        <v>2</v>
      </c>
      <c r="T58" s="129">
        <v>1</v>
      </c>
      <c r="U58" s="129">
        <v>0</v>
      </c>
      <c r="V58" s="129">
        <v>9</v>
      </c>
      <c r="W58" s="129">
        <v>3</v>
      </c>
      <c r="X58" s="129">
        <v>0</v>
      </c>
      <c r="Y58" s="129">
        <v>0</v>
      </c>
      <c r="Z58" s="129">
        <v>0</v>
      </c>
      <c r="AA58" s="129">
        <v>3</v>
      </c>
      <c r="AB58" s="129">
        <v>2</v>
      </c>
      <c r="AC58" s="129">
        <v>1</v>
      </c>
      <c r="AD58" s="129">
        <v>1</v>
      </c>
      <c r="AE58" s="129">
        <v>0</v>
      </c>
      <c r="AF58" s="129">
        <v>4</v>
      </c>
      <c r="AG58" s="129">
        <v>0</v>
      </c>
      <c r="AH58" s="129">
        <v>0</v>
      </c>
      <c r="AI58" s="126">
        <v>0</v>
      </c>
      <c r="AJ58" s="131">
        <v>87</v>
      </c>
    </row>
    <row r="59" spans="1:36" x14ac:dyDescent="0.35">
      <c r="A59" s="127" t="s">
        <v>401</v>
      </c>
      <c r="B59" s="127" t="s">
        <v>402</v>
      </c>
      <c r="C59" s="129">
        <v>181</v>
      </c>
      <c r="D59" s="129">
        <v>39</v>
      </c>
      <c r="E59" s="129">
        <v>11</v>
      </c>
      <c r="F59" s="129">
        <v>3</v>
      </c>
      <c r="G59" s="129">
        <v>234</v>
      </c>
      <c r="H59" s="129">
        <v>19</v>
      </c>
      <c r="I59" s="129">
        <v>0</v>
      </c>
      <c r="J59" s="129">
        <v>1</v>
      </c>
      <c r="K59" s="129">
        <v>0</v>
      </c>
      <c r="L59" s="129">
        <v>20</v>
      </c>
      <c r="M59" s="129">
        <v>14</v>
      </c>
      <c r="N59" s="129">
        <v>0</v>
      </c>
      <c r="O59" s="129">
        <v>1</v>
      </c>
      <c r="P59" s="129">
        <v>0</v>
      </c>
      <c r="Q59" s="129">
        <v>15</v>
      </c>
      <c r="R59" s="129">
        <v>3</v>
      </c>
      <c r="S59" s="129">
        <v>0</v>
      </c>
      <c r="T59" s="129">
        <v>0</v>
      </c>
      <c r="U59" s="129">
        <v>0</v>
      </c>
      <c r="V59" s="129">
        <v>3</v>
      </c>
      <c r="W59" s="129">
        <v>46</v>
      </c>
      <c r="X59" s="129">
        <v>8</v>
      </c>
      <c r="Y59" s="129">
        <v>7</v>
      </c>
      <c r="Z59" s="129">
        <v>0</v>
      </c>
      <c r="AA59" s="129">
        <v>61</v>
      </c>
      <c r="AB59" s="129">
        <v>4</v>
      </c>
      <c r="AC59" s="129">
        <v>1</v>
      </c>
      <c r="AD59" s="129">
        <v>0</v>
      </c>
      <c r="AE59" s="129">
        <v>0</v>
      </c>
      <c r="AF59" s="129">
        <v>5</v>
      </c>
      <c r="AG59" s="129">
        <v>0</v>
      </c>
      <c r="AH59" s="129">
        <v>0</v>
      </c>
      <c r="AI59" s="126">
        <v>0</v>
      </c>
      <c r="AJ59" s="131">
        <v>338</v>
      </c>
    </row>
    <row r="60" spans="1:36" x14ac:dyDescent="0.35">
      <c r="A60" s="127" t="s">
        <v>403</v>
      </c>
      <c r="B60" s="127" t="s">
        <v>404</v>
      </c>
      <c r="C60" s="129">
        <v>7</v>
      </c>
      <c r="D60" s="129">
        <v>4</v>
      </c>
      <c r="E60" s="129">
        <v>1</v>
      </c>
      <c r="F60" s="129">
        <v>0</v>
      </c>
      <c r="G60" s="129">
        <v>12</v>
      </c>
      <c r="H60" s="129">
        <v>0</v>
      </c>
      <c r="I60" s="129">
        <v>0</v>
      </c>
      <c r="J60" s="129">
        <v>0</v>
      </c>
      <c r="K60" s="129">
        <v>0</v>
      </c>
      <c r="L60" s="129">
        <v>0</v>
      </c>
      <c r="M60" s="129">
        <v>0</v>
      </c>
      <c r="N60" s="129">
        <v>0</v>
      </c>
      <c r="O60" s="129">
        <v>0</v>
      </c>
      <c r="P60" s="129">
        <v>0</v>
      </c>
      <c r="Q60" s="129">
        <v>0</v>
      </c>
      <c r="R60" s="129">
        <v>0</v>
      </c>
      <c r="S60" s="129">
        <v>0</v>
      </c>
      <c r="T60" s="129">
        <v>0</v>
      </c>
      <c r="U60" s="129">
        <v>0</v>
      </c>
      <c r="V60" s="129">
        <v>0</v>
      </c>
      <c r="W60" s="129">
        <v>1</v>
      </c>
      <c r="X60" s="129">
        <v>0</v>
      </c>
      <c r="Y60" s="129">
        <v>1</v>
      </c>
      <c r="Z60" s="129">
        <v>0</v>
      </c>
      <c r="AA60" s="129">
        <v>2</v>
      </c>
      <c r="AB60" s="129">
        <v>0</v>
      </c>
      <c r="AC60" s="129">
        <v>0</v>
      </c>
      <c r="AD60" s="129">
        <v>0</v>
      </c>
      <c r="AE60" s="129">
        <v>0</v>
      </c>
      <c r="AF60" s="129">
        <v>0</v>
      </c>
      <c r="AG60" s="129">
        <v>0</v>
      </c>
      <c r="AH60" s="129">
        <v>0</v>
      </c>
      <c r="AI60" s="126">
        <v>0</v>
      </c>
      <c r="AJ60" s="131">
        <v>14</v>
      </c>
    </row>
    <row r="61" spans="1:36" x14ac:dyDescent="0.35">
      <c r="A61" s="127" t="s">
        <v>405</v>
      </c>
      <c r="B61" s="127" t="s">
        <v>406</v>
      </c>
      <c r="C61" s="129">
        <v>187</v>
      </c>
      <c r="D61" s="129">
        <v>9</v>
      </c>
      <c r="E61" s="129">
        <v>1</v>
      </c>
      <c r="F61" s="129">
        <v>2</v>
      </c>
      <c r="G61" s="129">
        <v>199</v>
      </c>
      <c r="H61" s="129">
        <v>18</v>
      </c>
      <c r="I61" s="129">
        <v>0</v>
      </c>
      <c r="J61" s="129">
        <v>1</v>
      </c>
      <c r="K61" s="129">
        <v>0</v>
      </c>
      <c r="L61" s="129">
        <v>19</v>
      </c>
      <c r="M61" s="129">
        <v>11</v>
      </c>
      <c r="N61" s="129">
        <v>0</v>
      </c>
      <c r="O61" s="129">
        <v>0</v>
      </c>
      <c r="P61" s="129">
        <v>0</v>
      </c>
      <c r="Q61" s="129">
        <v>11</v>
      </c>
      <c r="R61" s="129">
        <v>6</v>
      </c>
      <c r="S61" s="129">
        <v>0</v>
      </c>
      <c r="T61" s="129">
        <v>0</v>
      </c>
      <c r="U61" s="129">
        <v>0</v>
      </c>
      <c r="V61" s="129">
        <v>6</v>
      </c>
      <c r="W61" s="129">
        <v>31</v>
      </c>
      <c r="X61" s="129">
        <v>2</v>
      </c>
      <c r="Y61" s="129">
        <v>0</v>
      </c>
      <c r="Z61" s="129">
        <v>0</v>
      </c>
      <c r="AA61" s="129">
        <v>33</v>
      </c>
      <c r="AB61" s="129">
        <v>11</v>
      </c>
      <c r="AC61" s="129">
        <v>0</v>
      </c>
      <c r="AD61" s="129">
        <v>0</v>
      </c>
      <c r="AE61" s="129">
        <v>0</v>
      </c>
      <c r="AF61" s="129">
        <v>11</v>
      </c>
      <c r="AG61" s="129">
        <v>0</v>
      </c>
      <c r="AH61" s="129">
        <v>0</v>
      </c>
      <c r="AI61" s="126">
        <v>0</v>
      </c>
      <c r="AJ61" s="131">
        <v>279</v>
      </c>
    </row>
    <row r="62" spans="1:36" x14ac:dyDescent="0.35">
      <c r="A62" s="127" t="s">
        <v>1357</v>
      </c>
      <c r="B62" s="127" t="s">
        <v>1358</v>
      </c>
      <c r="C62" s="129">
        <v>4</v>
      </c>
      <c r="D62" s="129">
        <v>2</v>
      </c>
      <c r="E62" s="129">
        <v>1</v>
      </c>
      <c r="F62" s="129">
        <v>0</v>
      </c>
      <c r="G62" s="129">
        <v>7</v>
      </c>
      <c r="H62" s="129">
        <v>0</v>
      </c>
      <c r="I62" s="129">
        <v>0</v>
      </c>
      <c r="J62" s="129">
        <v>0</v>
      </c>
      <c r="K62" s="129">
        <v>0</v>
      </c>
      <c r="L62" s="129">
        <v>0</v>
      </c>
      <c r="M62" s="129">
        <v>0</v>
      </c>
      <c r="N62" s="129">
        <v>0</v>
      </c>
      <c r="O62" s="129">
        <v>0</v>
      </c>
      <c r="P62" s="129">
        <v>0</v>
      </c>
      <c r="Q62" s="129">
        <v>0</v>
      </c>
      <c r="R62" s="129">
        <v>0</v>
      </c>
      <c r="S62" s="129">
        <v>0</v>
      </c>
      <c r="T62" s="129">
        <v>0</v>
      </c>
      <c r="U62" s="129">
        <v>0</v>
      </c>
      <c r="V62" s="129">
        <v>0</v>
      </c>
      <c r="W62" s="129">
        <v>0</v>
      </c>
      <c r="X62" s="129">
        <v>0</v>
      </c>
      <c r="Y62" s="129">
        <v>0</v>
      </c>
      <c r="Z62" s="129">
        <v>0</v>
      </c>
      <c r="AA62" s="129">
        <v>0</v>
      </c>
      <c r="AB62" s="129">
        <v>0</v>
      </c>
      <c r="AC62" s="129">
        <v>0</v>
      </c>
      <c r="AD62" s="129">
        <v>0</v>
      </c>
      <c r="AE62" s="129">
        <v>0</v>
      </c>
      <c r="AF62" s="129">
        <v>0</v>
      </c>
      <c r="AG62" s="129">
        <v>0</v>
      </c>
      <c r="AH62" s="129">
        <v>0</v>
      </c>
      <c r="AI62" s="126">
        <v>0</v>
      </c>
      <c r="AJ62" s="131">
        <v>7</v>
      </c>
    </row>
    <row r="63" spans="1:36" x14ac:dyDescent="0.35">
      <c r="A63" s="127" t="s">
        <v>1359</v>
      </c>
      <c r="B63" s="127" t="s">
        <v>1360</v>
      </c>
      <c r="C63" s="129">
        <v>3</v>
      </c>
      <c r="D63" s="129">
        <v>1</v>
      </c>
      <c r="E63" s="129">
        <v>0</v>
      </c>
      <c r="F63" s="129">
        <v>0</v>
      </c>
      <c r="G63" s="129">
        <v>4</v>
      </c>
      <c r="H63" s="129">
        <v>0</v>
      </c>
      <c r="I63" s="129">
        <v>0</v>
      </c>
      <c r="J63" s="129">
        <v>0</v>
      </c>
      <c r="K63" s="129">
        <v>0</v>
      </c>
      <c r="L63" s="129">
        <v>0</v>
      </c>
      <c r="M63" s="129">
        <v>0</v>
      </c>
      <c r="N63" s="129">
        <v>0</v>
      </c>
      <c r="O63" s="129">
        <v>0</v>
      </c>
      <c r="P63" s="129">
        <v>0</v>
      </c>
      <c r="Q63" s="129">
        <v>0</v>
      </c>
      <c r="R63" s="129">
        <v>0</v>
      </c>
      <c r="S63" s="129">
        <v>0</v>
      </c>
      <c r="T63" s="129">
        <v>0</v>
      </c>
      <c r="U63" s="129">
        <v>0</v>
      </c>
      <c r="V63" s="129">
        <v>0</v>
      </c>
      <c r="W63" s="129">
        <v>0</v>
      </c>
      <c r="X63" s="129">
        <v>0</v>
      </c>
      <c r="Y63" s="129">
        <v>0</v>
      </c>
      <c r="Z63" s="129">
        <v>0</v>
      </c>
      <c r="AA63" s="129">
        <v>0</v>
      </c>
      <c r="AB63" s="129">
        <v>0</v>
      </c>
      <c r="AC63" s="129">
        <v>0</v>
      </c>
      <c r="AD63" s="129">
        <v>0</v>
      </c>
      <c r="AE63" s="129">
        <v>0</v>
      </c>
      <c r="AF63" s="129">
        <v>0</v>
      </c>
      <c r="AG63" s="129">
        <v>0</v>
      </c>
      <c r="AH63" s="129">
        <v>0</v>
      </c>
      <c r="AI63" s="126">
        <v>0</v>
      </c>
      <c r="AJ63" s="131">
        <v>4</v>
      </c>
    </row>
    <row r="64" spans="1:36" x14ac:dyDescent="0.35">
      <c r="A64" s="127" t="s">
        <v>1361</v>
      </c>
      <c r="B64" s="127" t="s">
        <v>1362</v>
      </c>
      <c r="C64" s="129">
        <v>0</v>
      </c>
      <c r="D64" s="129">
        <v>1</v>
      </c>
      <c r="E64" s="129">
        <v>0</v>
      </c>
      <c r="F64" s="129">
        <v>1</v>
      </c>
      <c r="G64" s="129">
        <v>2</v>
      </c>
      <c r="H64" s="129">
        <v>0</v>
      </c>
      <c r="I64" s="129">
        <v>0</v>
      </c>
      <c r="J64" s="129">
        <v>0</v>
      </c>
      <c r="K64" s="129">
        <v>0</v>
      </c>
      <c r="L64" s="129">
        <v>0</v>
      </c>
      <c r="M64" s="129">
        <v>0</v>
      </c>
      <c r="N64" s="129">
        <v>0</v>
      </c>
      <c r="O64" s="129">
        <v>0</v>
      </c>
      <c r="P64" s="129">
        <v>0</v>
      </c>
      <c r="Q64" s="129">
        <v>0</v>
      </c>
      <c r="R64" s="129">
        <v>0</v>
      </c>
      <c r="S64" s="129">
        <v>0</v>
      </c>
      <c r="T64" s="129">
        <v>0</v>
      </c>
      <c r="U64" s="129">
        <v>0</v>
      </c>
      <c r="V64" s="129">
        <v>0</v>
      </c>
      <c r="W64" s="129">
        <v>0</v>
      </c>
      <c r="X64" s="129">
        <v>1</v>
      </c>
      <c r="Y64" s="129">
        <v>0</v>
      </c>
      <c r="Z64" s="129">
        <v>0</v>
      </c>
      <c r="AA64" s="129">
        <v>1</v>
      </c>
      <c r="AB64" s="129">
        <v>0</v>
      </c>
      <c r="AC64" s="129">
        <v>0</v>
      </c>
      <c r="AD64" s="129">
        <v>0</v>
      </c>
      <c r="AE64" s="129">
        <v>0</v>
      </c>
      <c r="AF64" s="129">
        <v>0</v>
      </c>
      <c r="AG64" s="129">
        <v>0</v>
      </c>
      <c r="AH64" s="129">
        <v>0</v>
      </c>
      <c r="AI64" s="126">
        <v>0</v>
      </c>
      <c r="AJ64" s="131">
        <v>3</v>
      </c>
    </row>
    <row r="65" spans="1:36" x14ac:dyDescent="0.35">
      <c r="A65" s="127" t="s">
        <v>407</v>
      </c>
      <c r="B65" s="127" t="s">
        <v>408</v>
      </c>
      <c r="C65" s="129">
        <v>72</v>
      </c>
      <c r="D65" s="129">
        <v>11</v>
      </c>
      <c r="E65" s="129">
        <v>4</v>
      </c>
      <c r="F65" s="129">
        <v>0</v>
      </c>
      <c r="G65" s="129">
        <v>87</v>
      </c>
      <c r="H65" s="129">
        <v>15</v>
      </c>
      <c r="I65" s="129">
        <v>0</v>
      </c>
      <c r="J65" s="129">
        <v>1</v>
      </c>
      <c r="K65" s="129">
        <v>0</v>
      </c>
      <c r="L65" s="129">
        <v>16</v>
      </c>
      <c r="M65" s="129">
        <v>29</v>
      </c>
      <c r="N65" s="129">
        <v>4</v>
      </c>
      <c r="O65" s="129">
        <v>4</v>
      </c>
      <c r="P65" s="129">
        <v>1</v>
      </c>
      <c r="Q65" s="129">
        <v>38</v>
      </c>
      <c r="R65" s="129">
        <v>5</v>
      </c>
      <c r="S65" s="129">
        <v>1</v>
      </c>
      <c r="T65" s="129">
        <v>0</v>
      </c>
      <c r="U65" s="129">
        <v>0</v>
      </c>
      <c r="V65" s="129">
        <v>6</v>
      </c>
      <c r="W65" s="129">
        <v>17</v>
      </c>
      <c r="X65" s="129">
        <v>1</v>
      </c>
      <c r="Y65" s="129">
        <v>1</v>
      </c>
      <c r="Z65" s="129">
        <v>0</v>
      </c>
      <c r="AA65" s="129">
        <v>19</v>
      </c>
      <c r="AB65" s="129">
        <v>6</v>
      </c>
      <c r="AC65" s="129">
        <v>0</v>
      </c>
      <c r="AD65" s="129">
        <v>0</v>
      </c>
      <c r="AE65" s="129">
        <v>0</v>
      </c>
      <c r="AF65" s="129">
        <v>6</v>
      </c>
      <c r="AG65" s="129">
        <v>0</v>
      </c>
      <c r="AH65" s="129">
        <v>0</v>
      </c>
      <c r="AI65" s="126">
        <v>0</v>
      </c>
      <c r="AJ65" s="131">
        <v>172</v>
      </c>
    </row>
    <row r="66" spans="1:36" x14ac:dyDescent="0.35">
      <c r="A66" s="127" t="s">
        <v>409</v>
      </c>
      <c r="B66" s="127" t="s">
        <v>410</v>
      </c>
      <c r="C66" s="129">
        <v>90</v>
      </c>
      <c r="D66" s="129">
        <v>5</v>
      </c>
      <c r="E66" s="129">
        <v>2</v>
      </c>
      <c r="F66" s="129">
        <v>1</v>
      </c>
      <c r="G66" s="129">
        <v>98</v>
      </c>
      <c r="H66" s="129">
        <v>32</v>
      </c>
      <c r="I66" s="129">
        <v>0</v>
      </c>
      <c r="J66" s="129">
        <v>0</v>
      </c>
      <c r="K66" s="129">
        <v>0</v>
      </c>
      <c r="L66" s="129">
        <v>32</v>
      </c>
      <c r="M66" s="129">
        <v>24</v>
      </c>
      <c r="N66" s="129">
        <v>0</v>
      </c>
      <c r="O66" s="129">
        <v>0</v>
      </c>
      <c r="P66" s="129">
        <v>0</v>
      </c>
      <c r="Q66" s="129">
        <v>24</v>
      </c>
      <c r="R66" s="129">
        <v>3</v>
      </c>
      <c r="S66" s="129">
        <v>1</v>
      </c>
      <c r="T66" s="129">
        <v>0</v>
      </c>
      <c r="U66" s="129">
        <v>0</v>
      </c>
      <c r="V66" s="129">
        <v>4</v>
      </c>
      <c r="W66" s="129">
        <v>40</v>
      </c>
      <c r="X66" s="129">
        <v>1</v>
      </c>
      <c r="Y66" s="129">
        <v>0</v>
      </c>
      <c r="Z66" s="129">
        <v>0</v>
      </c>
      <c r="AA66" s="129">
        <v>41</v>
      </c>
      <c r="AB66" s="129">
        <v>4</v>
      </c>
      <c r="AC66" s="129">
        <v>0</v>
      </c>
      <c r="AD66" s="129">
        <v>0</v>
      </c>
      <c r="AE66" s="129">
        <v>0</v>
      </c>
      <c r="AF66" s="129">
        <v>4</v>
      </c>
      <c r="AG66" s="129">
        <v>0</v>
      </c>
      <c r="AH66" s="129">
        <v>0</v>
      </c>
      <c r="AI66" s="126">
        <v>0</v>
      </c>
      <c r="AJ66" s="131">
        <v>203</v>
      </c>
    </row>
    <row r="67" spans="1:36" x14ac:dyDescent="0.35">
      <c r="A67" s="127" t="s">
        <v>411</v>
      </c>
      <c r="B67" s="127" t="s">
        <v>412</v>
      </c>
      <c r="C67" s="129">
        <v>1</v>
      </c>
      <c r="D67" s="129">
        <v>0</v>
      </c>
      <c r="E67" s="129">
        <v>0</v>
      </c>
      <c r="F67" s="129">
        <v>0</v>
      </c>
      <c r="G67" s="129">
        <v>1</v>
      </c>
      <c r="H67" s="129">
        <v>0</v>
      </c>
      <c r="I67" s="129">
        <v>0</v>
      </c>
      <c r="J67" s="129">
        <v>0</v>
      </c>
      <c r="K67" s="129">
        <v>0</v>
      </c>
      <c r="L67" s="129">
        <v>0</v>
      </c>
      <c r="M67" s="129">
        <v>0</v>
      </c>
      <c r="N67" s="129">
        <v>0</v>
      </c>
      <c r="O67" s="129">
        <v>0</v>
      </c>
      <c r="P67" s="129">
        <v>0</v>
      </c>
      <c r="Q67" s="129">
        <v>0</v>
      </c>
      <c r="R67" s="129">
        <v>0</v>
      </c>
      <c r="S67" s="129">
        <v>0</v>
      </c>
      <c r="T67" s="129">
        <v>0</v>
      </c>
      <c r="U67" s="129">
        <v>0</v>
      </c>
      <c r="V67" s="129">
        <v>0</v>
      </c>
      <c r="W67" s="129">
        <v>0</v>
      </c>
      <c r="X67" s="129">
        <v>0</v>
      </c>
      <c r="Y67" s="129">
        <v>0</v>
      </c>
      <c r="Z67" s="129">
        <v>0</v>
      </c>
      <c r="AA67" s="129">
        <v>0</v>
      </c>
      <c r="AB67" s="129">
        <v>0</v>
      </c>
      <c r="AC67" s="129">
        <v>0</v>
      </c>
      <c r="AD67" s="129">
        <v>0</v>
      </c>
      <c r="AE67" s="129">
        <v>0</v>
      </c>
      <c r="AF67" s="129">
        <v>0</v>
      </c>
      <c r="AG67" s="129">
        <v>0</v>
      </c>
      <c r="AH67" s="129">
        <v>0</v>
      </c>
      <c r="AI67" s="126">
        <v>0</v>
      </c>
      <c r="AJ67" s="131">
        <v>1</v>
      </c>
    </row>
    <row r="68" spans="1:36" x14ac:dyDescent="0.35">
      <c r="A68" s="127" t="s">
        <v>413</v>
      </c>
      <c r="B68" s="127" t="s">
        <v>414</v>
      </c>
      <c r="C68" s="129">
        <v>2</v>
      </c>
      <c r="D68" s="129">
        <v>3</v>
      </c>
      <c r="E68" s="129">
        <v>1</v>
      </c>
      <c r="F68" s="129">
        <v>0</v>
      </c>
      <c r="G68" s="129">
        <v>6</v>
      </c>
      <c r="H68" s="129">
        <v>7</v>
      </c>
      <c r="I68" s="129">
        <v>0</v>
      </c>
      <c r="J68" s="129">
        <v>1</v>
      </c>
      <c r="K68" s="129">
        <v>0</v>
      </c>
      <c r="L68" s="129">
        <v>8</v>
      </c>
      <c r="M68" s="129">
        <v>0</v>
      </c>
      <c r="N68" s="129">
        <v>0</v>
      </c>
      <c r="O68" s="129">
        <v>0</v>
      </c>
      <c r="P68" s="129">
        <v>0</v>
      </c>
      <c r="Q68" s="129">
        <v>0</v>
      </c>
      <c r="R68" s="129">
        <v>0</v>
      </c>
      <c r="S68" s="129">
        <v>0</v>
      </c>
      <c r="T68" s="129">
        <v>0</v>
      </c>
      <c r="U68" s="129">
        <v>0</v>
      </c>
      <c r="V68" s="129">
        <v>0</v>
      </c>
      <c r="W68" s="129">
        <v>0</v>
      </c>
      <c r="X68" s="129">
        <v>0</v>
      </c>
      <c r="Y68" s="129">
        <v>0</v>
      </c>
      <c r="Z68" s="129">
        <v>0</v>
      </c>
      <c r="AA68" s="129">
        <v>0</v>
      </c>
      <c r="AB68" s="129">
        <v>0</v>
      </c>
      <c r="AC68" s="129">
        <v>0</v>
      </c>
      <c r="AD68" s="129">
        <v>0</v>
      </c>
      <c r="AE68" s="129">
        <v>0</v>
      </c>
      <c r="AF68" s="129">
        <v>0</v>
      </c>
      <c r="AG68" s="129">
        <v>0</v>
      </c>
      <c r="AH68" s="129">
        <v>0</v>
      </c>
      <c r="AI68" s="126">
        <v>0</v>
      </c>
      <c r="AJ68" s="131">
        <v>14</v>
      </c>
    </row>
    <row r="69" spans="1:36" x14ac:dyDescent="0.35">
      <c r="A69" s="127" t="s">
        <v>415</v>
      </c>
      <c r="B69" s="127" t="s">
        <v>416</v>
      </c>
      <c r="C69" s="129">
        <v>32</v>
      </c>
      <c r="D69" s="129">
        <v>4</v>
      </c>
      <c r="E69" s="129">
        <v>1</v>
      </c>
      <c r="F69" s="129">
        <v>1</v>
      </c>
      <c r="G69" s="129">
        <v>38</v>
      </c>
      <c r="H69" s="129">
        <v>33</v>
      </c>
      <c r="I69" s="129">
        <v>0</v>
      </c>
      <c r="J69" s="129">
        <v>0</v>
      </c>
      <c r="K69" s="129">
        <v>0</v>
      </c>
      <c r="L69" s="129">
        <v>33</v>
      </c>
      <c r="M69" s="129">
        <v>3</v>
      </c>
      <c r="N69" s="129">
        <v>0</v>
      </c>
      <c r="O69" s="129">
        <v>0</v>
      </c>
      <c r="P69" s="129">
        <v>0</v>
      </c>
      <c r="Q69" s="129">
        <v>3</v>
      </c>
      <c r="R69" s="129">
        <v>0</v>
      </c>
      <c r="S69" s="129">
        <v>0</v>
      </c>
      <c r="T69" s="129">
        <v>0</v>
      </c>
      <c r="U69" s="129">
        <v>0</v>
      </c>
      <c r="V69" s="129">
        <v>0</v>
      </c>
      <c r="W69" s="129">
        <v>1</v>
      </c>
      <c r="X69" s="129">
        <v>1</v>
      </c>
      <c r="Y69" s="129">
        <v>0</v>
      </c>
      <c r="Z69" s="129">
        <v>0</v>
      </c>
      <c r="AA69" s="129">
        <v>2</v>
      </c>
      <c r="AB69" s="129">
        <v>11</v>
      </c>
      <c r="AC69" s="129">
        <v>0</v>
      </c>
      <c r="AD69" s="129">
        <v>0</v>
      </c>
      <c r="AE69" s="129">
        <v>0</v>
      </c>
      <c r="AF69" s="129">
        <v>11</v>
      </c>
      <c r="AG69" s="129">
        <v>0</v>
      </c>
      <c r="AH69" s="129">
        <v>0</v>
      </c>
      <c r="AI69" s="126">
        <v>0</v>
      </c>
      <c r="AJ69" s="131">
        <v>87</v>
      </c>
    </row>
    <row r="70" spans="1:36" x14ac:dyDescent="0.35">
      <c r="A70" s="127" t="s">
        <v>417</v>
      </c>
      <c r="B70" s="127" t="s">
        <v>418</v>
      </c>
      <c r="C70" s="129">
        <v>28</v>
      </c>
      <c r="D70" s="129">
        <v>0</v>
      </c>
      <c r="E70" s="129">
        <v>0</v>
      </c>
      <c r="F70" s="129">
        <v>1</v>
      </c>
      <c r="G70" s="129">
        <v>29</v>
      </c>
      <c r="H70" s="129">
        <v>8</v>
      </c>
      <c r="I70" s="129">
        <v>0</v>
      </c>
      <c r="J70" s="129">
        <v>0</v>
      </c>
      <c r="K70" s="129">
        <v>0</v>
      </c>
      <c r="L70" s="129">
        <v>8</v>
      </c>
      <c r="M70" s="129">
        <v>1</v>
      </c>
      <c r="N70" s="129">
        <v>0</v>
      </c>
      <c r="O70" s="129">
        <v>0</v>
      </c>
      <c r="P70" s="129">
        <v>0</v>
      </c>
      <c r="Q70" s="129">
        <v>1</v>
      </c>
      <c r="R70" s="129">
        <v>0</v>
      </c>
      <c r="S70" s="129">
        <v>0</v>
      </c>
      <c r="T70" s="129">
        <v>0</v>
      </c>
      <c r="U70" s="129">
        <v>0</v>
      </c>
      <c r="V70" s="129">
        <v>0</v>
      </c>
      <c r="W70" s="129">
        <v>5</v>
      </c>
      <c r="X70" s="129">
        <v>0</v>
      </c>
      <c r="Y70" s="129">
        <v>0</v>
      </c>
      <c r="Z70" s="129">
        <v>0</v>
      </c>
      <c r="AA70" s="129">
        <v>5</v>
      </c>
      <c r="AB70" s="129">
        <v>0</v>
      </c>
      <c r="AC70" s="129">
        <v>0</v>
      </c>
      <c r="AD70" s="129">
        <v>0</v>
      </c>
      <c r="AE70" s="129">
        <v>0</v>
      </c>
      <c r="AF70" s="129">
        <v>0</v>
      </c>
      <c r="AG70" s="129">
        <v>0</v>
      </c>
      <c r="AH70" s="129">
        <v>0</v>
      </c>
      <c r="AI70" s="126">
        <v>0</v>
      </c>
      <c r="AJ70" s="131">
        <v>43</v>
      </c>
    </row>
    <row r="71" spans="1:36" x14ac:dyDescent="0.35">
      <c r="A71" s="127" t="s">
        <v>419</v>
      </c>
      <c r="B71" s="127" t="s">
        <v>420</v>
      </c>
      <c r="C71" s="129">
        <v>1</v>
      </c>
      <c r="D71" s="129">
        <v>0</v>
      </c>
      <c r="E71" s="129">
        <v>0</v>
      </c>
      <c r="F71" s="129">
        <v>0</v>
      </c>
      <c r="G71" s="129">
        <v>1</v>
      </c>
      <c r="H71" s="129">
        <v>0</v>
      </c>
      <c r="I71" s="129">
        <v>0</v>
      </c>
      <c r="J71" s="129">
        <v>0</v>
      </c>
      <c r="K71" s="129">
        <v>0</v>
      </c>
      <c r="L71" s="129">
        <v>0</v>
      </c>
      <c r="M71" s="129">
        <v>0</v>
      </c>
      <c r="N71" s="129">
        <v>0</v>
      </c>
      <c r="O71" s="129">
        <v>0</v>
      </c>
      <c r="P71" s="129">
        <v>0</v>
      </c>
      <c r="Q71" s="129">
        <v>0</v>
      </c>
      <c r="R71" s="129">
        <v>0</v>
      </c>
      <c r="S71" s="129">
        <v>0</v>
      </c>
      <c r="T71" s="129">
        <v>0</v>
      </c>
      <c r="U71" s="129">
        <v>0</v>
      </c>
      <c r="V71" s="129">
        <v>0</v>
      </c>
      <c r="W71" s="129">
        <v>2</v>
      </c>
      <c r="X71" s="129">
        <v>0</v>
      </c>
      <c r="Y71" s="129">
        <v>0</v>
      </c>
      <c r="Z71" s="129">
        <v>0</v>
      </c>
      <c r="AA71" s="129">
        <v>2</v>
      </c>
      <c r="AB71" s="129">
        <v>0</v>
      </c>
      <c r="AC71" s="129">
        <v>0</v>
      </c>
      <c r="AD71" s="129">
        <v>0</v>
      </c>
      <c r="AE71" s="129">
        <v>0</v>
      </c>
      <c r="AF71" s="129">
        <v>0</v>
      </c>
      <c r="AG71" s="129">
        <v>0</v>
      </c>
      <c r="AH71" s="129">
        <v>0</v>
      </c>
      <c r="AI71" s="126">
        <v>0</v>
      </c>
      <c r="AJ71" s="131">
        <v>3</v>
      </c>
    </row>
    <row r="72" spans="1:36" x14ac:dyDescent="0.35">
      <c r="A72" s="127" t="s">
        <v>421</v>
      </c>
      <c r="B72" s="127" t="s">
        <v>422</v>
      </c>
      <c r="C72" s="129">
        <v>13</v>
      </c>
      <c r="D72" s="129">
        <v>1</v>
      </c>
      <c r="E72" s="129">
        <v>0</v>
      </c>
      <c r="F72" s="129">
        <v>0</v>
      </c>
      <c r="G72" s="129">
        <v>14</v>
      </c>
      <c r="H72" s="129">
        <v>0</v>
      </c>
      <c r="I72" s="129">
        <v>0</v>
      </c>
      <c r="J72" s="129">
        <v>0</v>
      </c>
      <c r="K72" s="129">
        <v>0</v>
      </c>
      <c r="L72" s="129">
        <v>0</v>
      </c>
      <c r="M72" s="129">
        <v>4</v>
      </c>
      <c r="N72" s="129">
        <v>0</v>
      </c>
      <c r="O72" s="129">
        <v>0</v>
      </c>
      <c r="P72" s="129">
        <v>0</v>
      </c>
      <c r="Q72" s="129">
        <v>4</v>
      </c>
      <c r="R72" s="129">
        <v>0</v>
      </c>
      <c r="S72" s="129">
        <v>0</v>
      </c>
      <c r="T72" s="129">
        <v>0</v>
      </c>
      <c r="U72" s="129">
        <v>0</v>
      </c>
      <c r="V72" s="129">
        <v>0</v>
      </c>
      <c r="W72" s="129">
        <v>7</v>
      </c>
      <c r="X72" s="129">
        <v>1</v>
      </c>
      <c r="Y72" s="129">
        <v>0</v>
      </c>
      <c r="Z72" s="129">
        <v>0</v>
      </c>
      <c r="AA72" s="129">
        <v>8</v>
      </c>
      <c r="AB72" s="129">
        <v>2</v>
      </c>
      <c r="AC72" s="129">
        <v>0</v>
      </c>
      <c r="AD72" s="129">
        <v>0</v>
      </c>
      <c r="AE72" s="129">
        <v>0</v>
      </c>
      <c r="AF72" s="129">
        <v>2</v>
      </c>
      <c r="AG72" s="129">
        <v>0</v>
      </c>
      <c r="AH72" s="129">
        <v>0</v>
      </c>
      <c r="AI72" s="126">
        <v>0</v>
      </c>
      <c r="AJ72" s="131">
        <v>28</v>
      </c>
    </row>
    <row r="73" spans="1:36" x14ac:dyDescent="0.35">
      <c r="A73" s="127" t="s">
        <v>423</v>
      </c>
      <c r="B73" s="127" t="s">
        <v>424</v>
      </c>
      <c r="C73" s="129">
        <v>1359</v>
      </c>
      <c r="D73" s="129">
        <v>34</v>
      </c>
      <c r="E73" s="129">
        <v>6</v>
      </c>
      <c r="F73" s="129">
        <v>3</v>
      </c>
      <c r="G73" s="129">
        <v>1402</v>
      </c>
      <c r="H73" s="129">
        <v>155</v>
      </c>
      <c r="I73" s="129">
        <v>0</v>
      </c>
      <c r="J73" s="129">
        <v>0</v>
      </c>
      <c r="K73" s="129">
        <v>0</v>
      </c>
      <c r="L73" s="129">
        <v>155</v>
      </c>
      <c r="M73" s="129">
        <v>111</v>
      </c>
      <c r="N73" s="129">
        <v>0</v>
      </c>
      <c r="O73" s="129">
        <v>0</v>
      </c>
      <c r="P73" s="129">
        <v>0</v>
      </c>
      <c r="Q73" s="129">
        <v>111</v>
      </c>
      <c r="R73" s="129">
        <v>32</v>
      </c>
      <c r="S73" s="129">
        <v>0</v>
      </c>
      <c r="T73" s="129">
        <v>0</v>
      </c>
      <c r="U73" s="129">
        <v>0</v>
      </c>
      <c r="V73" s="129">
        <v>32</v>
      </c>
      <c r="W73" s="129">
        <v>304</v>
      </c>
      <c r="X73" s="129">
        <v>11</v>
      </c>
      <c r="Y73" s="129">
        <v>4</v>
      </c>
      <c r="Z73" s="129">
        <v>0</v>
      </c>
      <c r="AA73" s="129">
        <v>319</v>
      </c>
      <c r="AB73" s="129">
        <v>87</v>
      </c>
      <c r="AC73" s="129">
        <v>0</v>
      </c>
      <c r="AD73" s="129">
        <v>0</v>
      </c>
      <c r="AE73" s="129">
        <v>0</v>
      </c>
      <c r="AF73" s="129">
        <v>87</v>
      </c>
      <c r="AG73" s="129">
        <v>0</v>
      </c>
      <c r="AH73" s="129">
        <v>0</v>
      </c>
      <c r="AI73" s="126">
        <v>0</v>
      </c>
      <c r="AJ73" s="131">
        <v>2106</v>
      </c>
    </row>
    <row r="74" spans="1:36" x14ac:dyDescent="0.35">
      <c r="A74" s="127" t="s">
        <v>425</v>
      </c>
      <c r="B74" s="127" t="s">
        <v>426</v>
      </c>
      <c r="C74" s="129">
        <v>53</v>
      </c>
      <c r="D74" s="129">
        <v>5</v>
      </c>
      <c r="E74" s="129">
        <v>0</v>
      </c>
      <c r="F74" s="129">
        <v>1</v>
      </c>
      <c r="G74" s="129">
        <v>59</v>
      </c>
      <c r="H74" s="129">
        <v>7</v>
      </c>
      <c r="I74" s="129">
        <v>0</v>
      </c>
      <c r="J74" s="129">
        <v>0</v>
      </c>
      <c r="K74" s="129">
        <v>0</v>
      </c>
      <c r="L74" s="129">
        <v>7</v>
      </c>
      <c r="M74" s="129">
        <v>2</v>
      </c>
      <c r="N74" s="129">
        <v>0</v>
      </c>
      <c r="O74" s="129">
        <v>0</v>
      </c>
      <c r="P74" s="129">
        <v>0</v>
      </c>
      <c r="Q74" s="129">
        <v>2</v>
      </c>
      <c r="R74" s="129">
        <v>0</v>
      </c>
      <c r="S74" s="129">
        <v>0</v>
      </c>
      <c r="T74" s="129">
        <v>0</v>
      </c>
      <c r="U74" s="129">
        <v>0</v>
      </c>
      <c r="V74" s="129">
        <v>0</v>
      </c>
      <c r="W74" s="129">
        <v>4</v>
      </c>
      <c r="X74" s="129">
        <v>0</v>
      </c>
      <c r="Y74" s="129">
        <v>0</v>
      </c>
      <c r="Z74" s="129">
        <v>0</v>
      </c>
      <c r="AA74" s="129">
        <v>4</v>
      </c>
      <c r="AB74" s="129">
        <v>2</v>
      </c>
      <c r="AC74" s="129">
        <v>0</v>
      </c>
      <c r="AD74" s="129">
        <v>0</v>
      </c>
      <c r="AE74" s="129">
        <v>0</v>
      </c>
      <c r="AF74" s="129">
        <v>2</v>
      </c>
      <c r="AG74" s="129">
        <v>0</v>
      </c>
      <c r="AH74" s="129">
        <v>0</v>
      </c>
      <c r="AI74" s="126">
        <v>0</v>
      </c>
      <c r="AJ74" s="131">
        <v>74</v>
      </c>
    </row>
    <row r="75" spans="1:36" x14ac:dyDescent="0.35">
      <c r="A75" s="127" t="s">
        <v>427</v>
      </c>
      <c r="B75" s="127" t="s">
        <v>428</v>
      </c>
      <c r="C75" s="129">
        <v>3</v>
      </c>
      <c r="D75" s="129">
        <v>0</v>
      </c>
      <c r="E75" s="129">
        <v>1</v>
      </c>
      <c r="F75" s="129">
        <v>0</v>
      </c>
      <c r="G75" s="129">
        <v>4</v>
      </c>
      <c r="H75" s="129">
        <v>0</v>
      </c>
      <c r="I75" s="129">
        <v>0</v>
      </c>
      <c r="J75" s="129">
        <v>0</v>
      </c>
      <c r="K75" s="129">
        <v>0</v>
      </c>
      <c r="L75" s="129">
        <v>0</v>
      </c>
      <c r="M75" s="129">
        <v>0</v>
      </c>
      <c r="N75" s="129">
        <v>0</v>
      </c>
      <c r="O75" s="129">
        <v>0</v>
      </c>
      <c r="P75" s="129">
        <v>0</v>
      </c>
      <c r="Q75" s="129">
        <v>0</v>
      </c>
      <c r="R75" s="129">
        <v>0</v>
      </c>
      <c r="S75" s="129">
        <v>0</v>
      </c>
      <c r="T75" s="129">
        <v>0</v>
      </c>
      <c r="U75" s="129">
        <v>0</v>
      </c>
      <c r="V75" s="129">
        <v>0</v>
      </c>
      <c r="W75" s="129">
        <v>0</v>
      </c>
      <c r="X75" s="129">
        <v>0</v>
      </c>
      <c r="Y75" s="129">
        <v>0</v>
      </c>
      <c r="Z75" s="129">
        <v>0</v>
      </c>
      <c r="AA75" s="129">
        <v>0</v>
      </c>
      <c r="AB75" s="129">
        <v>0</v>
      </c>
      <c r="AC75" s="129">
        <v>0</v>
      </c>
      <c r="AD75" s="129">
        <v>0</v>
      </c>
      <c r="AE75" s="129">
        <v>0</v>
      </c>
      <c r="AF75" s="129">
        <v>0</v>
      </c>
      <c r="AG75" s="129">
        <v>0</v>
      </c>
      <c r="AH75" s="129">
        <v>0</v>
      </c>
      <c r="AI75" s="126">
        <v>0</v>
      </c>
      <c r="AJ75" s="131">
        <v>4</v>
      </c>
    </row>
    <row r="76" spans="1:36" x14ac:dyDescent="0.35">
      <c r="A76" s="127" t="s">
        <v>429</v>
      </c>
      <c r="B76" s="127" t="s">
        <v>430</v>
      </c>
      <c r="C76" s="129">
        <v>501</v>
      </c>
      <c r="D76" s="129">
        <v>17</v>
      </c>
      <c r="E76" s="129">
        <v>4</v>
      </c>
      <c r="F76" s="129">
        <v>1</v>
      </c>
      <c r="G76" s="129">
        <v>523</v>
      </c>
      <c r="H76" s="129">
        <v>56</v>
      </c>
      <c r="I76" s="129">
        <v>0</v>
      </c>
      <c r="J76" s="129">
        <v>0</v>
      </c>
      <c r="K76" s="129">
        <v>0</v>
      </c>
      <c r="L76" s="129">
        <v>56</v>
      </c>
      <c r="M76" s="129">
        <v>23</v>
      </c>
      <c r="N76" s="129">
        <v>0</v>
      </c>
      <c r="O76" s="129">
        <v>0</v>
      </c>
      <c r="P76" s="129">
        <v>0</v>
      </c>
      <c r="Q76" s="129">
        <v>23</v>
      </c>
      <c r="R76" s="129">
        <v>12</v>
      </c>
      <c r="S76" s="129">
        <v>0</v>
      </c>
      <c r="T76" s="129">
        <v>0</v>
      </c>
      <c r="U76" s="129">
        <v>0</v>
      </c>
      <c r="V76" s="129">
        <v>12</v>
      </c>
      <c r="W76" s="129">
        <v>66</v>
      </c>
      <c r="X76" s="129">
        <v>0</v>
      </c>
      <c r="Y76" s="129">
        <v>1</v>
      </c>
      <c r="Z76" s="129">
        <v>0</v>
      </c>
      <c r="AA76" s="129">
        <v>67</v>
      </c>
      <c r="AB76" s="129">
        <v>21</v>
      </c>
      <c r="AC76" s="129">
        <v>0</v>
      </c>
      <c r="AD76" s="129">
        <v>0</v>
      </c>
      <c r="AE76" s="129">
        <v>0</v>
      </c>
      <c r="AF76" s="129">
        <v>21</v>
      </c>
      <c r="AG76" s="129">
        <v>0</v>
      </c>
      <c r="AH76" s="129">
        <v>0</v>
      </c>
      <c r="AI76" s="126">
        <v>0</v>
      </c>
      <c r="AJ76" s="131">
        <v>702</v>
      </c>
    </row>
    <row r="77" spans="1:36" x14ac:dyDescent="0.35">
      <c r="A77" s="127" t="s">
        <v>431</v>
      </c>
      <c r="B77" s="127" t="s">
        <v>432</v>
      </c>
      <c r="C77" s="129">
        <v>449</v>
      </c>
      <c r="D77" s="129">
        <v>26</v>
      </c>
      <c r="E77" s="129">
        <v>5</v>
      </c>
      <c r="F77" s="129">
        <v>2</v>
      </c>
      <c r="G77" s="129">
        <v>482</v>
      </c>
      <c r="H77" s="129">
        <v>49</v>
      </c>
      <c r="I77" s="129">
        <v>0</v>
      </c>
      <c r="J77" s="129">
        <v>0</v>
      </c>
      <c r="K77" s="129">
        <v>0</v>
      </c>
      <c r="L77" s="129">
        <v>49</v>
      </c>
      <c r="M77" s="129">
        <v>20</v>
      </c>
      <c r="N77" s="129">
        <v>0</v>
      </c>
      <c r="O77" s="129">
        <v>0</v>
      </c>
      <c r="P77" s="129">
        <v>0</v>
      </c>
      <c r="Q77" s="129">
        <v>20</v>
      </c>
      <c r="R77" s="129">
        <v>9</v>
      </c>
      <c r="S77" s="129">
        <v>0</v>
      </c>
      <c r="T77" s="129">
        <v>0</v>
      </c>
      <c r="U77" s="129">
        <v>0</v>
      </c>
      <c r="V77" s="129">
        <v>9</v>
      </c>
      <c r="W77" s="129">
        <v>95</v>
      </c>
      <c r="X77" s="129">
        <v>7</v>
      </c>
      <c r="Y77" s="129">
        <v>1</v>
      </c>
      <c r="Z77" s="129">
        <v>0</v>
      </c>
      <c r="AA77" s="129">
        <v>103</v>
      </c>
      <c r="AB77" s="129">
        <v>5</v>
      </c>
      <c r="AC77" s="129">
        <v>0</v>
      </c>
      <c r="AD77" s="129">
        <v>0</v>
      </c>
      <c r="AE77" s="129">
        <v>0</v>
      </c>
      <c r="AF77" s="129">
        <v>5</v>
      </c>
      <c r="AG77" s="129">
        <v>0</v>
      </c>
      <c r="AH77" s="129">
        <v>0</v>
      </c>
      <c r="AI77" s="126">
        <v>0</v>
      </c>
      <c r="AJ77" s="131">
        <v>668</v>
      </c>
    </row>
    <row r="78" spans="1:36" x14ac:dyDescent="0.35">
      <c r="A78" s="127" t="s">
        <v>433</v>
      </c>
      <c r="B78" s="127" t="s">
        <v>434</v>
      </c>
      <c r="C78" s="129">
        <v>49</v>
      </c>
      <c r="D78" s="129">
        <v>6</v>
      </c>
      <c r="E78" s="129">
        <v>2</v>
      </c>
      <c r="F78" s="129">
        <v>2</v>
      </c>
      <c r="G78" s="129">
        <v>59</v>
      </c>
      <c r="H78" s="129">
        <v>0</v>
      </c>
      <c r="I78" s="129">
        <v>0</v>
      </c>
      <c r="J78" s="129">
        <v>0</v>
      </c>
      <c r="K78" s="129">
        <v>0</v>
      </c>
      <c r="L78" s="129">
        <v>0</v>
      </c>
      <c r="M78" s="129">
        <v>9</v>
      </c>
      <c r="N78" s="129">
        <v>5</v>
      </c>
      <c r="O78" s="129">
        <v>1</v>
      </c>
      <c r="P78" s="129">
        <v>1</v>
      </c>
      <c r="Q78" s="129">
        <v>16</v>
      </c>
      <c r="R78" s="129">
        <v>1</v>
      </c>
      <c r="S78" s="129">
        <v>1</v>
      </c>
      <c r="T78" s="129">
        <v>0</v>
      </c>
      <c r="U78" s="129">
        <v>0</v>
      </c>
      <c r="V78" s="129">
        <v>2</v>
      </c>
      <c r="W78" s="129">
        <v>8</v>
      </c>
      <c r="X78" s="129">
        <v>0</v>
      </c>
      <c r="Y78" s="129">
        <v>0</v>
      </c>
      <c r="Z78" s="129">
        <v>2</v>
      </c>
      <c r="AA78" s="129">
        <v>10</v>
      </c>
      <c r="AB78" s="129">
        <v>0</v>
      </c>
      <c r="AC78" s="129">
        <v>0</v>
      </c>
      <c r="AD78" s="129">
        <v>0</v>
      </c>
      <c r="AE78" s="129">
        <v>0</v>
      </c>
      <c r="AF78" s="129">
        <v>0</v>
      </c>
      <c r="AG78" s="129">
        <v>0</v>
      </c>
      <c r="AH78" s="129">
        <v>0</v>
      </c>
      <c r="AI78" s="126">
        <v>0</v>
      </c>
      <c r="AJ78" s="131">
        <v>87</v>
      </c>
    </row>
    <row r="79" spans="1:36" x14ac:dyDescent="0.35">
      <c r="A79" s="127" t="s">
        <v>435</v>
      </c>
      <c r="B79" s="127" t="s">
        <v>436</v>
      </c>
      <c r="C79" s="129">
        <v>20</v>
      </c>
      <c r="D79" s="129">
        <v>1</v>
      </c>
      <c r="E79" s="129">
        <v>0</v>
      </c>
      <c r="F79" s="129">
        <v>0</v>
      </c>
      <c r="G79" s="129">
        <v>21</v>
      </c>
      <c r="H79" s="129">
        <v>0</v>
      </c>
      <c r="I79" s="129">
        <v>0</v>
      </c>
      <c r="J79" s="129">
        <v>0</v>
      </c>
      <c r="K79" s="129">
        <v>0</v>
      </c>
      <c r="L79" s="129">
        <v>0</v>
      </c>
      <c r="M79" s="129">
        <v>0</v>
      </c>
      <c r="N79" s="129">
        <v>0</v>
      </c>
      <c r="O79" s="129">
        <v>0</v>
      </c>
      <c r="P79" s="129">
        <v>0</v>
      </c>
      <c r="Q79" s="129">
        <v>0</v>
      </c>
      <c r="R79" s="129">
        <v>0</v>
      </c>
      <c r="S79" s="129">
        <v>0</v>
      </c>
      <c r="T79" s="129">
        <v>0</v>
      </c>
      <c r="U79" s="129">
        <v>0</v>
      </c>
      <c r="V79" s="129">
        <v>0</v>
      </c>
      <c r="W79" s="129">
        <v>2</v>
      </c>
      <c r="X79" s="129">
        <v>0</v>
      </c>
      <c r="Y79" s="129">
        <v>0</v>
      </c>
      <c r="Z79" s="129">
        <v>0</v>
      </c>
      <c r="AA79" s="129">
        <v>2</v>
      </c>
      <c r="AB79" s="129">
        <v>0</v>
      </c>
      <c r="AC79" s="129">
        <v>0</v>
      </c>
      <c r="AD79" s="129">
        <v>0</v>
      </c>
      <c r="AE79" s="129">
        <v>0</v>
      </c>
      <c r="AF79" s="129">
        <v>0</v>
      </c>
      <c r="AG79" s="129">
        <v>0</v>
      </c>
      <c r="AH79" s="129">
        <v>0</v>
      </c>
      <c r="AI79" s="126">
        <v>0</v>
      </c>
      <c r="AJ79" s="131">
        <v>23</v>
      </c>
    </row>
    <row r="80" spans="1:36" x14ac:dyDescent="0.35">
      <c r="A80" s="127" t="s">
        <v>437</v>
      </c>
      <c r="B80" s="127" t="s">
        <v>438</v>
      </c>
      <c r="C80" s="129">
        <v>13</v>
      </c>
      <c r="D80" s="129">
        <v>2</v>
      </c>
      <c r="E80" s="129">
        <v>0</v>
      </c>
      <c r="F80" s="129">
        <v>0</v>
      </c>
      <c r="G80" s="129">
        <v>15</v>
      </c>
      <c r="H80" s="129">
        <v>2</v>
      </c>
      <c r="I80" s="129">
        <v>0</v>
      </c>
      <c r="J80" s="129">
        <v>0</v>
      </c>
      <c r="K80" s="129">
        <v>0</v>
      </c>
      <c r="L80" s="129">
        <v>2</v>
      </c>
      <c r="M80" s="129">
        <v>1</v>
      </c>
      <c r="N80" s="129">
        <v>0</v>
      </c>
      <c r="O80" s="129">
        <v>0</v>
      </c>
      <c r="P80" s="129">
        <v>0</v>
      </c>
      <c r="Q80" s="129">
        <v>1</v>
      </c>
      <c r="R80" s="129">
        <v>0</v>
      </c>
      <c r="S80" s="129">
        <v>0</v>
      </c>
      <c r="T80" s="129">
        <v>0</v>
      </c>
      <c r="U80" s="129">
        <v>0</v>
      </c>
      <c r="V80" s="129">
        <v>0</v>
      </c>
      <c r="W80" s="129">
        <v>3</v>
      </c>
      <c r="X80" s="129">
        <v>0</v>
      </c>
      <c r="Y80" s="129">
        <v>0</v>
      </c>
      <c r="Z80" s="129">
        <v>0</v>
      </c>
      <c r="AA80" s="129">
        <v>3</v>
      </c>
      <c r="AB80" s="129">
        <v>1</v>
      </c>
      <c r="AC80" s="129">
        <v>0</v>
      </c>
      <c r="AD80" s="129">
        <v>0</v>
      </c>
      <c r="AE80" s="129">
        <v>0</v>
      </c>
      <c r="AF80" s="129">
        <v>1</v>
      </c>
      <c r="AG80" s="129">
        <v>0</v>
      </c>
      <c r="AH80" s="129">
        <v>0</v>
      </c>
      <c r="AI80" s="126">
        <v>0</v>
      </c>
      <c r="AJ80" s="131">
        <v>22</v>
      </c>
    </row>
    <row r="81" spans="1:36" x14ac:dyDescent="0.35">
      <c r="A81" s="127" t="s">
        <v>439</v>
      </c>
      <c r="B81" s="127" t="s">
        <v>440</v>
      </c>
      <c r="C81" s="129">
        <v>38</v>
      </c>
      <c r="D81" s="129">
        <v>4</v>
      </c>
      <c r="E81" s="129">
        <v>0</v>
      </c>
      <c r="F81" s="129">
        <v>1</v>
      </c>
      <c r="G81" s="129">
        <v>43</v>
      </c>
      <c r="H81" s="129">
        <v>0</v>
      </c>
      <c r="I81" s="129">
        <v>0</v>
      </c>
      <c r="J81" s="129">
        <v>0</v>
      </c>
      <c r="K81" s="129">
        <v>0</v>
      </c>
      <c r="L81" s="129">
        <v>0</v>
      </c>
      <c r="M81" s="129">
        <v>1</v>
      </c>
      <c r="N81" s="129">
        <v>0</v>
      </c>
      <c r="O81" s="129">
        <v>0</v>
      </c>
      <c r="P81" s="129">
        <v>0</v>
      </c>
      <c r="Q81" s="129">
        <v>1</v>
      </c>
      <c r="R81" s="129">
        <v>0</v>
      </c>
      <c r="S81" s="129">
        <v>0</v>
      </c>
      <c r="T81" s="129">
        <v>0</v>
      </c>
      <c r="U81" s="129">
        <v>0</v>
      </c>
      <c r="V81" s="129">
        <v>0</v>
      </c>
      <c r="W81" s="129">
        <v>6</v>
      </c>
      <c r="X81" s="129">
        <v>0</v>
      </c>
      <c r="Y81" s="129">
        <v>0</v>
      </c>
      <c r="Z81" s="129">
        <v>0</v>
      </c>
      <c r="AA81" s="129">
        <v>6</v>
      </c>
      <c r="AB81" s="129">
        <v>5</v>
      </c>
      <c r="AC81" s="129">
        <v>0</v>
      </c>
      <c r="AD81" s="129">
        <v>0</v>
      </c>
      <c r="AE81" s="129">
        <v>0</v>
      </c>
      <c r="AF81" s="129">
        <v>5</v>
      </c>
      <c r="AG81" s="129">
        <v>0</v>
      </c>
      <c r="AH81" s="129">
        <v>0</v>
      </c>
      <c r="AI81" s="126">
        <v>0</v>
      </c>
      <c r="AJ81" s="131">
        <v>55</v>
      </c>
    </row>
    <row r="82" spans="1:36" x14ac:dyDescent="0.35">
      <c r="A82" s="127" t="s">
        <v>441</v>
      </c>
      <c r="B82" s="127" t="s">
        <v>1223</v>
      </c>
      <c r="C82" s="129">
        <v>46</v>
      </c>
      <c r="D82" s="129">
        <v>7</v>
      </c>
      <c r="E82" s="129">
        <v>1</v>
      </c>
      <c r="F82" s="129">
        <v>3</v>
      </c>
      <c r="G82" s="129">
        <v>57</v>
      </c>
      <c r="H82" s="129">
        <v>3</v>
      </c>
      <c r="I82" s="129">
        <v>1</v>
      </c>
      <c r="J82" s="129">
        <v>0</v>
      </c>
      <c r="K82" s="129">
        <v>0</v>
      </c>
      <c r="L82" s="129">
        <v>4</v>
      </c>
      <c r="M82" s="129">
        <v>4</v>
      </c>
      <c r="N82" s="129">
        <v>0</v>
      </c>
      <c r="O82" s="129">
        <v>0</v>
      </c>
      <c r="P82" s="129">
        <v>0</v>
      </c>
      <c r="Q82" s="129">
        <v>4</v>
      </c>
      <c r="R82" s="129">
        <v>16</v>
      </c>
      <c r="S82" s="129">
        <v>0</v>
      </c>
      <c r="T82" s="129">
        <v>0</v>
      </c>
      <c r="U82" s="129">
        <v>0</v>
      </c>
      <c r="V82" s="129">
        <v>16</v>
      </c>
      <c r="W82" s="129">
        <v>5</v>
      </c>
      <c r="X82" s="129">
        <v>0</v>
      </c>
      <c r="Y82" s="129">
        <v>1</v>
      </c>
      <c r="Z82" s="129">
        <v>1</v>
      </c>
      <c r="AA82" s="129">
        <v>7</v>
      </c>
      <c r="AB82" s="129">
        <v>2</v>
      </c>
      <c r="AC82" s="129">
        <v>0</v>
      </c>
      <c r="AD82" s="129">
        <v>0</v>
      </c>
      <c r="AE82" s="129">
        <v>0</v>
      </c>
      <c r="AF82" s="129">
        <v>2</v>
      </c>
      <c r="AG82" s="129">
        <v>0</v>
      </c>
      <c r="AH82" s="129">
        <v>0</v>
      </c>
      <c r="AI82" s="126">
        <v>0</v>
      </c>
      <c r="AJ82" s="131">
        <v>90</v>
      </c>
    </row>
    <row r="83" spans="1:36" x14ac:dyDescent="0.35">
      <c r="A83" s="127" t="s">
        <v>1393</v>
      </c>
      <c r="B83" s="127" t="s">
        <v>109</v>
      </c>
      <c r="C83" s="129">
        <v>0</v>
      </c>
      <c r="D83" s="129">
        <v>0</v>
      </c>
      <c r="E83" s="129">
        <v>0</v>
      </c>
      <c r="F83" s="129">
        <v>0</v>
      </c>
      <c r="G83" s="129">
        <v>0</v>
      </c>
      <c r="H83" s="129">
        <v>0</v>
      </c>
      <c r="I83" s="129">
        <v>0</v>
      </c>
      <c r="J83" s="129">
        <v>0</v>
      </c>
      <c r="K83" s="129">
        <v>0</v>
      </c>
      <c r="L83" s="129">
        <v>0</v>
      </c>
      <c r="M83" s="129">
        <v>0</v>
      </c>
      <c r="N83" s="129">
        <v>0</v>
      </c>
      <c r="O83" s="129">
        <v>0</v>
      </c>
      <c r="P83" s="129">
        <v>0</v>
      </c>
      <c r="Q83" s="129">
        <v>0</v>
      </c>
      <c r="R83" s="129">
        <v>0</v>
      </c>
      <c r="S83" s="129">
        <v>0</v>
      </c>
      <c r="T83" s="129">
        <v>0</v>
      </c>
      <c r="U83" s="129">
        <v>0</v>
      </c>
      <c r="V83" s="129">
        <v>0</v>
      </c>
      <c r="W83" s="129">
        <v>0</v>
      </c>
      <c r="X83" s="129">
        <v>0</v>
      </c>
      <c r="Y83" s="129">
        <v>0</v>
      </c>
      <c r="Z83" s="129">
        <v>0</v>
      </c>
      <c r="AA83" s="129">
        <v>0</v>
      </c>
      <c r="AB83" s="129">
        <v>0</v>
      </c>
      <c r="AC83" s="129">
        <v>0</v>
      </c>
      <c r="AD83" s="129">
        <v>0</v>
      </c>
      <c r="AE83" s="129">
        <v>0</v>
      </c>
      <c r="AF83" s="129">
        <v>0</v>
      </c>
      <c r="AG83" s="129">
        <v>0</v>
      </c>
      <c r="AH83" s="129">
        <v>0</v>
      </c>
      <c r="AI83" s="126">
        <v>0</v>
      </c>
      <c r="AJ83" s="131">
        <v>0</v>
      </c>
    </row>
    <row r="84" spans="1:36" x14ac:dyDescent="0.35">
      <c r="A84" s="127" t="s">
        <v>442</v>
      </c>
      <c r="B84" s="127" t="s">
        <v>443</v>
      </c>
      <c r="C84" s="129">
        <v>10</v>
      </c>
      <c r="D84" s="129">
        <v>7</v>
      </c>
      <c r="E84" s="129">
        <v>2</v>
      </c>
      <c r="F84" s="129">
        <v>0</v>
      </c>
      <c r="G84" s="129">
        <v>19</v>
      </c>
      <c r="H84" s="129">
        <v>0</v>
      </c>
      <c r="I84" s="129">
        <v>0</v>
      </c>
      <c r="J84" s="129">
        <v>0</v>
      </c>
      <c r="K84" s="129">
        <v>0</v>
      </c>
      <c r="L84" s="129">
        <v>0</v>
      </c>
      <c r="M84" s="129">
        <v>0</v>
      </c>
      <c r="N84" s="129">
        <v>0</v>
      </c>
      <c r="O84" s="129">
        <v>0</v>
      </c>
      <c r="P84" s="129">
        <v>0</v>
      </c>
      <c r="Q84" s="129">
        <v>0</v>
      </c>
      <c r="R84" s="129">
        <v>0</v>
      </c>
      <c r="S84" s="129">
        <v>0</v>
      </c>
      <c r="T84" s="129">
        <v>0</v>
      </c>
      <c r="U84" s="129">
        <v>0</v>
      </c>
      <c r="V84" s="129">
        <v>0</v>
      </c>
      <c r="W84" s="129">
        <v>5</v>
      </c>
      <c r="X84" s="129">
        <v>0</v>
      </c>
      <c r="Y84" s="129">
        <v>1</v>
      </c>
      <c r="Z84" s="129">
        <v>0</v>
      </c>
      <c r="AA84" s="129">
        <v>6</v>
      </c>
      <c r="AB84" s="129">
        <v>0</v>
      </c>
      <c r="AC84" s="129">
        <v>0</v>
      </c>
      <c r="AD84" s="129">
        <v>0</v>
      </c>
      <c r="AE84" s="129">
        <v>0</v>
      </c>
      <c r="AF84" s="129">
        <v>0</v>
      </c>
      <c r="AG84" s="129">
        <v>0</v>
      </c>
      <c r="AH84" s="129">
        <v>0</v>
      </c>
      <c r="AI84" s="126">
        <v>0</v>
      </c>
      <c r="AJ84" s="131">
        <v>25</v>
      </c>
    </row>
    <row r="85" spans="1:36" x14ac:dyDescent="0.35">
      <c r="A85" s="127" t="s">
        <v>444</v>
      </c>
      <c r="B85" s="127" t="s">
        <v>445</v>
      </c>
      <c r="C85" s="129">
        <v>58</v>
      </c>
      <c r="D85" s="129">
        <v>12</v>
      </c>
      <c r="E85" s="129">
        <v>1</v>
      </c>
      <c r="F85" s="129">
        <v>0</v>
      </c>
      <c r="G85" s="129">
        <v>71</v>
      </c>
      <c r="H85" s="129">
        <v>2</v>
      </c>
      <c r="I85" s="129">
        <v>0</v>
      </c>
      <c r="J85" s="129">
        <v>0</v>
      </c>
      <c r="K85" s="129">
        <v>0</v>
      </c>
      <c r="L85" s="129">
        <v>2</v>
      </c>
      <c r="M85" s="129">
        <v>1</v>
      </c>
      <c r="N85" s="129">
        <v>0</v>
      </c>
      <c r="O85" s="129">
        <v>0</v>
      </c>
      <c r="P85" s="129">
        <v>0</v>
      </c>
      <c r="Q85" s="129">
        <v>1</v>
      </c>
      <c r="R85" s="129">
        <v>3</v>
      </c>
      <c r="S85" s="129">
        <v>0</v>
      </c>
      <c r="T85" s="129">
        <v>0</v>
      </c>
      <c r="U85" s="129">
        <v>0</v>
      </c>
      <c r="V85" s="129">
        <v>3</v>
      </c>
      <c r="W85" s="129">
        <v>9</v>
      </c>
      <c r="X85" s="129">
        <v>1</v>
      </c>
      <c r="Y85" s="129">
        <v>1</v>
      </c>
      <c r="Z85" s="129">
        <v>1</v>
      </c>
      <c r="AA85" s="129">
        <v>12</v>
      </c>
      <c r="AB85" s="129">
        <v>1</v>
      </c>
      <c r="AC85" s="129">
        <v>0</v>
      </c>
      <c r="AD85" s="129">
        <v>0</v>
      </c>
      <c r="AE85" s="129">
        <v>0</v>
      </c>
      <c r="AF85" s="129">
        <v>1</v>
      </c>
      <c r="AG85" s="129">
        <v>0</v>
      </c>
      <c r="AH85" s="129">
        <v>0</v>
      </c>
      <c r="AI85" s="126">
        <v>0</v>
      </c>
      <c r="AJ85" s="131">
        <v>90</v>
      </c>
    </row>
    <row r="86" spans="1:36" x14ac:dyDescent="0.35">
      <c r="A86" s="127" t="s">
        <v>446</v>
      </c>
      <c r="B86" s="127" t="s">
        <v>447</v>
      </c>
      <c r="C86" s="129">
        <v>360</v>
      </c>
      <c r="D86" s="129">
        <v>25</v>
      </c>
      <c r="E86" s="129">
        <v>1</v>
      </c>
      <c r="F86" s="129">
        <v>0</v>
      </c>
      <c r="G86" s="129">
        <v>386</v>
      </c>
      <c r="H86" s="129">
        <v>3</v>
      </c>
      <c r="I86" s="129">
        <v>0</v>
      </c>
      <c r="J86" s="129">
        <v>0</v>
      </c>
      <c r="K86" s="129">
        <v>0</v>
      </c>
      <c r="L86" s="129">
        <v>3</v>
      </c>
      <c r="M86" s="129">
        <v>13</v>
      </c>
      <c r="N86" s="129">
        <v>1</v>
      </c>
      <c r="O86" s="129">
        <v>1</v>
      </c>
      <c r="P86" s="129">
        <v>0</v>
      </c>
      <c r="Q86" s="129">
        <v>15</v>
      </c>
      <c r="R86" s="129">
        <v>3</v>
      </c>
      <c r="S86" s="129">
        <v>0</v>
      </c>
      <c r="T86" s="129">
        <v>0</v>
      </c>
      <c r="U86" s="129">
        <v>0</v>
      </c>
      <c r="V86" s="129">
        <v>3</v>
      </c>
      <c r="W86" s="129">
        <v>65</v>
      </c>
      <c r="X86" s="129">
        <v>2</v>
      </c>
      <c r="Y86" s="129">
        <v>1</v>
      </c>
      <c r="Z86" s="129">
        <v>0</v>
      </c>
      <c r="AA86" s="129">
        <v>68</v>
      </c>
      <c r="AB86" s="129">
        <v>3</v>
      </c>
      <c r="AC86" s="129">
        <v>0</v>
      </c>
      <c r="AD86" s="129">
        <v>0</v>
      </c>
      <c r="AE86" s="129">
        <v>0</v>
      </c>
      <c r="AF86" s="129">
        <v>3</v>
      </c>
      <c r="AG86" s="129">
        <v>0</v>
      </c>
      <c r="AH86" s="129">
        <v>0</v>
      </c>
      <c r="AI86" s="126">
        <v>0</v>
      </c>
      <c r="AJ86" s="131">
        <v>478</v>
      </c>
    </row>
    <row r="87" spans="1:36" x14ac:dyDescent="0.35">
      <c r="A87" s="127" t="s">
        <v>448</v>
      </c>
      <c r="B87" s="127" t="s">
        <v>449</v>
      </c>
      <c r="C87" s="129">
        <v>28</v>
      </c>
      <c r="D87" s="129">
        <v>5</v>
      </c>
      <c r="E87" s="129">
        <v>0</v>
      </c>
      <c r="F87" s="129">
        <v>0</v>
      </c>
      <c r="G87" s="129">
        <v>33</v>
      </c>
      <c r="H87" s="129">
        <v>2</v>
      </c>
      <c r="I87" s="129">
        <v>0</v>
      </c>
      <c r="J87" s="129">
        <v>0</v>
      </c>
      <c r="K87" s="129">
        <v>0</v>
      </c>
      <c r="L87" s="129">
        <v>2</v>
      </c>
      <c r="M87" s="129">
        <v>0</v>
      </c>
      <c r="N87" s="129">
        <v>0</v>
      </c>
      <c r="O87" s="129">
        <v>0</v>
      </c>
      <c r="P87" s="129">
        <v>0</v>
      </c>
      <c r="Q87" s="129">
        <v>0</v>
      </c>
      <c r="R87" s="129">
        <v>0</v>
      </c>
      <c r="S87" s="129">
        <v>0</v>
      </c>
      <c r="T87" s="129">
        <v>0</v>
      </c>
      <c r="U87" s="129">
        <v>0</v>
      </c>
      <c r="V87" s="129">
        <v>0</v>
      </c>
      <c r="W87" s="129">
        <v>4</v>
      </c>
      <c r="X87" s="129">
        <v>0</v>
      </c>
      <c r="Y87" s="129">
        <v>1</v>
      </c>
      <c r="Z87" s="129">
        <v>0</v>
      </c>
      <c r="AA87" s="129">
        <v>5</v>
      </c>
      <c r="AB87" s="129">
        <v>0</v>
      </c>
      <c r="AC87" s="129">
        <v>0</v>
      </c>
      <c r="AD87" s="129">
        <v>0</v>
      </c>
      <c r="AE87" s="129">
        <v>0</v>
      </c>
      <c r="AF87" s="129">
        <v>0</v>
      </c>
      <c r="AG87" s="129">
        <v>0</v>
      </c>
      <c r="AH87" s="129">
        <v>0</v>
      </c>
      <c r="AI87" s="126">
        <v>0</v>
      </c>
      <c r="AJ87" s="131">
        <v>40</v>
      </c>
    </row>
    <row r="88" spans="1:36" x14ac:dyDescent="0.35">
      <c r="A88" s="127" t="s">
        <v>450</v>
      </c>
      <c r="B88" s="127" t="s">
        <v>451</v>
      </c>
      <c r="C88" s="129">
        <v>133</v>
      </c>
      <c r="D88" s="129">
        <v>10</v>
      </c>
      <c r="E88" s="129">
        <v>5</v>
      </c>
      <c r="F88" s="129">
        <v>1</v>
      </c>
      <c r="G88" s="129">
        <v>149</v>
      </c>
      <c r="H88" s="129">
        <v>5</v>
      </c>
      <c r="I88" s="129">
        <v>0</v>
      </c>
      <c r="J88" s="129">
        <v>0</v>
      </c>
      <c r="K88" s="129">
        <v>0</v>
      </c>
      <c r="L88" s="129">
        <v>5</v>
      </c>
      <c r="M88" s="129">
        <v>0</v>
      </c>
      <c r="N88" s="129">
        <v>0</v>
      </c>
      <c r="O88" s="129">
        <v>0</v>
      </c>
      <c r="P88" s="129">
        <v>0</v>
      </c>
      <c r="Q88" s="129">
        <v>0</v>
      </c>
      <c r="R88" s="129">
        <v>2</v>
      </c>
      <c r="S88" s="129">
        <v>0</v>
      </c>
      <c r="T88" s="129">
        <v>0</v>
      </c>
      <c r="U88" s="129">
        <v>0</v>
      </c>
      <c r="V88" s="129">
        <v>2</v>
      </c>
      <c r="W88" s="129">
        <v>20</v>
      </c>
      <c r="X88" s="129">
        <v>3</v>
      </c>
      <c r="Y88" s="129">
        <v>1</v>
      </c>
      <c r="Z88" s="129">
        <v>0</v>
      </c>
      <c r="AA88" s="129">
        <v>24</v>
      </c>
      <c r="AB88" s="129">
        <v>2</v>
      </c>
      <c r="AC88" s="129">
        <v>0</v>
      </c>
      <c r="AD88" s="129">
        <v>0</v>
      </c>
      <c r="AE88" s="129">
        <v>0</v>
      </c>
      <c r="AF88" s="129">
        <v>2</v>
      </c>
      <c r="AG88" s="129">
        <v>0</v>
      </c>
      <c r="AH88" s="129">
        <v>0</v>
      </c>
      <c r="AI88" s="126">
        <v>0</v>
      </c>
      <c r="AJ88" s="131">
        <v>182</v>
      </c>
    </row>
    <row r="89" spans="1:36" x14ac:dyDescent="0.35">
      <c r="A89" s="127" t="s">
        <v>452</v>
      </c>
      <c r="B89" s="127" t="s">
        <v>453</v>
      </c>
      <c r="C89" s="129">
        <v>5</v>
      </c>
      <c r="D89" s="129">
        <v>0</v>
      </c>
      <c r="E89" s="129">
        <v>0</v>
      </c>
      <c r="F89" s="129">
        <v>0</v>
      </c>
      <c r="G89" s="129">
        <v>5</v>
      </c>
      <c r="H89" s="129">
        <v>0</v>
      </c>
      <c r="I89" s="129">
        <v>0</v>
      </c>
      <c r="J89" s="129">
        <v>0</v>
      </c>
      <c r="K89" s="129">
        <v>0</v>
      </c>
      <c r="L89" s="129">
        <v>0</v>
      </c>
      <c r="M89" s="129">
        <v>0</v>
      </c>
      <c r="N89" s="129">
        <v>0</v>
      </c>
      <c r="O89" s="129">
        <v>0</v>
      </c>
      <c r="P89" s="129">
        <v>0</v>
      </c>
      <c r="Q89" s="129">
        <v>0</v>
      </c>
      <c r="R89" s="129">
        <v>0</v>
      </c>
      <c r="S89" s="129">
        <v>0</v>
      </c>
      <c r="T89" s="129">
        <v>0</v>
      </c>
      <c r="U89" s="129">
        <v>0</v>
      </c>
      <c r="V89" s="129">
        <v>0</v>
      </c>
      <c r="W89" s="129">
        <v>1</v>
      </c>
      <c r="X89" s="129">
        <v>0</v>
      </c>
      <c r="Y89" s="129">
        <v>0</v>
      </c>
      <c r="Z89" s="129">
        <v>0</v>
      </c>
      <c r="AA89" s="129">
        <v>1</v>
      </c>
      <c r="AB89" s="129">
        <v>0</v>
      </c>
      <c r="AC89" s="129">
        <v>0</v>
      </c>
      <c r="AD89" s="129">
        <v>0</v>
      </c>
      <c r="AE89" s="129">
        <v>0</v>
      </c>
      <c r="AF89" s="129">
        <v>0</v>
      </c>
      <c r="AG89" s="129">
        <v>0</v>
      </c>
      <c r="AH89" s="129">
        <v>0</v>
      </c>
      <c r="AI89" s="126">
        <v>0</v>
      </c>
      <c r="AJ89" s="131">
        <v>6</v>
      </c>
    </row>
    <row r="90" spans="1:36" x14ac:dyDescent="0.35">
      <c r="A90" s="127" t="s">
        <v>454</v>
      </c>
      <c r="B90" s="127" t="s">
        <v>455</v>
      </c>
      <c r="C90" s="129">
        <v>9</v>
      </c>
      <c r="D90" s="129">
        <v>3</v>
      </c>
      <c r="E90" s="129">
        <v>0</v>
      </c>
      <c r="F90" s="129">
        <v>0</v>
      </c>
      <c r="G90" s="129">
        <v>12</v>
      </c>
      <c r="H90" s="129">
        <v>0</v>
      </c>
      <c r="I90" s="129">
        <v>0</v>
      </c>
      <c r="J90" s="129">
        <v>0</v>
      </c>
      <c r="K90" s="129">
        <v>0</v>
      </c>
      <c r="L90" s="129">
        <v>0</v>
      </c>
      <c r="M90" s="129">
        <v>0</v>
      </c>
      <c r="N90" s="129">
        <v>0</v>
      </c>
      <c r="O90" s="129">
        <v>0</v>
      </c>
      <c r="P90" s="129">
        <v>0</v>
      </c>
      <c r="Q90" s="129">
        <v>0</v>
      </c>
      <c r="R90" s="129">
        <v>0</v>
      </c>
      <c r="S90" s="129">
        <v>0</v>
      </c>
      <c r="T90" s="129">
        <v>0</v>
      </c>
      <c r="U90" s="129">
        <v>0</v>
      </c>
      <c r="V90" s="129">
        <v>0</v>
      </c>
      <c r="W90" s="129">
        <v>1</v>
      </c>
      <c r="X90" s="129">
        <v>0</v>
      </c>
      <c r="Y90" s="129">
        <v>0</v>
      </c>
      <c r="Z90" s="129">
        <v>0</v>
      </c>
      <c r="AA90" s="129">
        <v>1</v>
      </c>
      <c r="AB90" s="129">
        <v>0</v>
      </c>
      <c r="AC90" s="129">
        <v>0</v>
      </c>
      <c r="AD90" s="129">
        <v>0</v>
      </c>
      <c r="AE90" s="129">
        <v>0</v>
      </c>
      <c r="AF90" s="129">
        <v>0</v>
      </c>
      <c r="AG90" s="129">
        <v>0</v>
      </c>
      <c r="AH90" s="129">
        <v>0</v>
      </c>
      <c r="AI90" s="126">
        <v>0</v>
      </c>
      <c r="AJ90" s="131">
        <v>13</v>
      </c>
    </row>
    <row r="91" spans="1:36" x14ac:dyDescent="0.35">
      <c r="A91" s="127" t="s">
        <v>456</v>
      </c>
      <c r="B91" s="127" t="s">
        <v>457</v>
      </c>
      <c r="C91" s="129">
        <v>110</v>
      </c>
      <c r="D91" s="129">
        <v>16</v>
      </c>
      <c r="E91" s="129">
        <v>3</v>
      </c>
      <c r="F91" s="129">
        <v>1</v>
      </c>
      <c r="G91" s="129">
        <v>130</v>
      </c>
      <c r="H91" s="129">
        <v>0</v>
      </c>
      <c r="I91" s="129">
        <v>0</v>
      </c>
      <c r="J91" s="129">
        <v>0</v>
      </c>
      <c r="K91" s="129">
        <v>0</v>
      </c>
      <c r="L91" s="129">
        <v>0</v>
      </c>
      <c r="M91" s="129">
        <v>2</v>
      </c>
      <c r="N91" s="129">
        <v>0</v>
      </c>
      <c r="O91" s="129">
        <v>0</v>
      </c>
      <c r="P91" s="129">
        <v>0</v>
      </c>
      <c r="Q91" s="129">
        <v>2</v>
      </c>
      <c r="R91" s="129">
        <v>0</v>
      </c>
      <c r="S91" s="129">
        <v>0</v>
      </c>
      <c r="T91" s="129">
        <v>0</v>
      </c>
      <c r="U91" s="129">
        <v>0</v>
      </c>
      <c r="V91" s="129">
        <v>0</v>
      </c>
      <c r="W91" s="129">
        <v>14</v>
      </c>
      <c r="X91" s="129">
        <v>1</v>
      </c>
      <c r="Y91" s="129">
        <v>0</v>
      </c>
      <c r="Z91" s="129">
        <v>0</v>
      </c>
      <c r="AA91" s="129">
        <v>15</v>
      </c>
      <c r="AB91" s="129">
        <v>0</v>
      </c>
      <c r="AC91" s="129">
        <v>0</v>
      </c>
      <c r="AD91" s="129">
        <v>0</v>
      </c>
      <c r="AE91" s="129">
        <v>0</v>
      </c>
      <c r="AF91" s="129">
        <v>0</v>
      </c>
      <c r="AG91" s="129">
        <v>0</v>
      </c>
      <c r="AH91" s="129">
        <v>0</v>
      </c>
      <c r="AI91" s="126">
        <v>0</v>
      </c>
      <c r="AJ91" s="131">
        <v>147</v>
      </c>
    </row>
    <row r="92" spans="1:36" x14ac:dyDescent="0.35">
      <c r="A92" s="127" t="s">
        <v>458</v>
      </c>
      <c r="B92" s="127" t="s">
        <v>459</v>
      </c>
      <c r="C92" s="129">
        <v>2771</v>
      </c>
      <c r="D92" s="129">
        <v>348</v>
      </c>
      <c r="E92" s="129">
        <v>59</v>
      </c>
      <c r="F92" s="129">
        <v>12</v>
      </c>
      <c r="G92" s="129">
        <v>3190</v>
      </c>
      <c r="H92" s="129">
        <v>46</v>
      </c>
      <c r="I92" s="129">
        <v>1</v>
      </c>
      <c r="J92" s="129">
        <v>0</v>
      </c>
      <c r="K92" s="129">
        <v>0</v>
      </c>
      <c r="L92" s="129">
        <v>47</v>
      </c>
      <c r="M92" s="129">
        <v>189</v>
      </c>
      <c r="N92" s="129">
        <v>9</v>
      </c>
      <c r="O92" s="129">
        <v>0</v>
      </c>
      <c r="P92" s="129">
        <v>0</v>
      </c>
      <c r="Q92" s="129">
        <v>198</v>
      </c>
      <c r="R92" s="129">
        <v>26</v>
      </c>
      <c r="S92" s="129">
        <v>0</v>
      </c>
      <c r="T92" s="129">
        <v>0</v>
      </c>
      <c r="U92" s="129">
        <v>0</v>
      </c>
      <c r="V92" s="129">
        <v>26</v>
      </c>
      <c r="W92" s="129">
        <v>373</v>
      </c>
      <c r="X92" s="129">
        <v>13</v>
      </c>
      <c r="Y92" s="129">
        <v>1</v>
      </c>
      <c r="Z92" s="129">
        <v>0</v>
      </c>
      <c r="AA92" s="129">
        <v>387</v>
      </c>
      <c r="AB92" s="129">
        <v>18</v>
      </c>
      <c r="AC92" s="129">
        <v>0</v>
      </c>
      <c r="AD92" s="129">
        <v>0</v>
      </c>
      <c r="AE92" s="129">
        <v>0</v>
      </c>
      <c r="AF92" s="129">
        <v>18</v>
      </c>
      <c r="AG92" s="129">
        <v>0</v>
      </c>
      <c r="AH92" s="129">
        <v>0</v>
      </c>
      <c r="AI92" s="126">
        <v>0</v>
      </c>
      <c r="AJ92" s="131">
        <v>3866</v>
      </c>
    </row>
    <row r="93" spans="1:36" x14ac:dyDescent="0.35">
      <c r="A93" s="127" t="s">
        <v>460</v>
      </c>
      <c r="B93" s="127" t="s">
        <v>461</v>
      </c>
      <c r="C93" s="129">
        <v>11</v>
      </c>
      <c r="D93" s="129">
        <v>0</v>
      </c>
      <c r="E93" s="129">
        <v>0</v>
      </c>
      <c r="F93" s="129">
        <v>0</v>
      </c>
      <c r="G93" s="129">
        <v>11</v>
      </c>
      <c r="H93" s="129">
        <v>0</v>
      </c>
      <c r="I93" s="129">
        <v>0</v>
      </c>
      <c r="J93" s="129">
        <v>0</v>
      </c>
      <c r="K93" s="129">
        <v>0</v>
      </c>
      <c r="L93" s="129">
        <v>0</v>
      </c>
      <c r="M93" s="129">
        <v>0</v>
      </c>
      <c r="N93" s="129">
        <v>0</v>
      </c>
      <c r="O93" s="129">
        <v>0</v>
      </c>
      <c r="P93" s="129">
        <v>0</v>
      </c>
      <c r="Q93" s="129">
        <v>0</v>
      </c>
      <c r="R93" s="129">
        <v>0</v>
      </c>
      <c r="S93" s="129">
        <v>0</v>
      </c>
      <c r="T93" s="129">
        <v>0</v>
      </c>
      <c r="U93" s="129">
        <v>0</v>
      </c>
      <c r="V93" s="129">
        <v>0</v>
      </c>
      <c r="W93" s="129">
        <v>1</v>
      </c>
      <c r="X93" s="129">
        <v>0</v>
      </c>
      <c r="Y93" s="129">
        <v>0</v>
      </c>
      <c r="Z93" s="129">
        <v>0</v>
      </c>
      <c r="AA93" s="129">
        <v>1</v>
      </c>
      <c r="AB93" s="129">
        <v>0</v>
      </c>
      <c r="AC93" s="129">
        <v>0</v>
      </c>
      <c r="AD93" s="129">
        <v>0</v>
      </c>
      <c r="AE93" s="129">
        <v>0</v>
      </c>
      <c r="AF93" s="129">
        <v>0</v>
      </c>
      <c r="AG93" s="129">
        <v>0</v>
      </c>
      <c r="AH93" s="129">
        <v>0</v>
      </c>
      <c r="AI93" s="126">
        <v>0</v>
      </c>
      <c r="AJ93" s="131">
        <v>12</v>
      </c>
    </row>
    <row r="94" spans="1:36" x14ac:dyDescent="0.35">
      <c r="A94" s="127" t="s">
        <v>462</v>
      </c>
      <c r="B94" s="127" t="s">
        <v>463</v>
      </c>
      <c r="C94" s="129">
        <v>7</v>
      </c>
      <c r="D94" s="129">
        <v>1</v>
      </c>
      <c r="E94" s="129">
        <v>1</v>
      </c>
      <c r="F94" s="129">
        <v>0</v>
      </c>
      <c r="G94" s="129">
        <v>9</v>
      </c>
      <c r="H94" s="129">
        <v>0</v>
      </c>
      <c r="I94" s="129">
        <v>0</v>
      </c>
      <c r="J94" s="129">
        <v>0</v>
      </c>
      <c r="K94" s="129">
        <v>0</v>
      </c>
      <c r="L94" s="129">
        <v>0</v>
      </c>
      <c r="M94" s="129">
        <v>0</v>
      </c>
      <c r="N94" s="129">
        <v>0</v>
      </c>
      <c r="O94" s="129">
        <v>0</v>
      </c>
      <c r="P94" s="129">
        <v>0</v>
      </c>
      <c r="Q94" s="129">
        <v>0</v>
      </c>
      <c r="R94" s="129">
        <v>0</v>
      </c>
      <c r="S94" s="129">
        <v>0</v>
      </c>
      <c r="T94" s="129">
        <v>0</v>
      </c>
      <c r="U94" s="129">
        <v>0</v>
      </c>
      <c r="V94" s="129">
        <v>0</v>
      </c>
      <c r="W94" s="129">
        <v>0</v>
      </c>
      <c r="X94" s="129">
        <v>0</v>
      </c>
      <c r="Y94" s="129">
        <v>0</v>
      </c>
      <c r="Z94" s="129">
        <v>0</v>
      </c>
      <c r="AA94" s="129">
        <v>0</v>
      </c>
      <c r="AB94" s="129">
        <v>0</v>
      </c>
      <c r="AC94" s="129">
        <v>0</v>
      </c>
      <c r="AD94" s="129">
        <v>0</v>
      </c>
      <c r="AE94" s="129">
        <v>0</v>
      </c>
      <c r="AF94" s="129">
        <v>0</v>
      </c>
      <c r="AG94" s="129">
        <v>0</v>
      </c>
      <c r="AH94" s="129">
        <v>0</v>
      </c>
      <c r="AI94" s="126">
        <v>0</v>
      </c>
      <c r="AJ94" s="131">
        <v>9</v>
      </c>
    </row>
    <row r="95" spans="1:36" x14ac:dyDescent="0.35">
      <c r="A95" s="127" t="s">
        <v>464</v>
      </c>
      <c r="B95" s="127" t="s">
        <v>1363</v>
      </c>
      <c r="C95" s="129">
        <v>4</v>
      </c>
      <c r="D95" s="129">
        <v>0</v>
      </c>
      <c r="E95" s="129">
        <v>0</v>
      </c>
      <c r="F95" s="129">
        <v>0</v>
      </c>
      <c r="G95" s="129">
        <v>4</v>
      </c>
      <c r="H95" s="129">
        <v>1</v>
      </c>
      <c r="I95" s="129">
        <v>0</v>
      </c>
      <c r="J95" s="129">
        <v>0</v>
      </c>
      <c r="K95" s="129">
        <v>0</v>
      </c>
      <c r="L95" s="129">
        <v>1</v>
      </c>
      <c r="M95" s="129">
        <v>0</v>
      </c>
      <c r="N95" s="129">
        <v>0</v>
      </c>
      <c r="O95" s="129">
        <v>0</v>
      </c>
      <c r="P95" s="129">
        <v>0</v>
      </c>
      <c r="Q95" s="129">
        <v>0</v>
      </c>
      <c r="R95" s="129">
        <v>1</v>
      </c>
      <c r="S95" s="129">
        <v>0</v>
      </c>
      <c r="T95" s="129">
        <v>0</v>
      </c>
      <c r="U95" s="129">
        <v>0</v>
      </c>
      <c r="V95" s="129">
        <v>1</v>
      </c>
      <c r="W95" s="129">
        <v>3</v>
      </c>
      <c r="X95" s="129">
        <v>1</v>
      </c>
      <c r="Y95" s="129">
        <v>0</v>
      </c>
      <c r="Z95" s="129">
        <v>0</v>
      </c>
      <c r="AA95" s="129">
        <v>4</v>
      </c>
      <c r="AB95" s="129">
        <v>0</v>
      </c>
      <c r="AC95" s="129">
        <v>0</v>
      </c>
      <c r="AD95" s="129">
        <v>0</v>
      </c>
      <c r="AE95" s="129">
        <v>0</v>
      </c>
      <c r="AF95" s="129">
        <v>0</v>
      </c>
      <c r="AG95" s="129">
        <v>0</v>
      </c>
      <c r="AH95" s="129">
        <v>0</v>
      </c>
      <c r="AI95" s="126">
        <v>0</v>
      </c>
      <c r="AJ95" s="131">
        <v>10</v>
      </c>
    </row>
    <row r="96" spans="1:36" x14ac:dyDescent="0.35">
      <c r="A96" s="127" t="s">
        <v>465</v>
      </c>
      <c r="B96" s="127" t="s">
        <v>466</v>
      </c>
      <c r="C96" s="129">
        <v>87</v>
      </c>
      <c r="D96" s="129">
        <v>7</v>
      </c>
      <c r="E96" s="129">
        <v>2</v>
      </c>
      <c r="F96" s="129">
        <v>0</v>
      </c>
      <c r="G96" s="129">
        <v>96</v>
      </c>
      <c r="H96" s="129">
        <v>27</v>
      </c>
      <c r="I96" s="129">
        <v>0</v>
      </c>
      <c r="J96" s="129">
        <v>0</v>
      </c>
      <c r="K96" s="129">
        <v>0</v>
      </c>
      <c r="L96" s="129">
        <v>27</v>
      </c>
      <c r="M96" s="129">
        <v>9</v>
      </c>
      <c r="N96" s="129">
        <v>0</v>
      </c>
      <c r="O96" s="129">
        <v>0</v>
      </c>
      <c r="P96" s="129">
        <v>0</v>
      </c>
      <c r="Q96" s="129">
        <v>9</v>
      </c>
      <c r="R96" s="129">
        <v>0</v>
      </c>
      <c r="S96" s="129">
        <v>0</v>
      </c>
      <c r="T96" s="129">
        <v>0</v>
      </c>
      <c r="U96" s="129">
        <v>0</v>
      </c>
      <c r="V96" s="129">
        <v>0</v>
      </c>
      <c r="W96" s="129">
        <v>12</v>
      </c>
      <c r="X96" s="129">
        <v>1</v>
      </c>
      <c r="Y96" s="129">
        <v>0</v>
      </c>
      <c r="Z96" s="129">
        <v>0</v>
      </c>
      <c r="AA96" s="129">
        <v>13</v>
      </c>
      <c r="AB96" s="129">
        <v>2</v>
      </c>
      <c r="AC96" s="129">
        <v>0</v>
      </c>
      <c r="AD96" s="129">
        <v>0</v>
      </c>
      <c r="AE96" s="129">
        <v>0</v>
      </c>
      <c r="AF96" s="129">
        <v>2</v>
      </c>
      <c r="AG96" s="129">
        <v>0</v>
      </c>
      <c r="AH96" s="129">
        <v>0</v>
      </c>
      <c r="AI96" s="126">
        <v>0</v>
      </c>
      <c r="AJ96" s="131">
        <v>147</v>
      </c>
    </row>
    <row r="97" spans="1:36" x14ac:dyDescent="0.35">
      <c r="A97" s="127" t="s">
        <v>467</v>
      </c>
      <c r="B97" s="127" t="s">
        <v>1364</v>
      </c>
      <c r="C97" s="129">
        <v>64</v>
      </c>
      <c r="D97" s="129">
        <v>1</v>
      </c>
      <c r="E97" s="129">
        <v>0</v>
      </c>
      <c r="F97" s="129">
        <v>0</v>
      </c>
      <c r="G97" s="129">
        <v>65</v>
      </c>
      <c r="H97" s="129">
        <v>4</v>
      </c>
      <c r="I97" s="129">
        <v>0</v>
      </c>
      <c r="J97" s="129">
        <v>0</v>
      </c>
      <c r="K97" s="129">
        <v>0</v>
      </c>
      <c r="L97" s="129">
        <v>4</v>
      </c>
      <c r="M97" s="129">
        <v>3</v>
      </c>
      <c r="N97" s="129">
        <v>0</v>
      </c>
      <c r="O97" s="129">
        <v>0</v>
      </c>
      <c r="P97" s="129">
        <v>0</v>
      </c>
      <c r="Q97" s="129">
        <v>3</v>
      </c>
      <c r="R97" s="129">
        <v>0</v>
      </c>
      <c r="S97" s="129">
        <v>0</v>
      </c>
      <c r="T97" s="129">
        <v>0</v>
      </c>
      <c r="U97" s="129">
        <v>0</v>
      </c>
      <c r="V97" s="129">
        <v>0</v>
      </c>
      <c r="W97" s="129">
        <v>6</v>
      </c>
      <c r="X97" s="129">
        <v>0</v>
      </c>
      <c r="Y97" s="129">
        <v>0</v>
      </c>
      <c r="Z97" s="129">
        <v>0</v>
      </c>
      <c r="AA97" s="129">
        <v>6</v>
      </c>
      <c r="AB97" s="129">
        <v>2</v>
      </c>
      <c r="AC97" s="129">
        <v>0</v>
      </c>
      <c r="AD97" s="129">
        <v>0</v>
      </c>
      <c r="AE97" s="129">
        <v>0</v>
      </c>
      <c r="AF97" s="129">
        <v>2</v>
      </c>
      <c r="AG97" s="129">
        <v>0</v>
      </c>
      <c r="AH97" s="129">
        <v>0</v>
      </c>
      <c r="AI97" s="126">
        <v>0</v>
      </c>
      <c r="AJ97" s="131">
        <v>80</v>
      </c>
    </row>
    <row r="98" spans="1:36" x14ac:dyDescent="0.35">
      <c r="A98" s="127" t="s">
        <v>468</v>
      </c>
      <c r="B98" s="127" t="s">
        <v>469</v>
      </c>
      <c r="C98" s="129">
        <v>140</v>
      </c>
      <c r="D98" s="129">
        <v>7</v>
      </c>
      <c r="E98" s="129">
        <v>1</v>
      </c>
      <c r="F98" s="129">
        <v>3</v>
      </c>
      <c r="G98" s="129">
        <v>151</v>
      </c>
      <c r="H98" s="129">
        <v>0</v>
      </c>
      <c r="I98" s="129">
        <v>0</v>
      </c>
      <c r="J98" s="129">
        <v>0</v>
      </c>
      <c r="K98" s="129">
        <v>0</v>
      </c>
      <c r="L98" s="129">
        <v>0</v>
      </c>
      <c r="M98" s="129">
        <v>1</v>
      </c>
      <c r="N98" s="129">
        <v>0</v>
      </c>
      <c r="O98" s="129">
        <v>0</v>
      </c>
      <c r="P98" s="129">
        <v>0</v>
      </c>
      <c r="Q98" s="129">
        <v>1</v>
      </c>
      <c r="R98" s="129">
        <v>1</v>
      </c>
      <c r="S98" s="129">
        <v>0</v>
      </c>
      <c r="T98" s="129">
        <v>0</v>
      </c>
      <c r="U98" s="129">
        <v>0</v>
      </c>
      <c r="V98" s="129">
        <v>1</v>
      </c>
      <c r="W98" s="129">
        <v>9</v>
      </c>
      <c r="X98" s="129">
        <v>0</v>
      </c>
      <c r="Y98" s="129">
        <v>0</v>
      </c>
      <c r="Z98" s="129">
        <v>0</v>
      </c>
      <c r="AA98" s="129">
        <v>9</v>
      </c>
      <c r="AB98" s="129">
        <v>0</v>
      </c>
      <c r="AC98" s="129">
        <v>0</v>
      </c>
      <c r="AD98" s="129">
        <v>0</v>
      </c>
      <c r="AE98" s="129">
        <v>0</v>
      </c>
      <c r="AF98" s="129">
        <v>0</v>
      </c>
      <c r="AG98" s="129">
        <v>0</v>
      </c>
      <c r="AH98" s="129">
        <v>0</v>
      </c>
      <c r="AI98" s="126">
        <v>0</v>
      </c>
      <c r="AJ98" s="131">
        <v>162</v>
      </c>
    </row>
    <row r="99" spans="1:36" x14ac:dyDescent="0.35">
      <c r="A99" s="127" t="s">
        <v>470</v>
      </c>
      <c r="B99" s="127" t="s">
        <v>471</v>
      </c>
      <c r="C99" s="129">
        <v>68</v>
      </c>
      <c r="D99" s="129">
        <v>7</v>
      </c>
      <c r="E99" s="129">
        <v>0</v>
      </c>
      <c r="F99" s="129">
        <v>0</v>
      </c>
      <c r="G99" s="129">
        <v>75</v>
      </c>
      <c r="H99" s="129">
        <v>0</v>
      </c>
      <c r="I99" s="129">
        <v>0</v>
      </c>
      <c r="J99" s="129">
        <v>0</v>
      </c>
      <c r="K99" s="129">
        <v>0</v>
      </c>
      <c r="L99" s="129">
        <v>0</v>
      </c>
      <c r="M99" s="129">
        <v>0</v>
      </c>
      <c r="N99" s="129">
        <v>0</v>
      </c>
      <c r="O99" s="129">
        <v>0</v>
      </c>
      <c r="P99" s="129">
        <v>0</v>
      </c>
      <c r="Q99" s="129">
        <v>0</v>
      </c>
      <c r="R99" s="129">
        <v>2</v>
      </c>
      <c r="S99" s="129">
        <v>0</v>
      </c>
      <c r="T99" s="129">
        <v>0</v>
      </c>
      <c r="U99" s="129">
        <v>0</v>
      </c>
      <c r="V99" s="129">
        <v>2</v>
      </c>
      <c r="W99" s="129">
        <v>9</v>
      </c>
      <c r="X99" s="129">
        <v>0</v>
      </c>
      <c r="Y99" s="129">
        <v>2</v>
      </c>
      <c r="Z99" s="129">
        <v>0</v>
      </c>
      <c r="AA99" s="129">
        <v>11</v>
      </c>
      <c r="AB99" s="129">
        <v>0</v>
      </c>
      <c r="AC99" s="129">
        <v>0</v>
      </c>
      <c r="AD99" s="129">
        <v>0</v>
      </c>
      <c r="AE99" s="129">
        <v>0</v>
      </c>
      <c r="AF99" s="129">
        <v>0</v>
      </c>
      <c r="AG99" s="129">
        <v>0</v>
      </c>
      <c r="AH99" s="129">
        <v>0</v>
      </c>
      <c r="AI99" s="126">
        <v>0</v>
      </c>
      <c r="AJ99" s="131">
        <v>88</v>
      </c>
    </row>
    <row r="100" spans="1:36" x14ac:dyDescent="0.35">
      <c r="A100" s="127" t="s">
        <v>472</v>
      </c>
      <c r="B100" s="127" t="s">
        <v>473</v>
      </c>
      <c r="C100" s="129">
        <v>16</v>
      </c>
      <c r="D100" s="129">
        <v>2</v>
      </c>
      <c r="E100" s="129">
        <v>1</v>
      </c>
      <c r="F100" s="129">
        <v>0</v>
      </c>
      <c r="G100" s="129">
        <v>19</v>
      </c>
      <c r="H100" s="129">
        <v>0</v>
      </c>
      <c r="I100" s="129">
        <v>0</v>
      </c>
      <c r="J100" s="129">
        <v>0</v>
      </c>
      <c r="K100" s="129">
        <v>0</v>
      </c>
      <c r="L100" s="129">
        <v>0</v>
      </c>
      <c r="M100" s="129">
        <v>0</v>
      </c>
      <c r="N100" s="129">
        <v>0</v>
      </c>
      <c r="O100" s="129">
        <v>0</v>
      </c>
      <c r="P100" s="129">
        <v>0</v>
      </c>
      <c r="Q100" s="129">
        <v>0</v>
      </c>
      <c r="R100" s="129">
        <v>0</v>
      </c>
      <c r="S100" s="129">
        <v>0</v>
      </c>
      <c r="T100" s="129">
        <v>0</v>
      </c>
      <c r="U100" s="129">
        <v>0</v>
      </c>
      <c r="V100" s="129">
        <v>0</v>
      </c>
      <c r="W100" s="129">
        <v>1</v>
      </c>
      <c r="X100" s="129">
        <v>0</v>
      </c>
      <c r="Y100" s="129">
        <v>0</v>
      </c>
      <c r="Z100" s="129">
        <v>0</v>
      </c>
      <c r="AA100" s="129">
        <v>1</v>
      </c>
      <c r="AB100" s="129">
        <v>0</v>
      </c>
      <c r="AC100" s="129">
        <v>0</v>
      </c>
      <c r="AD100" s="129">
        <v>0</v>
      </c>
      <c r="AE100" s="129">
        <v>0</v>
      </c>
      <c r="AF100" s="129">
        <v>0</v>
      </c>
      <c r="AG100" s="129">
        <v>0</v>
      </c>
      <c r="AH100" s="129">
        <v>0</v>
      </c>
      <c r="AI100" s="126">
        <v>0</v>
      </c>
      <c r="AJ100" s="131">
        <v>20</v>
      </c>
    </row>
    <row r="101" spans="1:36" x14ac:dyDescent="0.35">
      <c r="A101" s="127" t="s">
        <v>474</v>
      </c>
      <c r="B101" s="127" t="s">
        <v>475</v>
      </c>
      <c r="C101" s="129">
        <v>79</v>
      </c>
      <c r="D101" s="129">
        <v>8</v>
      </c>
      <c r="E101" s="129">
        <v>2</v>
      </c>
      <c r="F101" s="129">
        <v>0</v>
      </c>
      <c r="G101" s="129">
        <v>89</v>
      </c>
      <c r="H101" s="129">
        <v>24</v>
      </c>
      <c r="I101" s="129">
        <v>0</v>
      </c>
      <c r="J101" s="129">
        <v>0</v>
      </c>
      <c r="K101" s="129">
        <v>0</v>
      </c>
      <c r="L101" s="129">
        <v>24</v>
      </c>
      <c r="M101" s="129">
        <v>14</v>
      </c>
      <c r="N101" s="129">
        <v>5</v>
      </c>
      <c r="O101" s="129">
        <v>1</v>
      </c>
      <c r="P101" s="129">
        <v>0</v>
      </c>
      <c r="Q101" s="129">
        <v>20</v>
      </c>
      <c r="R101" s="129">
        <v>9</v>
      </c>
      <c r="S101" s="129">
        <v>0</v>
      </c>
      <c r="T101" s="129">
        <v>0</v>
      </c>
      <c r="U101" s="129">
        <v>0</v>
      </c>
      <c r="V101" s="129">
        <v>9</v>
      </c>
      <c r="W101" s="129">
        <v>15</v>
      </c>
      <c r="X101" s="129">
        <v>9</v>
      </c>
      <c r="Y101" s="129">
        <v>1</v>
      </c>
      <c r="Z101" s="129">
        <v>0</v>
      </c>
      <c r="AA101" s="129">
        <v>25</v>
      </c>
      <c r="AB101" s="129">
        <v>9</v>
      </c>
      <c r="AC101" s="129">
        <v>0</v>
      </c>
      <c r="AD101" s="129">
        <v>0</v>
      </c>
      <c r="AE101" s="129">
        <v>0</v>
      </c>
      <c r="AF101" s="129">
        <v>9</v>
      </c>
      <c r="AG101" s="129">
        <v>0</v>
      </c>
      <c r="AH101" s="129">
        <v>0</v>
      </c>
      <c r="AI101" s="126">
        <v>0</v>
      </c>
      <c r="AJ101" s="131">
        <v>176</v>
      </c>
    </row>
    <row r="102" spans="1:36" x14ac:dyDescent="0.35">
      <c r="A102" s="127" t="s">
        <v>476</v>
      </c>
      <c r="B102" s="127" t="s">
        <v>1365</v>
      </c>
      <c r="C102" s="129">
        <v>8</v>
      </c>
      <c r="D102" s="129">
        <v>2</v>
      </c>
      <c r="E102" s="129">
        <v>0</v>
      </c>
      <c r="F102" s="129">
        <v>1</v>
      </c>
      <c r="G102" s="129">
        <v>11</v>
      </c>
      <c r="H102" s="129">
        <v>0</v>
      </c>
      <c r="I102" s="129">
        <v>0</v>
      </c>
      <c r="J102" s="129">
        <v>0</v>
      </c>
      <c r="K102" s="129">
        <v>0</v>
      </c>
      <c r="L102" s="129">
        <v>0</v>
      </c>
      <c r="M102" s="129">
        <v>0</v>
      </c>
      <c r="N102" s="129">
        <v>0</v>
      </c>
      <c r="O102" s="129">
        <v>0</v>
      </c>
      <c r="P102" s="129">
        <v>0</v>
      </c>
      <c r="Q102" s="129">
        <v>0</v>
      </c>
      <c r="R102" s="129">
        <v>0</v>
      </c>
      <c r="S102" s="129">
        <v>0</v>
      </c>
      <c r="T102" s="129">
        <v>0</v>
      </c>
      <c r="U102" s="129">
        <v>0</v>
      </c>
      <c r="V102" s="129">
        <v>0</v>
      </c>
      <c r="W102" s="129">
        <v>3</v>
      </c>
      <c r="X102" s="129">
        <v>1</v>
      </c>
      <c r="Y102" s="129">
        <v>0</v>
      </c>
      <c r="Z102" s="129">
        <v>1</v>
      </c>
      <c r="AA102" s="129">
        <v>5</v>
      </c>
      <c r="AB102" s="129">
        <v>0</v>
      </c>
      <c r="AC102" s="129">
        <v>0</v>
      </c>
      <c r="AD102" s="129">
        <v>0</v>
      </c>
      <c r="AE102" s="129">
        <v>0</v>
      </c>
      <c r="AF102" s="129">
        <v>0</v>
      </c>
      <c r="AG102" s="129">
        <v>0</v>
      </c>
      <c r="AH102" s="129">
        <v>0</v>
      </c>
      <c r="AI102" s="126">
        <v>0</v>
      </c>
      <c r="AJ102" s="131">
        <v>16</v>
      </c>
    </row>
    <row r="103" spans="1:36" x14ac:dyDescent="0.35">
      <c r="A103" s="127" t="s">
        <v>477</v>
      </c>
      <c r="B103" s="127" t="s">
        <v>478</v>
      </c>
      <c r="C103" s="129">
        <v>214</v>
      </c>
      <c r="D103" s="129">
        <v>9</v>
      </c>
      <c r="E103" s="129">
        <v>0</v>
      </c>
      <c r="F103" s="129">
        <v>0</v>
      </c>
      <c r="G103" s="129">
        <v>223</v>
      </c>
      <c r="H103" s="129">
        <v>53</v>
      </c>
      <c r="I103" s="129">
        <v>0</v>
      </c>
      <c r="J103" s="129">
        <v>0</v>
      </c>
      <c r="K103" s="129">
        <v>0</v>
      </c>
      <c r="L103" s="129">
        <v>53</v>
      </c>
      <c r="M103" s="129">
        <v>15</v>
      </c>
      <c r="N103" s="129">
        <v>0</v>
      </c>
      <c r="O103" s="129">
        <v>0</v>
      </c>
      <c r="P103" s="129">
        <v>0</v>
      </c>
      <c r="Q103" s="129">
        <v>15</v>
      </c>
      <c r="R103" s="129">
        <v>8</v>
      </c>
      <c r="S103" s="129">
        <v>0</v>
      </c>
      <c r="T103" s="129">
        <v>0</v>
      </c>
      <c r="U103" s="129">
        <v>0</v>
      </c>
      <c r="V103" s="129">
        <v>8</v>
      </c>
      <c r="W103" s="129">
        <v>64</v>
      </c>
      <c r="X103" s="129">
        <v>5</v>
      </c>
      <c r="Y103" s="129">
        <v>2</v>
      </c>
      <c r="Z103" s="129">
        <v>0</v>
      </c>
      <c r="AA103" s="129">
        <v>71</v>
      </c>
      <c r="AB103" s="129">
        <v>17</v>
      </c>
      <c r="AC103" s="129">
        <v>0</v>
      </c>
      <c r="AD103" s="129">
        <v>0</v>
      </c>
      <c r="AE103" s="129">
        <v>0</v>
      </c>
      <c r="AF103" s="129">
        <v>17</v>
      </c>
      <c r="AG103" s="129">
        <v>0</v>
      </c>
      <c r="AH103" s="129">
        <v>0</v>
      </c>
      <c r="AI103" s="126">
        <v>0</v>
      </c>
      <c r="AJ103" s="131">
        <v>387</v>
      </c>
    </row>
    <row r="104" spans="1:36" x14ac:dyDescent="0.35">
      <c r="A104" s="127" t="s">
        <v>479</v>
      </c>
      <c r="B104" s="127" t="s">
        <v>480</v>
      </c>
      <c r="C104" s="129">
        <v>12</v>
      </c>
      <c r="D104" s="129">
        <v>0</v>
      </c>
      <c r="E104" s="129">
        <v>0</v>
      </c>
      <c r="F104" s="129">
        <v>0</v>
      </c>
      <c r="G104" s="129">
        <v>12</v>
      </c>
      <c r="H104" s="129">
        <v>0</v>
      </c>
      <c r="I104" s="129">
        <v>0</v>
      </c>
      <c r="J104" s="129">
        <v>0</v>
      </c>
      <c r="K104" s="129">
        <v>0</v>
      </c>
      <c r="L104" s="129">
        <v>0</v>
      </c>
      <c r="M104" s="129">
        <v>1</v>
      </c>
      <c r="N104" s="129">
        <v>0</v>
      </c>
      <c r="O104" s="129">
        <v>0</v>
      </c>
      <c r="P104" s="129">
        <v>0</v>
      </c>
      <c r="Q104" s="129">
        <v>1</v>
      </c>
      <c r="R104" s="129">
        <v>0</v>
      </c>
      <c r="S104" s="129">
        <v>0</v>
      </c>
      <c r="T104" s="129">
        <v>0</v>
      </c>
      <c r="U104" s="129">
        <v>0</v>
      </c>
      <c r="V104" s="129">
        <v>0</v>
      </c>
      <c r="W104" s="129">
        <v>3</v>
      </c>
      <c r="X104" s="129">
        <v>0</v>
      </c>
      <c r="Y104" s="129">
        <v>0</v>
      </c>
      <c r="Z104" s="129">
        <v>0</v>
      </c>
      <c r="AA104" s="129">
        <v>3</v>
      </c>
      <c r="AB104" s="129">
        <v>0</v>
      </c>
      <c r="AC104" s="129">
        <v>0</v>
      </c>
      <c r="AD104" s="129">
        <v>0</v>
      </c>
      <c r="AE104" s="129">
        <v>0</v>
      </c>
      <c r="AF104" s="129">
        <v>0</v>
      </c>
      <c r="AG104" s="129">
        <v>0</v>
      </c>
      <c r="AH104" s="129">
        <v>0</v>
      </c>
      <c r="AI104" s="126">
        <v>0</v>
      </c>
      <c r="AJ104" s="131">
        <v>16</v>
      </c>
    </row>
    <row r="105" spans="1:36" x14ac:dyDescent="0.35">
      <c r="A105" s="127" t="s">
        <v>481</v>
      </c>
      <c r="B105" s="127" t="s">
        <v>1366</v>
      </c>
      <c r="C105" s="129">
        <v>53</v>
      </c>
      <c r="D105" s="129">
        <v>4</v>
      </c>
      <c r="E105" s="129">
        <v>1</v>
      </c>
      <c r="F105" s="129">
        <v>0</v>
      </c>
      <c r="G105" s="129">
        <v>58</v>
      </c>
      <c r="H105" s="129">
        <v>7</v>
      </c>
      <c r="I105" s="129">
        <v>0</v>
      </c>
      <c r="J105" s="129">
        <v>0</v>
      </c>
      <c r="K105" s="129">
        <v>0</v>
      </c>
      <c r="L105" s="129">
        <v>7</v>
      </c>
      <c r="M105" s="129">
        <v>3</v>
      </c>
      <c r="N105" s="129">
        <v>2</v>
      </c>
      <c r="O105" s="129">
        <v>0</v>
      </c>
      <c r="P105" s="129">
        <v>0</v>
      </c>
      <c r="Q105" s="129">
        <v>5</v>
      </c>
      <c r="R105" s="129">
        <v>0</v>
      </c>
      <c r="S105" s="129">
        <v>0</v>
      </c>
      <c r="T105" s="129">
        <v>0</v>
      </c>
      <c r="U105" s="129">
        <v>0</v>
      </c>
      <c r="V105" s="129">
        <v>0</v>
      </c>
      <c r="W105" s="129">
        <v>13</v>
      </c>
      <c r="X105" s="129">
        <v>1</v>
      </c>
      <c r="Y105" s="129">
        <v>0</v>
      </c>
      <c r="Z105" s="129">
        <v>0</v>
      </c>
      <c r="AA105" s="129">
        <v>14</v>
      </c>
      <c r="AB105" s="129">
        <v>1</v>
      </c>
      <c r="AC105" s="129">
        <v>0</v>
      </c>
      <c r="AD105" s="129">
        <v>0</v>
      </c>
      <c r="AE105" s="129">
        <v>0</v>
      </c>
      <c r="AF105" s="129">
        <v>1</v>
      </c>
      <c r="AG105" s="129">
        <v>0</v>
      </c>
      <c r="AH105" s="129">
        <v>0</v>
      </c>
      <c r="AI105" s="126">
        <v>0</v>
      </c>
      <c r="AJ105" s="131">
        <v>85</v>
      </c>
    </row>
    <row r="106" spans="1:36" x14ac:dyDescent="0.35">
      <c r="A106" s="127" t="s">
        <v>482</v>
      </c>
      <c r="B106" s="127" t="s">
        <v>1367</v>
      </c>
      <c r="C106" s="129">
        <v>3</v>
      </c>
      <c r="D106" s="129">
        <v>0</v>
      </c>
      <c r="E106" s="129">
        <v>0</v>
      </c>
      <c r="F106" s="129">
        <v>0</v>
      </c>
      <c r="G106" s="129">
        <v>3</v>
      </c>
      <c r="H106" s="129">
        <v>0</v>
      </c>
      <c r="I106" s="129">
        <v>0</v>
      </c>
      <c r="J106" s="129">
        <v>0</v>
      </c>
      <c r="K106" s="129">
        <v>0</v>
      </c>
      <c r="L106" s="129">
        <v>0</v>
      </c>
      <c r="M106" s="129">
        <v>0</v>
      </c>
      <c r="N106" s="129">
        <v>0</v>
      </c>
      <c r="O106" s="129">
        <v>0</v>
      </c>
      <c r="P106" s="129">
        <v>0</v>
      </c>
      <c r="Q106" s="129">
        <v>0</v>
      </c>
      <c r="R106" s="129">
        <v>0</v>
      </c>
      <c r="S106" s="129">
        <v>0</v>
      </c>
      <c r="T106" s="129">
        <v>0</v>
      </c>
      <c r="U106" s="129">
        <v>0</v>
      </c>
      <c r="V106" s="129">
        <v>0</v>
      </c>
      <c r="W106" s="129">
        <v>1</v>
      </c>
      <c r="X106" s="129">
        <v>1</v>
      </c>
      <c r="Y106" s="129">
        <v>0</v>
      </c>
      <c r="Z106" s="129">
        <v>0</v>
      </c>
      <c r="AA106" s="129">
        <v>2</v>
      </c>
      <c r="AB106" s="129">
        <v>0</v>
      </c>
      <c r="AC106" s="129">
        <v>0</v>
      </c>
      <c r="AD106" s="129">
        <v>0</v>
      </c>
      <c r="AE106" s="129">
        <v>0</v>
      </c>
      <c r="AF106" s="129">
        <v>0</v>
      </c>
      <c r="AG106" s="129">
        <v>0</v>
      </c>
      <c r="AH106" s="129">
        <v>0</v>
      </c>
      <c r="AI106" s="126">
        <v>0</v>
      </c>
      <c r="AJ106" s="131">
        <v>5</v>
      </c>
    </row>
    <row r="107" spans="1:36" x14ac:dyDescent="0.35">
      <c r="A107" s="127" t="s">
        <v>483</v>
      </c>
      <c r="B107" s="127" t="s">
        <v>1368</v>
      </c>
      <c r="C107" s="129">
        <v>23</v>
      </c>
      <c r="D107" s="129">
        <v>3</v>
      </c>
      <c r="E107" s="129">
        <v>0</v>
      </c>
      <c r="F107" s="129">
        <v>0</v>
      </c>
      <c r="G107" s="129">
        <v>26</v>
      </c>
      <c r="H107" s="129">
        <v>0</v>
      </c>
      <c r="I107" s="129">
        <v>0</v>
      </c>
      <c r="J107" s="129">
        <v>0</v>
      </c>
      <c r="K107" s="129">
        <v>0</v>
      </c>
      <c r="L107" s="129">
        <v>0</v>
      </c>
      <c r="M107" s="129">
        <v>0</v>
      </c>
      <c r="N107" s="129">
        <v>0</v>
      </c>
      <c r="O107" s="129">
        <v>0</v>
      </c>
      <c r="P107" s="129">
        <v>0</v>
      </c>
      <c r="Q107" s="129">
        <v>0</v>
      </c>
      <c r="R107" s="129">
        <v>0</v>
      </c>
      <c r="S107" s="129">
        <v>0</v>
      </c>
      <c r="T107" s="129">
        <v>0</v>
      </c>
      <c r="U107" s="129">
        <v>0</v>
      </c>
      <c r="V107" s="129">
        <v>0</v>
      </c>
      <c r="W107" s="129">
        <v>3</v>
      </c>
      <c r="X107" s="129">
        <v>2</v>
      </c>
      <c r="Y107" s="129">
        <v>0</v>
      </c>
      <c r="Z107" s="129">
        <v>2</v>
      </c>
      <c r="AA107" s="129">
        <v>7</v>
      </c>
      <c r="AB107" s="129">
        <v>1</v>
      </c>
      <c r="AC107" s="129">
        <v>0</v>
      </c>
      <c r="AD107" s="129">
        <v>0</v>
      </c>
      <c r="AE107" s="129">
        <v>0</v>
      </c>
      <c r="AF107" s="129">
        <v>1</v>
      </c>
      <c r="AG107" s="129">
        <v>0</v>
      </c>
      <c r="AH107" s="129">
        <v>0</v>
      </c>
      <c r="AI107" s="126">
        <v>0</v>
      </c>
      <c r="AJ107" s="131">
        <v>34</v>
      </c>
    </row>
    <row r="108" spans="1:36" x14ac:dyDescent="0.35">
      <c r="A108" s="127" t="s">
        <v>484</v>
      </c>
      <c r="B108" s="127" t="s">
        <v>485</v>
      </c>
      <c r="C108" s="129">
        <v>48</v>
      </c>
      <c r="D108" s="129">
        <v>8</v>
      </c>
      <c r="E108" s="129">
        <v>0</v>
      </c>
      <c r="F108" s="129">
        <v>2</v>
      </c>
      <c r="G108" s="129">
        <v>58</v>
      </c>
      <c r="H108" s="129">
        <v>0</v>
      </c>
      <c r="I108" s="129">
        <v>0</v>
      </c>
      <c r="J108" s="129">
        <v>0</v>
      </c>
      <c r="K108" s="129">
        <v>0</v>
      </c>
      <c r="L108" s="129">
        <v>0</v>
      </c>
      <c r="M108" s="129">
        <v>0</v>
      </c>
      <c r="N108" s="129">
        <v>0</v>
      </c>
      <c r="O108" s="129">
        <v>0</v>
      </c>
      <c r="P108" s="129">
        <v>0</v>
      </c>
      <c r="Q108" s="129">
        <v>0</v>
      </c>
      <c r="R108" s="129">
        <v>1</v>
      </c>
      <c r="S108" s="129">
        <v>0</v>
      </c>
      <c r="T108" s="129">
        <v>0</v>
      </c>
      <c r="U108" s="129">
        <v>0</v>
      </c>
      <c r="V108" s="129">
        <v>1</v>
      </c>
      <c r="W108" s="129">
        <v>4</v>
      </c>
      <c r="X108" s="129">
        <v>0</v>
      </c>
      <c r="Y108" s="129">
        <v>0</v>
      </c>
      <c r="Z108" s="129">
        <v>1</v>
      </c>
      <c r="AA108" s="129">
        <v>5</v>
      </c>
      <c r="AB108" s="129">
        <v>0</v>
      </c>
      <c r="AC108" s="129">
        <v>0</v>
      </c>
      <c r="AD108" s="129">
        <v>0</v>
      </c>
      <c r="AE108" s="129">
        <v>0</v>
      </c>
      <c r="AF108" s="129">
        <v>0</v>
      </c>
      <c r="AG108" s="129">
        <v>0</v>
      </c>
      <c r="AH108" s="129">
        <v>0</v>
      </c>
      <c r="AI108" s="126">
        <v>0</v>
      </c>
      <c r="AJ108" s="131">
        <v>64</v>
      </c>
    </row>
    <row r="109" spans="1:36" x14ac:dyDescent="0.35">
      <c r="A109" s="127" t="s">
        <v>486</v>
      </c>
      <c r="B109" s="127" t="s">
        <v>487</v>
      </c>
      <c r="C109" s="129">
        <v>536</v>
      </c>
      <c r="D109" s="129">
        <v>64</v>
      </c>
      <c r="E109" s="129">
        <v>11</v>
      </c>
      <c r="F109" s="129">
        <v>0</v>
      </c>
      <c r="G109" s="129">
        <v>611</v>
      </c>
      <c r="H109" s="129">
        <v>5</v>
      </c>
      <c r="I109" s="129">
        <v>0</v>
      </c>
      <c r="J109" s="129">
        <v>0</v>
      </c>
      <c r="K109" s="129">
        <v>0</v>
      </c>
      <c r="L109" s="129">
        <v>5</v>
      </c>
      <c r="M109" s="129">
        <v>4</v>
      </c>
      <c r="N109" s="129">
        <v>0</v>
      </c>
      <c r="O109" s="129">
        <v>0</v>
      </c>
      <c r="P109" s="129">
        <v>0</v>
      </c>
      <c r="Q109" s="129">
        <v>4</v>
      </c>
      <c r="R109" s="129">
        <v>7</v>
      </c>
      <c r="S109" s="129">
        <v>0</v>
      </c>
      <c r="T109" s="129">
        <v>0</v>
      </c>
      <c r="U109" s="129">
        <v>0</v>
      </c>
      <c r="V109" s="129">
        <v>7</v>
      </c>
      <c r="W109" s="129">
        <v>24</v>
      </c>
      <c r="X109" s="129">
        <v>2</v>
      </c>
      <c r="Y109" s="129">
        <v>0</v>
      </c>
      <c r="Z109" s="129">
        <v>0</v>
      </c>
      <c r="AA109" s="129">
        <v>26</v>
      </c>
      <c r="AB109" s="129">
        <v>1</v>
      </c>
      <c r="AC109" s="129">
        <v>0</v>
      </c>
      <c r="AD109" s="129">
        <v>0</v>
      </c>
      <c r="AE109" s="129">
        <v>0</v>
      </c>
      <c r="AF109" s="129">
        <v>1</v>
      </c>
      <c r="AG109" s="129">
        <v>0</v>
      </c>
      <c r="AH109" s="129">
        <v>0</v>
      </c>
      <c r="AI109" s="126">
        <v>0</v>
      </c>
      <c r="AJ109" s="131">
        <v>654</v>
      </c>
    </row>
    <row r="110" spans="1:36" x14ac:dyDescent="0.35">
      <c r="A110" s="127" t="s">
        <v>488</v>
      </c>
      <c r="B110" s="127" t="s">
        <v>489</v>
      </c>
      <c r="C110" s="129">
        <v>148</v>
      </c>
      <c r="D110" s="129">
        <v>22</v>
      </c>
      <c r="E110" s="129">
        <v>3</v>
      </c>
      <c r="F110" s="129">
        <v>0</v>
      </c>
      <c r="G110" s="129">
        <v>173</v>
      </c>
      <c r="H110" s="129">
        <v>2</v>
      </c>
      <c r="I110" s="129">
        <v>0</v>
      </c>
      <c r="J110" s="129">
        <v>0</v>
      </c>
      <c r="K110" s="129">
        <v>0</v>
      </c>
      <c r="L110" s="129">
        <v>2</v>
      </c>
      <c r="M110" s="129">
        <v>1</v>
      </c>
      <c r="N110" s="129">
        <v>0</v>
      </c>
      <c r="O110" s="129">
        <v>0</v>
      </c>
      <c r="P110" s="129">
        <v>0</v>
      </c>
      <c r="Q110" s="129">
        <v>1</v>
      </c>
      <c r="R110" s="129">
        <v>2</v>
      </c>
      <c r="S110" s="129">
        <v>0</v>
      </c>
      <c r="T110" s="129">
        <v>0</v>
      </c>
      <c r="U110" s="129">
        <v>0</v>
      </c>
      <c r="V110" s="129">
        <v>2</v>
      </c>
      <c r="W110" s="129">
        <v>11</v>
      </c>
      <c r="X110" s="129">
        <v>0</v>
      </c>
      <c r="Y110" s="129">
        <v>0</v>
      </c>
      <c r="Z110" s="129">
        <v>0</v>
      </c>
      <c r="AA110" s="129">
        <v>11</v>
      </c>
      <c r="AB110" s="129">
        <v>3</v>
      </c>
      <c r="AC110" s="129">
        <v>0</v>
      </c>
      <c r="AD110" s="129">
        <v>0</v>
      </c>
      <c r="AE110" s="129">
        <v>0</v>
      </c>
      <c r="AF110" s="129">
        <v>3</v>
      </c>
      <c r="AG110" s="129">
        <v>0</v>
      </c>
      <c r="AH110" s="129">
        <v>0</v>
      </c>
      <c r="AI110" s="126">
        <v>0</v>
      </c>
      <c r="AJ110" s="131">
        <v>192</v>
      </c>
    </row>
    <row r="111" spans="1:36" x14ac:dyDescent="0.35">
      <c r="A111" s="127" t="s">
        <v>490</v>
      </c>
      <c r="B111" s="127" t="s">
        <v>1224</v>
      </c>
      <c r="C111" s="129">
        <v>3</v>
      </c>
      <c r="D111" s="129">
        <v>1</v>
      </c>
      <c r="E111" s="129">
        <v>0</v>
      </c>
      <c r="F111" s="129">
        <v>0</v>
      </c>
      <c r="G111" s="129">
        <v>4</v>
      </c>
      <c r="H111" s="129">
        <v>0</v>
      </c>
      <c r="I111" s="129">
        <v>0</v>
      </c>
      <c r="J111" s="129">
        <v>0</v>
      </c>
      <c r="K111" s="129">
        <v>0</v>
      </c>
      <c r="L111" s="129">
        <v>0</v>
      </c>
      <c r="M111" s="129">
        <v>0</v>
      </c>
      <c r="N111" s="129">
        <v>0</v>
      </c>
      <c r="O111" s="129">
        <v>0</v>
      </c>
      <c r="P111" s="129">
        <v>0</v>
      </c>
      <c r="Q111" s="129">
        <v>0</v>
      </c>
      <c r="R111" s="129">
        <v>0</v>
      </c>
      <c r="S111" s="129">
        <v>0</v>
      </c>
      <c r="T111" s="129">
        <v>0</v>
      </c>
      <c r="U111" s="129">
        <v>0</v>
      </c>
      <c r="V111" s="129">
        <v>0</v>
      </c>
      <c r="W111" s="129">
        <v>0</v>
      </c>
      <c r="X111" s="129">
        <v>0</v>
      </c>
      <c r="Y111" s="129">
        <v>0</v>
      </c>
      <c r="Z111" s="129">
        <v>0</v>
      </c>
      <c r="AA111" s="129">
        <v>0</v>
      </c>
      <c r="AB111" s="129">
        <v>0</v>
      </c>
      <c r="AC111" s="129">
        <v>0</v>
      </c>
      <c r="AD111" s="129">
        <v>0</v>
      </c>
      <c r="AE111" s="129">
        <v>0</v>
      </c>
      <c r="AF111" s="129">
        <v>0</v>
      </c>
      <c r="AG111" s="129">
        <v>0</v>
      </c>
      <c r="AH111" s="129">
        <v>0</v>
      </c>
      <c r="AI111" s="126">
        <v>0</v>
      </c>
      <c r="AJ111" s="131">
        <v>4</v>
      </c>
    </row>
    <row r="112" spans="1:36" x14ac:dyDescent="0.35">
      <c r="A112" s="127" t="s">
        <v>1330</v>
      </c>
      <c r="B112" s="127" t="s">
        <v>1331</v>
      </c>
      <c r="C112" s="129">
        <v>1</v>
      </c>
      <c r="D112" s="129">
        <v>0</v>
      </c>
      <c r="E112" s="129">
        <v>0</v>
      </c>
      <c r="F112" s="129">
        <v>0</v>
      </c>
      <c r="G112" s="129">
        <v>1</v>
      </c>
      <c r="H112" s="129">
        <v>0</v>
      </c>
      <c r="I112" s="129">
        <v>0</v>
      </c>
      <c r="J112" s="129">
        <v>0</v>
      </c>
      <c r="K112" s="129">
        <v>0</v>
      </c>
      <c r="L112" s="129">
        <v>0</v>
      </c>
      <c r="M112" s="129">
        <v>0</v>
      </c>
      <c r="N112" s="129">
        <v>0</v>
      </c>
      <c r="O112" s="129">
        <v>0</v>
      </c>
      <c r="P112" s="129">
        <v>0</v>
      </c>
      <c r="Q112" s="129">
        <v>0</v>
      </c>
      <c r="R112" s="129">
        <v>0</v>
      </c>
      <c r="S112" s="129">
        <v>0</v>
      </c>
      <c r="T112" s="129">
        <v>0</v>
      </c>
      <c r="U112" s="129">
        <v>0</v>
      </c>
      <c r="V112" s="129">
        <v>0</v>
      </c>
      <c r="W112" s="129">
        <v>0</v>
      </c>
      <c r="X112" s="129">
        <v>0</v>
      </c>
      <c r="Y112" s="129">
        <v>0</v>
      </c>
      <c r="Z112" s="129">
        <v>0</v>
      </c>
      <c r="AA112" s="129">
        <v>0</v>
      </c>
      <c r="AB112" s="129">
        <v>0</v>
      </c>
      <c r="AC112" s="129">
        <v>0</v>
      </c>
      <c r="AD112" s="129">
        <v>0</v>
      </c>
      <c r="AE112" s="129">
        <v>0</v>
      </c>
      <c r="AF112" s="129">
        <v>0</v>
      </c>
      <c r="AG112" s="129">
        <v>0</v>
      </c>
      <c r="AH112" s="129">
        <v>0</v>
      </c>
      <c r="AI112" s="126">
        <v>0</v>
      </c>
      <c r="AJ112" s="131">
        <v>1</v>
      </c>
    </row>
    <row r="113" spans="1:36" x14ac:dyDescent="0.35">
      <c r="A113" s="127" t="s">
        <v>491</v>
      </c>
      <c r="B113" s="127" t="s">
        <v>492</v>
      </c>
      <c r="C113" s="129">
        <v>17</v>
      </c>
      <c r="D113" s="129">
        <v>1</v>
      </c>
      <c r="E113" s="129">
        <v>2</v>
      </c>
      <c r="F113" s="129">
        <v>0</v>
      </c>
      <c r="G113" s="129">
        <v>20</v>
      </c>
      <c r="H113" s="129">
        <v>0</v>
      </c>
      <c r="I113" s="129">
        <v>0</v>
      </c>
      <c r="J113" s="129">
        <v>0</v>
      </c>
      <c r="K113" s="129">
        <v>0</v>
      </c>
      <c r="L113" s="129">
        <v>0</v>
      </c>
      <c r="M113" s="129">
        <v>0</v>
      </c>
      <c r="N113" s="129">
        <v>0</v>
      </c>
      <c r="O113" s="129">
        <v>0</v>
      </c>
      <c r="P113" s="129">
        <v>0</v>
      </c>
      <c r="Q113" s="129">
        <v>0</v>
      </c>
      <c r="R113" s="129">
        <v>0</v>
      </c>
      <c r="S113" s="129">
        <v>0</v>
      </c>
      <c r="T113" s="129">
        <v>0</v>
      </c>
      <c r="U113" s="129">
        <v>0</v>
      </c>
      <c r="V113" s="129">
        <v>0</v>
      </c>
      <c r="W113" s="129">
        <v>0</v>
      </c>
      <c r="X113" s="129">
        <v>0</v>
      </c>
      <c r="Y113" s="129">
        <v>0</v>
      </c>
      <c r="Z113" s="129">
        <v>0</v>
      </c>
      <c r="AA113" s="129">
        <v>0</v>
      </c>
      <c r="AB113" s="129">
        <v>0</v>
      </c>
      <c r="AC113" s="129">
        <v>1</v>
      </c>
      <c r="AD113" s="129">
        <v>0</v>
      </c>
      <c r="AE113" s="129">
        <v>0</v>
      </c>
      <c r="AF113" s="129">
        <v>1</v>
      </c>
      <c r="AG113" s="129">
        <v>0</v>
      </c>
      <c r="AH113" s="129">
        <v>0</v>
      </c>
      <c r="AI113" s="126">
        <v>0</v>
      </c>
      <c r="AJ113" s="131">
        <v>21</v>
      </c>
    </row>
    <row r="114" spans="1:36" x14ac:dyDescent="0.35">
      <c r="A114" s="127" t="s">
        <v>493</v>
      </c>
      <c r="B114" s="127" t="s">
        <v>494</v>
      </c>
      <c r="C114" s="129">
        <v>0</v>
      </c>
      <c r="D114" s="129">
        <v>0</v>
      </c>
      <c r="E114" s="129">
        <v>0</v>
      </c>
      <c r="F114" s="129">
        <v>0</v>
      </c>
      <c r="G114" s="129">
        <v>0</v>
      </c>
      <c r="H114" s="129">
        <v>0</v>
      </c>
      <c r="I114" s="129">
        <v>0</v>
      </c>
      <c r="J114" s="129">
        <v>0</v>
      </c>
      <c r="K114" s="129">
        <v>0</v>
      </c>
      <c r="L114" s="129">
        <v>0</v>
      </c>
      <c r="M114" s="129">
        <v>0</v>
      </c>
      <c r="N114" s="129">
        <v>0</v>
      </c>
      <c r="O114" s="129">
        <v>0</v>
      </c>
      <c r="P114" s="129">
        <v>0</v>
      </c>
      <c r="Q114" s="129">
        <v>0</v>
      </c>
      <c r="R114" s="129">
        <v>0</v>
      </c>
      <c r="S114" s="129">
        <v>0</v>
      </c>
      <c r="T114" s="129">
        <v>0</v>
      </c>
      <c r="U114" s="129">
        <v>0</v>
      </c>
      <c r="V114" s="129">
        <v>0</v>
      </c>
      <c r="W114" s="129">
        <v>0</v>
      </c>
      <c r="X114" s="129">
        <v>0</v>
      </c>
      <c r="Y114" s="129">
        <v>0</v>
      </c>
      <c r="Z114" s="129">
        <v>0</v>
      </c>
      <c r="AA114" s="129">
        <v>0</v>
      </c>
      <c r="AB114" s="129">
        <v>0</v>
      </c>
      <c r="AC114" s="129">
        <v>0</v>
      </c>
      <c r="AD114" s="129">
        <v>0</v>
      </c>
      <c r="AE114" s="129">
        <v>0</v>
      </c>
      <c r="AF114" s="129">
        <v>0</v>
      </c>
      <c r="AG114" s="129">
        <v>0</v>
      </c>
      <c r="AH114" s="129">
        <v>0</v>
      </c>
      <c r="AI114" s="126">
        <v>0</v>
      </c>
      <c r="AJ114" s="131">
        <v>0</v>
      </c>
    </row>
    <row r="115" spans="1:36" x14ac:dyDescent="0.35">
      <c r="A115" s="127" t="s">
        <v>495</v>
      </c>
      <c r="B115" s="127" t="s">
        <v>496</v>
      </c>
      <c r="C115" s="129">
        <v>30</v>
      </c>
      <c r="D115" s="129">
        <v>8</v>
      </c>
      <c r="E115" s="129">
        <v>5</v>
      </c>
      <c r="F115" s="129">
        <v>1</v>
      </c>
      <c r="G115" s="129">
        <v>44</v>
      </c>
      <c r="H115" s="129">
        <v>0</v>
      </c>
      <c r="I115" s="129">
        <v>0</v>
      </c>
      <c r="J115" s="129">
        <v>0</v>
      </c>
      <c r="K115" s="129">
        <v>0</v>
      </c>
      <c r="L115" s="129">
        <v>0</v>
      </c>
      <c r="M115" s="129">
        <v>0</v>
      </c>
      <c r="N115" s="129">
        <v>0</v>
      </c>
      <c r="O115" s="129">
        <v>0</v>
      </c>
      <c r="P115" s="129">
        <v>0</v>
      </c>
      <c r="Q115" s="129">
        <v>0</v>
      </c>
      <c r="R115" s="129">
        <v>1</v>
      </c>
      <c r="S115" s="129">
        <v>0</v>
      </c>
      <c r="T115" s="129">
        <v>0</v>
      </c>
      <c r="U115" s="129">
        <v>0</v>
      </c>
      <c r="V115" s="129">
        <v>1</v>
      </c>
      <c r="W115" s="129">
        <v>7</v>
      </c>
      <c r="X115" s="129">
        <v>0</v>
      </c>
      <c r="Y115" s="129">
        <v>0</v>
      </c>
      <c r="Z115" s="129">
        <v>1</v>
      </c>
      <c r="AA115" s="129">
        <v>8</v>
      </c>
      <c r="AB115" s="129">
        <v>0</v>
      </c>
      <c r="AC115" s="129">
        <v>0</v>
      </c>
      <c r="AD115" s="129">
        <v>0</v>
      </c>
      <c r="AE115" s="129">
        <v>0</v>
      </c>
      <c r="AF115" s="129">
        <v>0</v>
      </c>
      <c r="AG115" s="129">
        <v>0</v>
      </c>
      <c r="AH115" s="129">
        <v>0</v>
      </c>
      <c r="AI115" s="126">
        <v>0</v>
      </c>
      <c r="AJ115" s="131">
        <v>53</v>
      </c>
    </row>
    <row r="116" spans="1:36" x14ac:dyDescent="0.35">
      <c r="A116" s="127" t="s">
        <v>497</v>
      </c>
      <c r="B116" s="127" t="s">
        <v>498</v>
      </c>
      <c r="C116" s="129">
        <v>9</v>
      </c>
      <c r="D116" s="129">
        <v>6</v>
      </c>
      <c r="E116" s="129">
        <v>1</v>
      </c>
      <c r="F116" s="129">
        <v>0</v>
      </c>
      <c r="G116" s="129">
        <v>16</v>
      </c>
      <c r="H116" s="129">
        <v>2</v>
      </c>
      <c r="I116" s="129">
        <v>0</v>
      </c>
      <c r="J116" s="129">
        <v>0</v>
      </c>
      <c r="K116" s="129">
        <v>0</v>
      </c>
      <c r="L116" s="129">
        <v>2</v>
      </c>
      <c r="M116" s="129">
        <v>5</v>
      </c>
      <c r="N116" s="129">
        <v>5</v>
      </c>
      <c r="O116" s="129">
        <v>1</v>
      </c>
      <c r="P116" s="129">
        <v>0</v>
      </c>
      <c r="Q116" s="129">
        <v>11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129">
        <v>2</v>
      </c>
      <c r="X116" s="129">
        <v>3</v>
      </c>
      <c r="Y116" s="129">
        <v>0</v>
      </c>
      <c r="Z116" s="129">
        <v>0</v>
      </c>
      <c r="AA116" s="129">
        <v>5</v>
      </c>
      <c r="AB116" s="129">
        <v>0</v>
      </c>
      <c r="AC116" s="129">
        <v>0</v>
      </c>
      <c r="AD116" s="129">
        <v>0</v>
      </c>
      <c r="AE116" s="129">
        <v>0</v>
      </c>
      <c r="AF116" s="129">
        <v>0</v>
      </c>
      <c r="AG116" s="129">
        <v>0</v>
      </c>
      <c r="AH116" s="129">
        <v>0</v>
      </c>
      <c r="AI116" s="126">
        <v>0</v>
      </c>
      <c r="AJ116" s="131">
        <v>34</v>
      </c>
    </row>
    <row r="117" spans="1:36" x14ac:dyDescent="0.35">
      <c r="A117" s="127" t="s">
        <v>499</v>
      </c>
      <c r="B117" s="127" t="s">
        <v>500</v>
      </c>
      <c r="C117" s="129">
        <v>31</v>
      </c>
      <c r="D117" s="129">
        <v>5</v>
      </c>
      <c r="E117" s="129">
        <v>1</v>
      </c>
      <c r="F117" s="129">
        <v>0</v>
      </c>
      <c r="G117" s="129">
        <v>37</v>
      </c>
      <c r="H117" s="129">
        <v>2</v>
      </c>
      <c r="I117" s="129">
        <v>0</v>
      </c>
      <c r="J117" s="129">
        <v>0</v>
      </c>
      <c r="K117" s="129">
        <v>0</v>
      </c>
      <c r="L117" s="129">
        <v>2</v>
      </c>
      <c r="M117" s="129">
        <v>0</v>
      </c>
      <c r="N117" s="129">
        <v>0</v>
      </c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129">
        <v>3</v>
      </c>
      <c r="X117" s="129">
        <v>3</v>
      </c>
      <c r="Y117" s="129">
        <v>0</v>
      </c>
      <c r="Z117" s="129">
        <v>0</v>
      </c>
      <c r="AA117" s="129">
        <v>6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0</v>
      </c>
      <c r="AH117" s="129">
        <v>0</v>
      </c>
      <c r="AI117" s="126">
        <v>0</v>
      </c>
      <c r="AJ117" s="131">
        <v>45</v>
      </c>
    </row>
    <row r="118" spans="1:36" x14ac:dyDescent="0.35">
      <c r="A118" s="127" t="s">
        <v>501</v>
      </c>
      <c r="B118" s="127" t="s">
        <v>502</v>
      </c>
      <c r="C118" s="129">
        <v>3</v>
      </c>
      <c r="D118" s="129">
        <v>2</v>
      </c>
      <c r="E118" s="129">
        <v>0</v>
      </c>
      <c r="F118" s="129">
        <v>0</v>
      </c>
      <c r="G118" s="129">
        <v>5</v>
      </c>
      <c r="H118" s="129">
        <v>0</v>
      </c>
      <c r="I118" s="129">
        <v>0</v>
      </c>
      <c r="J118" s="129">
        <v>0</v>
      </c>
      <c r="K118" s="129">
        <v>0</v>
      </c>
      <c r="L118" s="129">
        <v>0</v>
      </c>
      <c r="M118" s="129">
        <v>0</v>
      </c>
      <c r="N118" s="129">
        <v>0</v>
      </c>
      <c r="O118" s="129">
        <v>0</v>
      </c>
      <c r="P118" s="129">
        <v>0</v>
      </c>
      <c r="Q118" s="129">
        <v>0</v>
      </c>
      <c r="R118" s="129">
        <v>1</v>
      </c>
      <c r="S118" s="129">
        <v>2</v>
      </c>
      <c r="T118" s="129">
        <v>0</v>
      </c>
      <c r="U118" s="129">
        <v>0</v>
      </c>
      <c r="V118" s="129">
        <v>3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0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0</v>
      </c>
      <c r="AI118" s="126">
        <v>0</v>
      </c>
      <c r="AJ118" s="131">
        <v>8</v>
      </c>
    </row>
    <row r="119" spans="1:36" x14ac:dyDescent="0.35">
      <c r="A119" s="127" t="s">
        <v>503</v>
      </c>
      <c r="B119" s="127" t="s">
        <v>504</v>
      </c>
      <c r="C119" s="129">
        <v>11</v>
      </c>
      <c r="D119" s="129">
        <v>3</v>
      </c>
      <c r="E119" s="129">
        <v>1</v>
      </c>
      <c r="F119" s="129">
        <v>0</v>
      </c>
      <c r="G119" s="129">
        <v>15</v>
      </c>
      <c r="H119" s="129">
        <v>1</v>
      </c>
      <c r="I119" s="129">
        <v>0</v>
      </c>
      <c r="J119" s="129">
        <v>0</v>
      </c>
      <c r="K119" s="129">
        <v>0</v>
      </c>
      <c r="L119" s="129">
        <v>1</v>
      </c>
      <c r="M119" s="129">
        <v>2</v>
      </c>
      <c r="N119" s="129">
        <v>0</v>
      </c>
      <c r="O119" s="129">
        <v>0</v>
      </c>
      <c r="P119" s="129">
        <v>0</v>
      </c>
      <c r="Q119" s="129">
        <v>2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129">
        <v>4</v>
      </c>
      <c r="X119" s="129">
        <v>1</v>
      </c>
      <c r="Y119" s="129">
        <v>0</v>
      </c>
      <c r="Z119" s="129">
        <v>0</v>
      </c>
      <c r="AA119" s="129">
        <v>5</v>
      </c>
      <c r="AB119" s="129">
        <v>0</v>
      </c>
      <c r="AC119" s="129">
        <v>0</v>
      </c>
      <c r="AD119" s="129">
        <v>0</v>
      </c>
      <c r="AE119" s="129">
        <v>0</v>
      </c>
      <c r="AF119" s="129">
        <v>0</v>
      </c>
      <c r="AG119" s="129">
        <v>0</v>
      </c>
      <c r="AH119" s="129">
        <v>0</v>
      </c>
      <c r="AI119" s="126">
        <v>0</v>
      </c>
      <c r="AJ119" s="131">
        <v>23</v>
      </c>
    </row>
    <row r="120" spans="1:36" x14ac:dyDescent="0.35">
      <c r="A120" s="127" t="s">
        <v>505</v>
      </c>
      <c r="B120" s="127" t="s">
        <v>506</v>
      </c>
      <c r="C120" s="129">
        <v>43</v>
      </c>
      <c r="D120" s="129">
        <v>5</v>
      </c>
      <c r="E120" s="129">
        <v>4</v>
      </c>
      <c r="F120" s="129">
        <v>3</v>
      </c>
      <c r="G120" s="129">
        <v>55</v>
      </c>
      <c r="H120" s="129">
        <v>1</v>
      </c>
      <c r="I120" s="129">
        <v>0</v>
      </c>
      <c r="J120" s="129">
        <v>0</v>
      </c>
      <c r="K120" s="129">
        <v>0</v>
      </c>
      <c r="L120" s="129">
        <v>1</v>
      </c>
      <c r="M120" s="129">
        <v>1</v>
      </c>
      <c r="N120" s="129">
        <v>0</v>
      </c>
      <c r="O120" s="129">
        <v>0</v>
      </c>
      <c r="P120" s="129">
        <v>0</v>
      </c>
      <c r="Q120" s="129">
        <v>1</v>
      </c>
      <c r="R120" s="129">
        <v>0</v>
      </c>
      <c r="S120" s="129">
        <v>0</v>
      </c>
      <c r="T120" s="129">
        <v>0</v>
      </c>
      <c r="U120" s="129">
        <v>0</v>
      </c>
      <c r="V120" s="129">
        <v>0</v>
      </c>
      <c r="W120" s="129">
        <v>11</v>
      </c>
      <c r="X120" s="129">
        <v>2</v>
      </c>
      <c r="Y120" s="129">
        <v>1</v>
      </c>
      <c r="Z120" s="129">
        <v>0</v>
      </c>
      <c r="AA120" s="129">
        <v>14</v>
      </c>
      <c r="AB120" s="129">
        <v>3</v>
      </c>
      <c r="AC120" s="129">
        <v>0</v>
      </c>
      <c r="AD120" s="129">
        <v>0</v>
      </c>
      <c r="AE120" s="129">
        <v>0</v>
      </c>
      <c r="AF120" s="129">
        <v>3</v>
      </c>
      <c r="AG120" s="129">
        <v>0</v>
      </c>
      <c r="AH120" s="129">
        <v>0</v>
      </c>
      <c r="AI120" s="126">
        <v>0</v>
      </c>
      <c r="AJ120" s="131">
        <v>74</v>
      </c>
    </row>
    <row r="121" spans="1:36" x14ac:dyDescent="0.35">
      <c r="A121" s="127" t="s">
        <v>507</v>
      </c>
      <c r="B121" s="127" t="s">
        <v>1369</v>
      </c>
      <c r="C121" s="129">
        <v>200</v>
      </c>
      <c r="D121" s="129">
        <v>24</v>
      </c>
      <c r="E121" s="129">
        <v>5</v>
      </c>
      <c r="F121" s="129">
        <v>2</v>
      </c>
      <c r="G121" s="129">
        <v>231</v>
      </c>
      <c r="H121" s="129">
        <v>6</v>
      </c>
      <c r="I121" s="129">
        <v>1</v>
      </c>
      <c r="J121" s="129">
        <v>0</v>
      </c>
      <c r="K121" s="129">
        <v>0</v>
      </c>
      <c r="L121" s="129">
        <v>7</v>
      </c>
      <c r="M121" s="129">
        <v>2</v>
      </c>
      <c r="N121" s="129">
        <v>0</v>
      </c>
      <c r="O121" s="129">
        <v>0</v>
      </c>
      <c r="P121" s="129">
        <v>0</v>
      </c>
      <c r="Q121" s="129">
        <v>2</v>
      </c>
      <c r="R121" s="129">
        <v>6</v>
      </c>
      <c r="S121" s="129">
        <v>0</v>
      </c>
      <c r="T121" s="129">
        <v>0</v>
      </c>
      <c r="U121" s="129">
        <v>0</v>
      </c>
      <c r="V121" s="129">
        <v>6</v>
      </c>
      <c r="W121" s="129">
        <v>31</v>
      </c>
      <c r="X121" s="129">
        <v>1</v>
      </c>
      <c r="Y121" s="129">
        <v>0</v>
      </c>
      <c r="Z121" s="129">
        <v>0</v>
      </c>
      <c r="AA121" s="129">
        <v>32</v>
      </c>
      <c r="AB121" s="129">
        <v>2</v>
      </c>
      <c r="AC121" s="129">
        <v>0</v>
      </c>
      <c r="AD121" s="129">
        <v>0</v>
      </c>
      <c r="AE121" s="129">
        <v>0</v>
      </c>
      <c r="AF121" s="129">
        <v>2</v>
      </c>
      <c r="AG121" s="129">
        <v>0</v>
      </c>
      <c r="AH121" s="129">
        <v>0</v>
      </c>
      <c r="AI121" s="126">
        <v>0</v>
      </c>
      <c r="AJ121" s="131">
        <v>280</v>
      </c>
    </row>
    <row r="122" spans="1:36" x14ac:dyDescent="0.35">
      <c r="A122" s="127" t="s">
        <v>508</v>
      </c>
      <c r="B122" s="127" t="s">
        <v>509</v>
      </c>
      <c r="C122" s="129">
        <v>38</v>
      </c>
      <c r="D122" s="129">
        <v>5</v>
      </c>
      <c r="E122" s="129">
        <v>2</v>
      </c>
      <c r="F122" s="129">
        <v>3</v>
      </c>
      <c r="G122" s="129">
        <v>48</v>
      </c>
      <c r="H122" s="129">
        <v>3</v>
      </c>
      <c r="I122" s="129">
        <v>0</v>
      </c>
      <c r="J122" s="129">
        <v>0</v>
      </c>
      <c r="K122" s="129">
        <v>0</v>
      </c>
      <c r="L122" s="129">
        <v>3</v>
      </c>
      <c r="M122" s="129">
        <v>0</v>
      </c>
      <c r="N122" s="129">
        <v>0</v>
      </c>
      <c r="O122" s="129">
        <v>0</v>
      </c>
      <c r="P122" s="129">
        <v>0</v>
      </c>
      <c r="Q122" s="129">
        <v>0</v>
      </c>
      <c r="R122" s="129">
        <v>0</v>
      </c>
      <c r="S122" s="129">
        <v>0</v>
      </c>
      <c r="T122" s="129">
        <v>0</v>
      </c>
      <c r="U122" s="129">
        <v>0</v>
      </c>
      <c r="V122" s="129">
        <v>0</v>
      </c>
      <c r="W122" s="129">
        <v>5</v>
      </c>
      <c r="X122" s="129">
        <v>0</v>
      </c>
      <c r="Y122" s="129">
        <v>1</v>
      </c>
      <c r="Z122" s="129">
        <v>1</v>
      </c>
      <c r="AA122" s="129">
        <v>7</v>
      </c>
      <c r="AB122" s="129">
        <v>0</v>
      </c>
      <c r="AC122" s="129">
        <v>0</v>
      </c>
      <c r="AD122" s="129">
        <v>0</v>
      </c>
      <c r="AE122" s="129">
        <v>0</v>
      </c>
      <c r="AF122" s="129">
        <v>0</v>
      </c>
      <c r="AG122" s="129">
        <v>0</v>
      </c>
      <c r="AH122" s="129">
        <v>0</v>
      </c>
      <c r="AI122" s="126">
        <v>0</v>
      </c>
      <c r="AJ122" s="131">
        <v>58</v>
      </c>
    </row>
    <row r="123" spans="1:36" x14ac:dyDescent="0.35">
      <c r="A123" s="127" t="s">
        <v>510</v>
      </c>
      <c r="B123" s="127" t="s">
        <v>511</v>
      </c>
      <c r="C123" s="129">
        <v>5</v>
      </c>
      <c r="D123" s="129">
        <v>1</v>
      </c>
      <c r="E123" s="129">
        <v>0</v>
      </c>
      <c r="F123" s="129">
        <v>1</v>
      </c>
      <c r="G123" s="129">
        <v>7</v>
      </c>
      <c r="H123" s="129">
        <v>0</v>
      </c>
      <c r="I123" s="129">
        <v>0</v>
      </c>
      <c r="J123" s="129">
        <v>0</v>
      </c>
      <c r="K123" s="129">
        <v>0</v>
      </c>
      <c r="L123" s="129">
        <v>0</v>
      </c>
      <c r="M123" s="129">
        <v>0</v>
      </c>
      <c r="N123" s="129">
        <v>0</v>
      </c>
      <c r="O123" s="129">
        <v>0</v>
      </c>
      <c r="P123" s="129">
        <v>0</v>
      </c>
      <c r="Q123" s="129">
        <v>0</v>
      </c>
      <c r="R123" s="129">
        <v>0</v>
      </c>
      <c r="S123" s="129">
        <v>0</v>
      </c>
      <c r="T123" s="129">
        <v>0</v>
      </c>
      <c r="U123" s="129">
        <v>0</v>
      </c>
      <c r="V123" s="129">
        <v>0</v>
      </c>
      <c r="W123" s="129">
        <v>4</v>
      </c>
      <c r="X123" s="129">
        <v>0</v>
      </c>
      <c r="Y123" s="129">
        <v>0</v>
      </c>
      <c r="Z123" s="129">
        <v>0</v>
      </c>
      <c r="AA123" s="129">
        <v>4</v>
      </c>
      <c r="AB123" s="129">
        <v>0</v>
      </c>
      <c r="AC123" s="129">
        <v>0</v>
      </c>
      <c r="AD123" s="129">
        <v>0</v>
      </c>
      <c r="AE123" s="129">
        <v>0</v>
      </c>
      <c r="AF123" s="129">
        <v>0</v>
      </c>
      <c r="AG123" s="129">
        <v>0</v>
      </c>
      <c r="AH123" s="129">
        <v>0</v>
      </c>
      <c r="AI123" s="126">
        <v>0</v>
      </c>
      <c r="AJ123" s="131">
        <v>11</v>
      </c>
    </row>
    <row r="124" spans="1:36" x14ac:dyDescent="0.35">
      <c r="A124" s="127" t="s">
        <v>512</v>
      </c>
      <c r="B124" s="127" t="s">
        <v>127</v>
      </c>
      <c r="C124" s="129">
        <v>75</v>
      </c>
      <c r="D124" s="129">
        <v>11</v>
      </c>
      <c r="E124" s="129">
        <v>9</v>
      </c>
      <c r="F124" s="129">
        <v>4</v>
      </c>
      <c r="G124" s="129">
        <v>99</v>
      </c>
      <c r="H124" s="129">
        <v>0</v>
      </c>
      <c r="I124" s="129">
        <v>0</v>
      </c>
      <c r="J124" s="129">
        <v>0</v>
      </c>
      <c r="K124" s="129">
        <v>0</v>
      </c>
      <c r="L124" s="129">
        <v>0</v>
      </c>
      <c r="M124" s="129">
        <v>2</v>
      </c>
      <c r="N124" s="129">
        <v>0</v>
      </c>
      <c r="O124" s="129">
        <v>0</v>
      </c>
      <c r="P124" s="129">
        <v>0</v>
      </c>
      <c r="Q124" s="129">
        <v>2</v>
      </c>
      <c r="R124" s="129">
        <v>0</v>
      </c>
      <c r="S124" s="129">
        <v>0</v>
      </c>
      <c r="T124" s="129">
        <v>0</v>
      </c>
      <c r="U124" s="129">
        <v>0</v>
      </c>
      <c r="V124" s="129">
        <v>0</v>
      </c>
      <c r="W124" s="129">
        <v>6</v>
      </c>
      <c r="X124" s="129">
        <v>0</v>
      </c>
      <c r="Y124" s="129">
        <v>0</v>
      </c>
      <c r="Z124" s="129">
        <v>0</v>
      </c>
      <c r="AA124" s="129">
        <v>6</v>
      </c>
      <c r="AB124" s="129">
        <v>1</v>
      </c>
      <c r="AC124" s="129">
        <v>0</v>
      </c>
      <c r="AD124" s="129">
        <v>0</v>
      </c>
      <c r="AE124" s="129">
        <v>0</v>
      </c>
      <c r="AF124" s="129">
        <v>1</v>
      </c>
      <c r="AG124" s="129">
        <v>0</v>
      </c>
      <c r="AH124" s="129">
        <v>0</v>
      </c>
      <c r="AI124" s="126">
        <v>0</v>
      </c>
      <c r="AJ124" s="131">
        <v>108</v>
      </c>
    </row>
    <row r="125" spans="1:36" x14ac:dyDescent="0.35">
      <c r="A125" s="127" t="s">
        <v>513</v>
      </c>
      <c r="B125" s="127" t="s">
        <v>514</v>
      </c>
      <c r="C125" s="129">
        <v>0</v>
      </c>
      <c r="D125" s="129">
        <v>0</v>
      </c>
      <c r="E125" s="129">
        <v>0</v>
      </c>
      <c r="F125" s="129">
        <v>0</v>
      </c>
      <c r="G125" s="129">
        <v>0</v>
      </c>
      <c r="H125" s="129">
        <v>0</v>
      </c>
      <c r="I125" s="129">
        <v>0</v>
      </c>
      <c r="J125" s="129">
        <v>0</v>
      </c>
      <c r="K125" s="129">
        <v>0</v>
      </c>
      <c r="L125" s="129">
        <v>0</v>
      </c>
      <c r="M125" s="129">
        <v>0</v>
      </c>
      <c r="N125" s="129">
        <v>0</v>
      </c>
      <c r="O125" s="129">
        <v>0</v>
      </c>
      <c r="P125" s="129">
        <v>0</v>
      </c>
      <c r="Q125" s="129">
        <v>0</v>
      </c>
      <c r="R125" s="129">
        <v>1</v>
      </c>
      <c r="S125" s="129">
        <v>0</v>
      </c>
      <c r="T125" s="129">
        <v>0</v>
      </c>
      <c r="U125" s="129">
        <v>0</v>
      </c>
      <c r="V125" s="129">
        <v>1</v>
      </c>
      <c r="W125" s="129">
        <v>0</v>
      </c>
      <c r="X125" s="129">
        <v>0</v>
      </c>
      <c r="Y125" s="129">
        <v>0</v>
      </c>
      <c r="Z125" s="129">
        <v>0</v>
      </c>
      <c r="AA125" s="129">
        <v>0</v>
      </c>
      <c r="AB125" s="129">
        <v>0</v>
      </c>
      <c r="AC125" s="129">
        <v>0</v>
      </c>
      <c r="AD125" s="129">
        <v>0</v>
      </c>
      <c r="AE125" s="129">
        <v>0</v>
      </c>
      <c r="AF125" s="129">
        <v>0</v>
      </c>
      <c r="AG125" s="129">
        <v>0</v>
      </c>
      <c r="AH125" s="129">
        <v>0</v>
      </c>
      <c r="AI125" s="126">
        <v>0</v>
      </c>
      <c r="AJ125" s="131">
        <v>1</v>
      </c>
    </row>
    <row r="126" spans="1:36" x14ac:dyDescent="0.35">
      <c r="A126" s="127" t="s">
        <v>515</v>
      </c>
      <c r="B126" s="127" t="s">
        <v>516</v>
      </c>
      <c r="C126" s="129">
        <v>7</v>
      </c>
      <c r="D126" s="129">
        <v>2</v>
      </c>
      <c r="E126" s="129">
        <v>2</v>
      </c>
      <c r="F126" s="129">
        <v>0</v>
      </c>
      <c r="G126" s="129">
        <v>11</v>
      </c>
      <c r="H126" s="129">
        <v>0</v>
      </c>
      <c r="I126" s="129">
        <v>0</v>
      </c>
      <c r="J126" s="129">
        <v>0</v>
      </c>
      <c r="K126" s="129">
        <v>0</v>
      </c>
      <c r="L126" s="129">
        <v>0</v>
      </c>
      <c r="M126" s="129">
        <v>0</v>
      </c>
      <c r="N126" s="129">
        <v>0</v>
      </c>
      <c r="O126" s="129">
        <v>0</v>
      </c>
      <c r="P126" s="129">
        <v>0</v>
      </c>
      <c r="Q126" s="129">
        <v>0</v>
      </c>
      <c r="R126" s="129">
        <v>0</v>
      </c>
      <c r="S126" s="129">
        <v>0</v>
      </c>
      <c r="T126" s="129">
        <v>0</v>
      </c>
      <c r="U126" s="129">
        <v>0</v>
      </c>
      <c r="V126" s="129">
        <v>0</v>
      </c>
      <c r="W126" s="129">
        <v>2</v>
      </c>
      <c r="X126" s="129">
        <v>0</v>
      </c>
      <c r="Y126" s="129">
        <v>0</v>
      </c>
      <c r="Z126" s="129">
        <v>0</v>
      </c>
      <c r="AA126" s="129">
        <v>2</v>
      </c>
      <c r="AB126" s="129">
        <v>0</v>
      </c>
      <c r="AC126" s="129">
        <v>0</v>
      </c>
      <c r="AD126" s="129">
        <v>0</v>
      </c>
      <c r="AE126" s="129">
        <v>0</v>
      </c>
      <c r="AF126" s="129">
        <v>0</v>
      </c>
      <c r="AG126" s="129">
        <v>0</v>
      </c>
      <c r="AH126" s="129">
        <v>0</v>
      </c>
      <c r="AI126" s="126">
        <v>0</v>
      </c>
      <c r="AJ126" s="131">
        <v>13</v>
      </c>
    </row>
    <row r="127" spans="1:36" x14ac:dyDescent="0.35">
      <c r="A127" s="127" t="s">
        <v>517</v>
      </c>
      <c r="B127" s="127" t="s">
        <v>518</v>
      </c>
      <c r="C127" s="129">
        <v>22</v>
      </c>
      <c r="D127" s="129">
        <v>7</v>
      </c>
      <c r="E127" s="129">
        <v>0</v>
      </c>
      <c r="F127" s="129">
        <v>0</v>
      </c>
      <c r="G127" s="129">
        <v>29</v>
      </c>
      <c r="H127" s="129">
        <v>0</v>
      </c>
      <c r="I127" s="129">
        <v>0</v>
      </c>
      <c r="J127" s="129">
        <v>0</v>
      </c>
      <c r="K127" s="129">
        <v>0</v>
      </c>
      <c r="L127" s="129">
        <v>0</v>
      </c>
      <c r="M127" s="129">
        <v>0</v>
      </c>
      <c r="N127" s="129">
        <v>0</v>
      </c>
      <c r="O127" s="129">
        <v>0</v>
      </c>
      <c r="P127" s="129">
        <v>0</v>
      </c>
      <c r="Q127" s="129">
        <v>0</v>
      </c>
      <c r="R127" s="129">
        <v>0</v>
      </c>
      <c r="S127" s="129">
        <v>0</v>
      </c>
      <c r="T127" s="129">
        <v>0</v>
      </c>
      <c r="U127" s="129">
        <v>0</v>
      </c>
      <c r="V127" s="129">
        <v>0</v>
      </c>
      <c r="W127" s="129">
        <v>3</v>
      </c>
      <c r="X127" s="129">
        <v>3</v>
      </c>
      <c r="Y127" s="129">
        <v>0</v>
      </c>
      <c r="Z127" s="129">
        <v>0</v>
      </c>
      <c r="AA127" s="129">
        <v>6</v>
      </c>
      <c r="AB127" s="129">
        <v>0</v>
      </c>
      <c r="AC127" s="129">
        <v>0</v>
      </c>
      <c r="AD127" s="129">
        <v>0</v>
      </c>
      <c r="AE127" s="129">
        <v>0</v>
      </c>
      <c r="AF127" s="129">
        <v>0</v>
      </c>
      <c r="AG127" s="129">
        <v>0</v>
      </c>
      <c r="AH127" s="129">
        <v>0</v>
      </c>
      <c r="AI127" s="126">
        <v>0</v>
      </c>
      <c r="AJ127" s="131">
        <v>35</v>
      </c>
    </row>
    <row r="128" spans="1:36" x14ac:dyDescent="0.35">
      <c r="A128" s="127" t="s">
        <v>519</v>
      </c>
      <c r="B128" s="127" t="s">
        <v>520</v>
      </c>
      <c r="C128" s="129">
        <v>82</v>
      </c>
      <c r="D128" s="129">
        <v>19</v>
      </c>
      <c r="E128" s="129">
        <v>3</v>
      </c>
      <c r="F128" s="129">
        <v>2</v>
      </c>
      <c r="G128" s="129">
        <v>106</v>
      </c>
      <c r="H128" s="129">
        <v>1</v>
      </c>
      <c r="I128" s="129">
        <v>0</v>
      </c>
      <c r="J128" s="129">
        <v>0</v>
      </c>
      <c r="K128" s="129">
        <v>0</v>
      </c>
      <c r="L128" s="129">
        <v>1</v>
      </c>
      <c r="M128" s="129">
        <v>0</v>
      </c>
      <c r="N128" s="129">
        <v>0</v>
      </c>
      <c r="O128" s="129">
        <v>0</v>
      </c>
      <c r="P128" s="129">
        <v>0</v>
      </c>
      <c r="Q128" s="129">
        <v>0</v>
      </c>
      <c r="R128" s="129">
        <v>1</v>
      </c>
      <c r="S128" s="129">
        <v>0</v>
      </c>
      <c r="T128" s="129">
        <v>0</v>
      </c>
      <c r="U128" s="129">
        <v>0</v>
      </c>
      <c r="V128" s="129">
        <v>1</v>
      </c>
      <c r="W128" s="129">
        <v>22</v>
      </c>
      <c r="X128" s="129">
        <v>6</v>
      </c>
      <c r="Y128" s="129">
        <v>0</v>
      </c>
      <c r="Z128" s="129">
        <v>0</v>
      </c>
      <c r="AA128" s="129">
        <v>28</v>
      </c>
      <c r="AB128" s="129">
        <v>0</v>
      </c>
      <c r="AC128" s="129">
        <v>0</v>
      </c>
      <c r="AD128" s="129">
        <v>0</v>
      </c>
      <c r="AE128" s="129">
        <v>0</v>
      </c>
      <c r="AF128" s="129">
        <v>0</v>
      </c>
      <c r="AG128" s="129">
        <v>0</v>
      </c>
      <c r="AH128" s="129">
        <v>0</v>
      </c>
      <c r="AI128" s="126">
        <v>0</v>
      </c>
      <c r="AJ128" s="131">
        <v>136</v>
      </c>
    </row>
    <row r="129" spans="1:36" x14ac:dyDescent="0.35">
      <c r="A129" s="127" t="s">
        <v>521</v>
      </c>
      <c r="B129" s="127" t="s">
        <v>522</v>
      </c>
      <c r="C129" s="129">
        <v>176</v>
      </c>
      <c r="D129" s="129">
        <v>54</v>
      </c>
      <c r="E129" s="129">
        <v>9</v>
      </c>
      <c r="F129" s="129">
        <v>5</v>
      </c>
      <c r="G129" s="129">
        <v>244</v>
      </c>
      <c r="H129" s="129">
        <v>2</v>
      </c>
      <c r="I129" s="129">
        <v>0</v>
      </c>
      <c r="J129" s="129">
        <v>0</v>
      </c>
      <c r="K129" s="129">
        <v>0</v>
      </c>
      <c r="L129" s="129">
        <v>2</v>
      </c>
      <c r="M129" s="129">
        <v>2</v>
      </c>
      <c r="N129" s="129">
        <v>0</v>
      </c>
      <c r="O129" s="129">
        <v>0</v>
      </c>
      <c r="P129" s="129">
        <v>0</v>
      </c>
      <c r="Q129" s="129">
        <v>2</v>
      </c>
      <c r="R129" s="129">
        <v>0</v>
      </c>
      <c r="S129" s="129">
        <v>0</v>
      </c>
      <c r="T129" s="129">
        <v>0</v>
      </c>
      <c r="U129" s="129">
        <v>0</v>
      </c>
      <c r="V129" s="129">
        <v>0</v>
      </c>
      <c r="W129" s="129">
        <v>30</v>
      </c>
      <c r="X129" s="129">
        <v>8</v>
      </c>
      <c r="Y129" s="129">
        <v>4</v>
      </c>
      <c r="Z129" s="129">
        <v>2</v>
      </c>
      <c r="AA129" s="129">
        <v>44</v>
      </c>
      <c r="AB129" s="129">
        <v>1</v>
      </c>
      <c r="AC129" s="129">
        <v>0</v>
      </c>
      <c r="AD129" s="129">
        <v>0</v>
      </c>
      <c r="AE129" s="129">
        <v>0</v>
      </c>
      <c r="AF129" s="129">
        <v>1</v>
      </c>
      <c r="AG129" s="129">
        <v>0</v>
      </c>
      <c r="AH129" s="129">
        <v>0</v>
      </c>
      <c r="AI129" s="126">
        <v>0</v>
      </c>
      <c r="AJ129" s="131">
        <v>293</v>
      </c>
    </row>
    <row r="130" spans="1:36" x14ac:dyDescent="0.35">
      <c r="A130" s="127" t="s">
        <v>523</v>
      </c>
      <c r="B130" s="127" t="s">
        <v>524</v>
      </c>
      <c r="C130" s="129">
        <v>50</v>
      </c>
      <c r="D130" s="129">
        <v>3</v>
      </c>
      <c r="E130" s="129">
        <v>1</v>
      </c>
      <c r="F130" s="129">
        <v>1</v>
      </c>
      <c r="G130" s="129">
        <v>55</v>
      </c>
      <c r="H130" s="129">
        <v>1</v>
      </c>
      <c r="I130" s="129">
        <v>0</v>
      </c>
      <c r="J130" s="129">
        <v>0</v>
      </c>
      <c r="K130" s="129">
        <v>0</v>
      </c>
      <c r="L130" s="129">
        <v>1</v>
      </c>
      <c r="M130" s="129">
        <v>0</v>
      </c>
      <c r="N130" s="129">
        <v>0</v>
      </c>
      <c r="O130" s="129">
        <v>0</v>
      </c>
      <c r="P130" s="129">
        <v>0</v>
      </c>
      <c r="Q130" s="129">
        <v>0</v>
      </c>
      <c r="R130" s="129">
        <v>0</v>
      </c>
      <c r="S130" s="129">
        <v>0</v>
      </c>
      <c r="T130" s="129">
        <v>0</v>
      </c>
      <c r="U130" s="129">
        <v>0</v>
      </c>
      <c r="V130" s="129">
        <v>0</v>
      </c>
      <c r="W130" s="129">
        <v>3</v>
      </c>
      <c r="X130" s="129">
        <v>1</v>
      </c>
      <c r="Y130" s="129">
        <v>2</v>
      </c>
      <c r="Z130" s="129">
        <v>0</v>
      </c>
      <c r="AA130" s="129">
        <v>6</v>
      </c>
      <c r="AB130" s="129">
        <v>0</v>
      </c>
      <c r="AC130" s="129">
        <v>0</v>
      </c>
      <c r="AD130" s="129">
        <v>0</v>
      </c>
      <c r="AE130" s="129">
        <v>0</v>
      </c>
      <c r="AF130" s="129">
        <v>0</v>
      </c>
      <c r="AG130" s="129">
        <v>0</v>
      </c>
      <c r="AH130" s="129">
        <v>0</v>
      </c>
      <c r="AI130" s="126">
        <v>0</v>
      </c>
      <c r="AJ130" s="131">
        <v>62</v>
      </c>
    </row>
    <row r="131" spans="1:36" x14ac:dyDescent="0.35">
      <c r="A131" s="127" t="s">
        <v>525</v>
      </c>
      <c r="B131" s="127" t="s">
        <v>526</v>
      </c>
      <c r="C131" s="129">
        <v>2</v>
      </c>
      <c r="D131" s="129">
        <v>0</v>
      </c>
      <c r="E131" s="129">
        <v>0</v>
      </c>
      <c r="F131" s="129">
        <v>0</v>
      </c>
      <c r="G131" s="129">
        <v>2</v>
      </c>
      <c r="H131" s="129">
        <v>0</v>
      </c>
      <c r="I131" s="129">
        <v>0</v>
      </c>
      <c r="J131" s="129">
        <v>0</v>
      </c>
      <c r="K131" s="129">
        <v>0</v>
      </c>
      <c r="L131" s="129">
        <v>0</v>
      </c>
      <c r="M131" s="129">
        <v>1</v>
      </c>
      <c r="N131" s="129">
        <v>0</v>
      </c>
      <c r="O131" s="129">
        <v>0</v>
      </c>
      <c r="P131" s="129">
        <v>1</v>
      </c>
      <c r="Q131" s="129">
        <v>2</v>
      </c>
      <c r="R131" s="129">
        <v>0</v>
      </c>
      <c r="S131" s="129">
        <v>0</v>
      </c>
      <c r="T131" s="129">
        <v>0</v>
      </c>
      <c r="U131" s="129">
        <v>0</v>
      </c>
      <c r="V131" s="129">
        <v>0</v>
      </c>
      <c r="W131" s="129">
        <v>2</v>
      </c>
      <c r="X131" s="129">
        <v>1</v>
      </c>
      <c r="Y131" s="129">
        <v>0</v>
      </c>
      <c r="Z131" s="129">
        <v>0</v>
      </c>
      <c r="AA131" s="129">
        <v>3</v>
      </c>
      <c r="AB131" s="129">
        <v>1</v>
      </c>
      <c r="AC131" s="129">
        <v>0</v>
      </c>
      <c r="AD131" s="129">
        <v>0</v>
      </c>
      <c r="AE131" s="129">
        <v>0</v>
      </c>
      <c r="AF131" s="129">
        <v>1</v>
      </c>
      <c r="AG131" s="129">
        <v>0</v>
      </c>
      <c r="AH131" s="129">
        <v>0</v>
      </c>
      <c r="AI131" s="126">
        <v>0</v>
      </c>
      <c r="AJ131" s="131">
        <v>8</v>
      </c>
    </row>
    <row r="132" spans="1:36" x14ac:dyDescent="0.35">
      <c r="A132" s="127" t="s">
        <v>527</v>
      </c>
      <c r="B132" s="127" t="s">
        <v>528</v>
      </c>
      <c r="C132" s="129">
        <v>10</v>
      </c>
      <c r="D132" s="129">
        <v>7</v>
      </c>
      <c r="E132" s="129">
        <v>6</v>
      </c>
      <c r="F132" s="129">
        <v>1</v>
      </c>
      <c r="G132" s="129">
        <v>24</v>
      </c>
      <c r="H132" s="129">
        <v>2</v>
      </c>
      <c r="I132" s="129">
        <v>4</v>
      </c>
      <c r="J132" s="129">
        <v>0</v>
      </c>
      <c r="K132" s="129">
        <v>1</v>
      </c>
      <c r="L132" s="129">
        <v>7</v>
      </c>
      <c r="M132" s="129">
        <v>1</v>
      </c>
      <c r="N132" s="129">
        <v>0</v>
      </c>
      <c r="O132" s="129">
        <v>0</v>
      </c>
      <c r="P132" s="129">
        <v>0</v>
      </c>
      <c r="Q132" s="129">
        <v>1</v>
      </c>
      <c r="R132" s="129">
        <v>3</v>
      </c>
      <c r="S132" s="129">
        <v>0</v>
      </c>
      <c r="T132" s="129">
        <v>0</v>
      </c>
      <c r="U132" s="129">
        <v>0</v>
      </c>
      <c r="V132" s="129">
        <v>3</v>
      </c>
      <c r="W132" s="129">
        <v>4</v>
      </c>
      <c r="X132" s="129">
        <v>0</v>
      </c>
      <c r="Y132" s="129">
        <v>0</v>
      </c>
      <c r="Z132" s="129">
        <v>0</v>
      </c>
      <c r="AA132" s="129">
        <v>4</v>
      </c>
      <c r="AB132" s="129">
        <v>1</v>
      </c>
      <c r="AC132" s="129">
        <v>0</v>
      </c>
      <c r="AD132" s="129">
        <v>0</v>
      </c>
      <c r="AE132" s="129">
        <v>0</v>
      </c>
      <c r="AF132" s="129">
        <v>1</v>
      </c>
      <c r="AG132" s="129">
        <v>0</v>
      </c>
      <c r="AH132" s="129">
        <v>0</v>
      </c>
      <c r="AI132" s="126">
        <v>0</v>
      </c>
      <c r="AJ132" s="131">
        <v>40</v>
      </c>
    </row>
    <row r="133" spans="1:36" x14ac:dyDescent="0.35">
      <c r="A133" s="127" t="s">
        <v>529</v>
      </c>
      <c r="B133" s="127" t="s">
        <v>530</v>
      </c>
      <c r="C133" s="129">
        <v>8</v>
      </c>
      <c r="D133" s="129">
        <v>1</v>
      </c>
      <c r="E133" s="129">
        <v>0</v>
      </c>
      <c r="F133" s="129">
        <v>0</v>
      </c>
      <c r="G133" s="129">
        <v>9</v>
      </c>
      <c r="H133" s="129">
        <v>0</v>
      </c>
      <c r="I133" s="129">
        <v>0</v>
      </c>
      <c r="J133" s="129">
        <v>0</v>
      </c>
      <c r="K133" s="129">
        <v>0</v>
      </c>
      <c r="L133" s="129">
        <v>0</v>
      </c>
      <c r="M133" s="129">
        <v>0</v>
      </c>
      <c r="N133" s="129">
        <v>0</v>
      </c>
      <c r="O133" s="129">
        <v>0</v>
      </c>
      <c r="P133" s="129">
        <v>0</v>
      </c>
      <c r="Q133" s="129">
        <v>0</v>
      </c>
      <c r="R133" s="129">
        <v>0</v>
      </c>
      <c r="S133" s="129">
        <v>0</v>
      </c>
      <c r="T133" s="129">
        <v>0</v>
      </c>
      <c r="U133" s="129">
        <v>0</v>
      </c>
      <c r="V133" s="129">
        <v>0</v>
      </c>
      <c r="W133" s="129">
        <v>2</v>
      </c>
      <c r="X133" s="129">
        <v>0</v>
      </c>
      <c r="Y133" s="129">
        <v>0</v>
      </c>
      <c r="Z133" s="129">
        <v>0</v>
      </c>
      <c r="AA133" s="129">
        <v>2</v>
      </c>
      <c r="AB133" s="129">
        <v>0</v>
      </c>
      <c r="AC133" s="129">
        <v>0</v>
      </c>
      <c r="AD133" s="129">
        <v>0</v>
      </c>
      <c r="AE133" s="129">
        <v>0</v>
      </c>
      <c r="AF133" s="129">
        <v>0</v>
      </c>
      <c r="AG133" s="129">
        <v>0</v>
      </c>
      <c r="AH133" s="129">
        <v>0</v>
      </c>
      <c r="AI133" s="126">
        <v>0</v>
      </c>
      <c r="AJ133" s="131">
        <v>11</v>
      </c>
    </row>
    <row r="134" spans="1:36" x14ac:dyDescent="0.35">
      <c r="A134" s="127" t="s">
        <v>531</v>
      </c>
      <c r="B134" s="127" t="s">
        <v>532</v>
      </c>
      <c r="C134" s="129">
        <v>10</v>
      </c>
      <c r="D134" s="129">
        <v>0</v>
      </c>
      <c r="E134" s="129">
        <v>1</v>
      </c>
      <c r="F134" s="129">
        <v>2</v>
      </c>
      <c r="G134" s="129">
        <v>13</v>
      </c>
      <c r="H134" s="129">
        <v>0</v>
      </c>
      <c r="I134" s="129">
        <v>0</v>
      </c>
      <c r="J134" s="129">
        <v>0</v>
      </c>
      <c r="K134" s="129">
        <v>0</v>
      </c>
      <c r="L134" s="129">
        <v>0</v>
      </c>
      <c r="M134" s="129">
        <v>0</v>
      </c>
      <c r="N134" s="129">
        <v>0</v>
      </c>
      <c r="O134" s="129">
        <v>0</v>
      </c>
      <c r="P134" s="129">
        <v>0</v>
      </c>
      <c r="Q134" s="129">
        <v>0</v>
      </c>
      <c r="R134" s="129">
        <v>0</v>
      </c>
      <c r="S134" s="129">
        <v>0</v>
      </c>
      <c r="T134" s="129">
        <v>0</v>
      </c>
      <c r="U134" s="129">
        <v>0</v>
      </c>
      <c r="V134" s="129">
        <v>0</v>
      </c>
      <c r="W134" s="129">
        <v>4</v>
      </c>
      <c r="X134" s="129">
        <v>1</v>
      </c>
      <c r="Y134" s="129">
        <v>0</v>
      </c>
      <c r="Z134" s="129">
        <v>0</v>
      </c>
      <c r="AA134" s="129">
        <v>5</v>
      </c>
      <c r="AB134" s="129">
        <v>0</v>
      </c>
      <c r="AC134" s="129">
        <v>0</v>
      </c>
      <c r="AD134" s="129">
        <v>0</v>
      </c>
      <c r="AE134" s="129">
        <v>0</v>
      </c>
      <c r="AF134" s="129">
        <v>0</v>
      </c>
      <c r="AG134" s="129">
        <v>0</v>
      </c>
      <c r="AH134" s="129">
        <v>0</v>
      </c>
      <c r="AI134" s="126">
        <v>0</v>
      </c>
      <c r="AJ134" s="131">
        <v>18</v>
      </c>
    </row>
    <row r="135" spans="1:36" x14ac:dyDescent="0.35">
      <c r="A135" s="127" t="s">
        <v>533</v>
      </c>
      <c r="B135" s="127" t="s">
        <v>534</v>
      </c>
      <c r="C135" s="129">
        <v>35</v>
      </c>
      <c r="D135" s="129">
        <v>7</v>
      </c>
      <c r="E135" s="129">
        <v>3</v>
      </c>
      <c r="F135" s="129">
        <v>1</v>
      </c>
      <c r="G135" s="129">
        <v>46</v>
      </c>
      <c r="H135" s="129">
        <v>2</v>
      </c>
      <c r="I135" s="129">
        <v>2</v>
      </c>
      <c r="J135" s="129">
        <v>2</v>
      </c>
      <c r="K135" s="129">
        <v>0</v>
      </c>
      <c r="L135" s="129">
        <v>6</v>
      </c>
      <c r="M135" s="129">
        <v>4</v>
      </c>
      <c r="N135" s="129">
        <v>0</v>
      </c>
      <c r="O135" s="129">
        <v>0</v>
      </c>
      <c r="P135" s="129">
        <v>0</v>
      </c>
      <c r="Q135" s="129">
        <v>4</v>
      </c>
      <c r="R135" s="129">
        <v>3</v>
      </c>
      <c r="S135" s="129">
        <v>1</v>
      </c>
      <c r="T135" s="129">
        <v>0</v>
      </c>
      <c r="U135" s="129">
        <v>0</v>
      </c>
      <c r="V135" s="129">
        <v>4</v>
      </c>
      <c r="W135" s="129">
        <v>20</v>
      </c>
      <c r="X135" s="129">
        <v>3</v>
      </c>
      <c r="Y135" s="129">
        <v>2</v>
      </c>
      <c r="Z135" s="129">
        <v>0</v>
      </c>
      <c r="AA135" s="129">
        <v>25</v>
      </c>
      <c r="AB135" s="129">
        <v>7</v>
      </c>
      <c r="AC135" s="129">
        <v>0</v>
      </c>
      <c r="AD135" s="129">
        <v>0</v>
      </c>
      <c r="AE135" s="129">
        <v>0</v>
      </c>
      <c r="AF135" s="129">
        <v>7</v>
      </c>
      <c r="AG135" s="129">
        <v>0</v>
      </c>
      <c r="AH135" s="129">
        <v>0</v>
      </c>
      <c r="AI135" s="126">
        <v>0</v>
      </c>
      <c r="AJ135" s="131">
        <v>92</v>
      </c>
    </row>
    <row r="136" spans="1:36" x14ac:dyDescent="0.35">
      <c r="A136" s="127" t="s">
        <v>535</v>
      </c>
      <c r="B136" s="127" t="s">
        <v>536</v>
      </c>
      <c r="C136" s="129">
        <v>36</v>
      </c>
      <c r="D136" s="129">
        <v>2</v>
      </c>
      <c r="E136" s="129">
        <v>1</v>
      </c>
      <c r="F136" s="129">
        <v>0</v>
      </c>
      <c r="G136" s="129">
        <v>39</v>
      </c>
      <c r="H136" s="129">
        <v>3</v>
      </c>
      <c r="I136" s="129">
        <v>0</v>
      </c>
      <c r="J136" s="129">
        <v>0</v>
      </c>
      <c r="K136" s="129">
        <v>0</v>
      </c>
      <c r="L136" s="129">
        <v>3</v>
      </c>
      <c r="M136" s="129">
        <v>0</v>
      </c>
      <c r="N136" s="129">
        <v>0</v>
      </c>
      <c r="O136" s="129">
        <v>0</v>
      </c>
      <c r="P136" s="129">
        <v>0</v>
      </c>
      <c r="Q136" s="129">
        <v>0</v>
      </c>
      <c r="R136" s="129">
        <v>2</v>
      </c>
      <c r="S136" s="129">
        <v>0</v>
      </c>
      <c r="T136" s="129">
        <v>0</v>
      </c>
      <c r="U136" s="129">
        <v>0</v>
      </c>
      <c r="V136" s="129">
        <v>2</v>
      </c>
      <c r="W136" s="129">
        <v>3</v>
      </c>
      <c r="X136" s="129">
        <v>1</v>
      </c>
      <c r="Y136" s="129">
        <v>0</v>
      </c>
      <c r="Z136" s="129">
        <v>0</v>
      </c>
      <c r="AA136" s="129">
        <v>4</v>
      </c>
      <c r="AB136" s="129">
        <v>1</v>
      </c>
      <c r="AC136" s="129">
        <v>0</v>
      </c>
      <c r="AD136" s="129">
        <v>0</v>
      </c>
      <c r="AE136" s="129">
        <v>0</v>
      </c>
      <c r="AF136" s="129">
        <v>1</v>
      </c>
      <c r="AG136" s="129">
        <v>0</v>
      </c>
      <c r="AH136" s="129">
        <v>0</v>
      </c>
      <c r="AI136" s="126">
        <v>0</v>
      </c>
      <c r="AJ136" s="131">
        <v>49</v>
      </c>
    </row>
    <row r="137" spans="1:36" x14ac:dyDescent="0.35">
      <c r="A137" s="127" t="s">
        <v>537</v>
      </c>
      <c r="B137" s="127" t="s">
        <v>538</v>
      </c>
      <c r="C137" s="129">
        <v>9</v>
      </c>
      <c r="D137" s="129">
        <v>2</v>
      </c>
      <c r="E137" s="129">
        <v>1</v>
      </c>
      <c r="F137" s="129">
        <v>0</v>
      </c>
      <c r="G137" s="129">
        <v>12</v>
      </c>
      <c r="H137" s="129">
        <v>2</v>
      </c>
      <c r="I137" s="129">
        <v>1</v>
      </c>
      <c r="J137" s="129">
        <v>0</v>
      </c>
      <c r="K137" s="129">
        <v>0</v>
      </c>
      <c r="L137" s="129">
        <v>3</v>
      </c>
      <c r="M137" s="129">
        <v>0</v>
      </c>
      <c r="N137" s="129">
        <v>0</v>
      </c>
      <c r="O137" s="129">
        <v>0</v>
      </c>
      <c r="P137" s="129">
        <v>0</v>
      </c>
      <c r="Q137" s="129">
        <v>0</v>
      </c>
      <c r="R137" s="129">
        <v>0</v>
      </c>
      <c r="S137" s="129">
        <v>0</v>
      </c>
      <c r="T137" s="129">
        <v>0</v>
      </c>
      <c r="U137" s="129">
        <v>0</v>
      </c>
      <c r="V137" s="129">
        <v>0</v>
      </c>
      <c r="W137" s="129">
        <v>3</v>
      </c>
      <c r="X137" s="129">
        <v>0</v>
      </c>
      <c r="Y137" s="129">
        <v>0</v>
      </c>
      <c r="Z137" s="129">
        <v>3</v>
      </c>
      <c r="AA137" s="129">
        <v>6</v>
      </c>
      <c r="AB137" s="129">
        <v>0</v>
      </c>
      <c r="AC137" s="129">
        <v>0</v>
      </c>
      <c r="AD137" s="129">
        <v>0</v>
      </c>
      <c r="AE137" s="129">
        <v>0</v>
      </c>
      <c r="AF137" s="129">
        <v>0</v>
      </c>
      <c r="AG137" s="129">
        <v>0</v>
      </c>
      <c r="AH137" s="129">
        <v>0</v>
      </c>
      <c r="AI137" s="126">
        <v>0</v>
      </c>
      <c r="AJ137" s="131">
        <v>21</v>
      </c>
    </row>
    <row r="138" spans="1:36" x14ac:dyDescent="0.35">
      <c r="A138" s="127" t="s">
        <v>539</v>
      </c>
      <c r="B138" s="127" t="s">
        <v>540</v>
      </c>
      <c r="C138" s="129">
        <v>42</v>
      </c>
      <c r="D138" s="129">
        <v>5</v>
      </c>
      <c r="E138" s="129">
        <v>3</v>
      </c>
      <c r="F138" s="129">
        <v>0</v>
      </c>
      <c r="G138" s="129">
        <v>50</v>
      </c>
      <c r="H138" s="129">
        <v>4</v>
      </c>
      <c r="I138" s="129">
        <v>0</v>
      </c>
      <c r="J138" s="129">
        <v>0</v>
      </c>
      <c r="K138" s="129">
        <v>1</v>
      </c>
      <c r="L138" s="129">
        <v>5</v>
      </c>
      <c r="M138" s="129">
        <v>3</v>
      </c>
      <c r="N138" s="129">
        <v>0</v>
      </c>
      <c r="O138" s="129">
        <v>0</v>
      </c>
      <c r="P138" s="129">
        <v>0</v>
      </c>
      <c r="Q138" s="129">
        <v>3</v>
      </c>
      <c r="R138" s="129">
        <v>2</v>
      </c>
      <c r="S138" s="129">
        <v>0</v>
      </c>
      <c r="T138" s="129">
        <v>0</v>
      </c>
      <c r="U138" s="129">
        <v>0</v>
      </c>
      <c r="V138" s="129">
        <v>2</v>
      </c>
      <c r="W138" s="129">
        <v>8</v>
      </c>
      <c r="X138" s="129">
        <v>1</v>
      </c>
      <c r="Y138" s="129">
        <v>0</v>
      </c>
      <c r="Z138" s="129">
        <v>0</v>
      </c>
      <c r="AA138" s="129">
        <v>9</v>
      </c>
      <c r="AB138" s="129">
        <v>4</v>
      </c>
      <c r="AC138" s="129">
        <v>0</v>
      </c>
      <c r="AD138" s="129">
        <v>0</v>
      </c>
      <c r="AE138" s="129">
        <v>0</v>
      </c>
      <c r="AF138" s="129">
        <v>4</v>
      </c>
      <c r="AG138" s="129">
        <v>0</v>
      </c>
      <c r="AH138" s="129">
        <v>0</v>
      </c>
      <c r="AI138" s="126">
        <v>0</v>
      </c>
      <c r="AJ138" s="131">
        <v>73</v>
      </c>
    </row>
    <row r="139" spans="1:36" x14ac:dyDescent="0.35">
      <c r="A139" s="127" t="s">
        <v>541</v>
      </c>
      <c r="B139" s="127" t="s">
        <v>542</v>
      </c>
      <c r="C139" s="129">
        <v>14</v>
      </c>
      <c r="D139" s="129">
        <v>0</v>
      </c>
      <c r="E139" s="129">
        <v>1</v>
      </c>
      <c r="F139" s="129">
        <v>1</v>
      </c>
      <c r="G139" s="129">
        <v>16</v>
      </c>
      <c r="H139" s="129">
        <v>0</v>
      </c>
      <c r="I139" s="129">
        <v>0</v>
      </c>
      <c r="J139" s="129">
        <v>0</v>
      </c>
      <c r="K139" s="129">
        <v>0</v>
      </c>
      <c r="L139" s="129">
        <v>0</v>
      </c>
      <c r="M139" s="129">
        <v>1</v>
      </c>
      <c r="N139" s="129">
        <v>0</v>
      </c>
      <c r="O139" s="129">
        <v>0</v>
      </c>
      <c r="P139" s="129">
        <v>0</v>
      </c>
      <c r="Q139" s="129">
        <v>1</v>
      </c>
      <c r="R139" s="129">
        <v>0</v>
      </c>
      <c r="S139" s="129">
        <v>0</v>
      </c>
      <c r="T139" s="129">
        <v>0</v>
      </c>
      <c r="U139" s="129">
        <v>0</v>
      </c>
      <c r="V139" s="129">
        <v>0</v>
      </c>
      <c r="W139" s="129">
        <v>1</v>
      </c>
      <c r="X139" s="129">
        <v>0</v>
      </c>
      <c r="Y139" s="129">
        <v>0</v>
      </c>
      <c r="Z139" s="129">
        <v>0</v>
      </c>
      <c r="AA139" s="129">
        <v>1</v>
      </c>
      <c r="AB139" s="129">
        <v>0</v>
      </c>
      <c r="AC139" s="129">
        <v>0</v>
      </c>
      <c r="AD139" s="129">
        <v>0</v>
      </c>
      <c r="AE139" s="129">
        <v>0</v>
      </c>
      <c r="AF139" s="129">
        <v>0</v>
      </c>
      <c r="AG139" s="129">
        <v>0</v>
      </c>
      <c r="AH139" s="129">
        <v>0</v>
      </c>
      <c r="AI139" s="126">
        <v>0</v>
      </c>
      <c r="AJ139" s="131">
        <v>18</v>
      </c>
    </row>
    <row r="140" spans="1:36" x14ac:dyDescent="0.35">
      <c r="A140" s="127" t="s">
        <v>543</v>
      </c>
      <c r="B140" s="127" t="s">
        <v>544</v>
      </c>
      <c r="C140" s="129">
        <v>5</v>
      </c>
      <c r="D140" s="129">
        <v>2</v>
      </c>
      <c r="E140" s="129">
        <v>1</v>
      </c>
      <c r="F140" s="129">
        <v>0</v>
      </c>
      <c r="G140" s="129">
        <v>8</v>
      </c>
      <c r="H140" s="129">
        <v>0</v>
      </c>
      <c r="I140" s="129">
        <v>0</v>
      </c>
      <c r="J140" s="129">
        <v>0</v>
      </c>
      <c r="K140" s="129">
        <v>0</v>
      </c>
      <c r="L140" s="129">
        <v>0</v>
      </c>
      <c r="M140" s="129">
        <v>0</v>
      </c>
      <c r="N140" s="129">
        <v>0</v>
      </c>
      <c r="O140" s="129">
        <v>0</v>
      </c>
      <c r="P140" s="129">
        <v>0</v>
      </c>
      <c r="Q140" s="129">
        <v>0</v>
      </c>
      <c r="R140" s="129">
        <v>0</v>
      </c>
      <c r="S140" s="129">
        <v>0</v>
      </c>
      <c r="T140" s="129">
        <v>0</v>
      </c>
      <c r="U140" s="129">
        <v>0</v>
      </c>
      <c r="V140" s="129">
        <v>0</v>
      </c>
      <c r="W140" s="129">
        <v>0</v>
      </c>
      <c r="X140" s="129">
        <v>0</v>
      </c>
      <c r="Y140" s="129">
        <v>0</v>
      </c>
      <c r="Z140" s="129">
        <v>0</v>
      </c>
      <c r="AA140" s="129">
        <v>0</v>
      </c>
      <c r="AB140" s="129">
        <v>0</v>
      </c>
      <c r="AC140" s="129">
        <v>0</v>
      </c>
      <c r="AD140" s="129">
        <v>0</v>
      </c>
      <c r="AE140" s="129">
        <v>0</v>
      </c>
      <c r="AF140" s="129">
        <v>0</v>
      </c>
      <c r="AG140" s="129">
        <v>0</v>
      </c>
      <c r="AH140" s="129">
        <v>0</v>
      </c>
      <c r="AI140" s="126">
        <v>0</v>
      </c>
      <c r="AJ140" s="131">
        <v>8</v>
      </c>
    </row>
    <row r="141" spans="1:36" x14ac:dyDescent="0.35">
      <c r="A141" s="127" t="s">
        <v>545</v>
      </c>
      <c r="B141" s="127" t="s">
        <v>546</v>
      </c>
      <c r="C141" s="129">
        <v>10</v>
      </c>
      <c r="D141" s="129">
        <v>3</v>
      </c>
      <c r="E141" s="129">
        <v>1</v>
      </c>
      <c r="F141" s="129">
        <v>0</v>
      </c>
      <c r="G141" s="129">
        <v>14</v>
      </c>
      <c r="H141" s="129">
        <v>0</v>
      </c>
      <c r="I141" s="129">
        <v>0</v>
      </c>
      <c r="J141" s="129">
        <v>0</v>
      </c>
      <c r="K141" s="129">
        <v>0</v>
      </c>
      <c r="L141" s="129">
        <v>0</v>
      </c>
      <c r="M141" s="129">
        <v>0</v>
      </c>
      <c r="N141" s="129">
        <v>0</v>
      </c>
      <c r="O141" s="129">
        <v>0</v>
      </c>
      <c r="P141" s="129">
        <v>0</v>
      </c>
      <c r="Q141" s="129">
        <v>0</v>
      </c>
      <c r="R141" s="129">
        <v>0</v>
      </c>
      <c r="S141" s="129">
        <v>0</v>
      </c>
      <c r="T141" s="129">
        <v>0</v>
      </c>
      <c r="U141" s="129">
        <v>0</v>
      </c>
      <c r="V141" s="129">
        <v>0</v>
      </c>
      <c r="W141" s="129">
        <v>0</v>
      </c>
      <c r="X141" s="129">
        <v>1</v>
      </c>
      <c r="Y141" s="129">
        <v>0</v>
      </c>
      <c r="Z141" s="129">
        <v>0</v>
      </c>
      <c r="AA141" s="129">
        <v>1</v>
      </c>
      <c r="AB141" s="129">
        <v>0</v>
      </c>
      <c r="AC141" s="129">
        <v>0</v>
      </c>
      <c r="AD141" s="129">
        <v>0</v>
      </c>
      <c r="AE141" s="129">
        <v>0</v>
      </c>
      <c r="AF141" s="129">
        <v>0</v>
      </c>
      <c r="AG141" s="129">
        <v>0</v>
      </c>
      <c r="AH141" s="129">
        <v>0</v>
      </c>
      <c r="AI141" s="126">
        <v>0</v>
      </c>
      <c r="AJ141" s="131">
        <v>15</v>
      </c>
    </row>
    <row r="142" spans="1:36" x14ac:dyDescent="0.35">
      <c r="A142" s="127" t="s">
        <v>547</v>
      </c>
      <c r="B142" s="127" t="s">
        <v>1225</v>
      </c>
      <c r="C142" s="129">
        <v>8</v>
      </c>
      <c r="D142" s="129">
        <v>1</v>
      </c>
      <c r="E142" s="129">
        <v>0</v>
      </c>
      <c r="F142" s="129">
        <v>1</v>
      </c>
      <c r="G142" s="129">
        <v>10</v>
      </c>
      <c r="H142" s="129">
        <v>1</v>
      </c>
      <c r="I142" s="129">
        <v>0</v>
      </c>
      <c r="J142" s="129">
        <v>0</v>
      </c>
      <c r="K142" s="129">
        <v>0</v>
      </c>
      <c r="L142" s="129">
        <v>1</v>
      </c>
      <c r="M142" s="129">
        <v>0</v>
      </c>
      <c r="N142" s="129">
        <v>0</v>
      </c>
      <c r="O142" s="129">
        <v>0</v>
      </c>
      <c r="P142" s="129">
        <v>0</v>
      </c>
      <c r="Q142" s="129">
        <v>0</v>
      </c>
      <c r="R142" s="129">
        <v>0</v>
      </c>
      <c r="S142" s="129">
        <v>0</v>
      </c>
      <c r="T142" s="129">
        <v>0</v>
      </c>
      <c r="U142" s="129">
        <v>0</v>
      </c>
      <c r="V142" s="129">
        <v>0</v>
      </c>
      <c r="W142" s="129">
        <v>7</v>
      </c>
      <c r="X142" s="129">
        <v>1</v>
      </c>
      <c r="Y142" s="129">
        <v>1</v>
      </c>
      <c r="Z142" s="129">
        <v>0</v>
      </c>
      <c r="AA142" s="129">
        <v>9</v>
      </c>
      <c r="AB142" s="129">
        <v>0</v>
      </c>
      <c r="AC142" s="129">
        <v>0</v>
      </c>
      <c r="AD142" s="129">
        <v>0</v>
      </c>
      <c r="AE142" s="129">
        <v>0</v>
      </c>
      <c r="AF142" s="129">
        <v>0</v>
      </c>
      <c r="AG142" s="129">
        <v>0</v>
      </c>
      <c r="AH142" s="129">
        <v>0</v>
      </c>
      <c r="AI142" s="126">
        <v>0</v>
      </c>
      <c r="AJ142" s="131">
        <v>20</v>
      </c>
    </row>
    <row r="143" spans="1:36" x14ac:dyDescent="0.35">
      <c r="A143" s="127" t="s">
        <v>548</v>
      </c>
      <c r="B143" s="127" t="s">
        <v>549</v>
      </c>
      <c r="C143" s="129">
        <v>399</v>
      </c>
      <c r="D143" s="129">
        <v>45</v>
      </c>
      <c r="E143" s="129">
        <v>3</v>
      </c>
      <c r="F143" s="129">
        <v>1</v>
      </c>
      <c r="G143" s="129">
        <v>448</v>
      </c>
      <c r="H143" s="129">
        <v>17</v>
      </c>
      <c r="I143" s="129">
        <v>1</v>
      </c>
      <c r="J143" s="129">
        <v>0</v>
      </c>
      <c r="K143" s="129">
        <v>0</v>
      </c>
      <c r="L143" s="129">
        <v>18</v>
      </c>
      <c r="M143" s="129">
        <v>34</v>
      </c>
      <c r="N143" s="129">
        <v>1</v>
      </c>
      <c r="O143" s="129">
        <v>0</v>
      </c>
      <c r="P143" s="129">
        <v>0</v>
      </c>
      <c r="Q143" s="129">
        <v>35</v>
      </c>
      <c r="R143" s="129">
        <v>25</v>
      </c>
      <c r="S143" s="129">
        <v>1</v>
      </c>
      <c r="T143" s="129">
        <v>0</v>
      </c>
      <c r="U143" s="129">
        <v>0</v>
      </c>
      <c r="V143" s="129">
        <v>26</v>
      </c>
      <c r="W143" s="129">
        <v>91</v>
      </c>
      <c r="X143" s="129">
        <v>7</v>
      </c>
      <c r="Y143" s="129">
        <v>3</v>
      </c>
      <c r="Z143" s="129">
        <v>0</v>
      </c>
      <c r="AA143" s="129">
        <v>101</v>
      </c>
      <c r="AB143" s="129">
        <v>7</v>
      </c>
      <c r="AC143" s="129">
        <v>0</v>
      </c>
      <c r="AD143" s="129">
        <v>0</v>
      </c>
      <c r="AE143" s="129">
        <v>0</v>
      </c>
      <c r="AF143" s="129">
        <v>7</v>
      </c>
      <c r="AG143" s="129">
        <v>0</v>
      </c>
      <c r="AH143" s="129">
        <v>0</v>
      </c>
      <c r="AI143" s="126">
        <v>0</v>
      </c>
      <c r="AJ143" s="131">
        <v>635</v>
      </c>
    </row>
    <row r="144" spans="1:36" x14ac:dyDescent="0.35">
      <c r="A144" s="127" t="s">
        <v>550</v>
      </c>
      <c r="B144" s="127" t="s">
        <v>1226</v>
      </c>
      <c r="C144" s="129">
        <v>11</v>
      </c>
      <c r="D144" s="129">
        <v>3</v>
      </c>
      <c r="E144" s="129">
        <v>0</v>
      </c>
      <c r="F144" s="129">
        <v>0</v>
      </c>
      <c r="G144" s="129">
        <v>14</v>
      </c>
      <c r="H144" s="129">
        <v>1</v>
      </c>
      <c r="I144" s="129">
        <v>0</v>
      </c>
      <c r="J144" s="129">
        <v>0</v>
      </c>
      <c r="K144" s="129">
        <v>0</v>
      </c>
      <c r="L144" s="129">
        <v>1</v>
      </c>
      <c r="M144" s="129">
        <v>1</v>
      </c>
      <c r="N144" s="129">
        <v>0</v>
      </c>
      <c r="O144" s="129">
        <v>0</v>
      </c>
      <c r="P144" s="129">
        <v>0</v>
      </c>
      <c r="Q144" s="129">
        <v>1</v>
      </c>
      <c r="R144" s="129">
        <v>0</v>
      </c>
      <c r="S144" s="129">
        <v>0</v>
      </c>
      <c r="T144" s="129">
        <v>0</v>
      </c>
      <c r="U144" s="129">
        <v>0</v>
      </c>
      <c r="V144" s="129">
        <v>0</v>
      </c>
      <c r="W144" s="129">
        <v>1</v>
      </c>
      <c r="X144" s="129">
        <v>0</v>
      </c>
      <c r="Y144" s="129">
        <v>0</v>
      </c>
      <c r="Z144" s="129">
        <v>0</v>
      </c>
      <c r="AA144" s="129">
        <v>1</v>
      </c>
      <c r="AB144" s="129">
        <v>0</v>
      </c>
      <c r="AC144" s="129">
        <v>0</v>
      </c>
      <c r="AD144" s="129">
        <v>0</v>
      </c>
      <c r="AE144" s="129">
        <v>0</v>
      </c>
      <c r="AF144" s="129">
        <v>0</v>
      </c>
      <c r="AG144" s="129">
        <v>0</v>
      </c>
      <c r="AH144" s="129">
        <v>0</v>
      </c>
      <c r="AI144" s="126">
        <v>0</v>
      </c>
      <c r="AJ144" s="131">
        <v>17</v>
      </c>
    </row>
    <row r="145" spans="1:36" x14ac:dyDescent="0.35">
      <c r="A145" s="127" t="s">
        <v>551</v>
      </c>
      <c r="B145" s="127" t="s">
        <v>552</v>
      </c>
      <c r="C145" s="129">
        <v>4</v>
      </c>
      <c r="D145" s="129">
        <v>0</v>
      </c>
      <c r="E145" s="129">
        <v>1</v>
      </c>
      <c r="F145" s="129">
        <v>0</v>
      </c>
      <c r="G145" s="129">
        <v>5</v>
      </c>
      <c r="H145" s="129">
        <v>0</v>
      </c>
      <c r="I145" s="129">
        <v>0</v>
      </c>
      <c r="J145" s="129">
        <v>0</v>
      </c>
      <c r="K145" s="129">
        <v>0</v>
      </c>
      <c r="L145" s="129">
        <v>0</v>
      </c>
      <c r="M145" s="129">
        <v>0</v>
      </c>
      <c r="N145" s="129">
        <v>0</v>
      </c>
      <c r="O145" s="129">
        <v>0</v>
      </c>
      <c r="P145" s="129">
        <v>0</v>
      </c>
      <c r="Q145" s="129">
        <v>0</v>
      </c>
      <c r="R145" s="129">
        <v>0</v>
      </c>
      <c r="S145" s="129">
        <v>0</v>
      </c>
      <c r="T145" s="129">
        <v>0</v>
      </c>
      <c r="U145" s="129">
        <v>0</v>
      </c>
      <c r="V145" s="129">
        <v>0</v>
      </c>
      <c r="W145" s="129">
        <v>1</v>
      </c>
      <c r="X145" s="129">
        <v>0</v>
      </c>
      <c r="Y145" s="129">
        <v>0</v>
      </c>
      <c r="Z145" s="129">
        <v>0</v>
      </c>
      <c r="AA145" s="129">
        <v>1</v>
      </c>
      <c r="AB145" s="129">
        <v>0</v>
      </c>
      <c r="AC145" s="129">
        <v>0</v>
      </c>
      <c r="AD145" s="129">
        <v>0</v>
      </c>
      <c r="AE145" s="129">
        <v>0</v>
      </c>
      <c r="AF145" s="129">
        <v>0</v>
      </c>
      <c r="AG145" s="129">
        <v>0</v>
      </c>
      <c r="AH145" s="129">
        <v>0</v>
      </c>
      <c r="AI145" s="126">
        <v>0</v>
      </c>
      <c r="AJ145" s="131">
        <v>6</v>
      </c>
    </row>
    <row r="146" spans="1:36" x14ac:dyDescent="0.35">
      <c r="A146" s="127" t="s">
        <v>1394</v>
      </c>
      <c r="B146" s="127" t="s">
        <v>1395</v>
      </c>
      <c r="C146" s="129">
        <v>0</v>
      </c>
      <c r="D146" s="129">
        <v>0</v>
      </c>
      <c r="E146" s="129">
        <v>0</v>
      </c>
      <c r="F146" s="129">
        <v>0</v>
      </c>
      <c r="G146" s="129">
        <v>0</v>
      </c>
      <c r="H146" s="129">
        <v>0</v>
      </c>
      <c r="I146" s="129">
        <v>0</v>
      </c>
      <c r="J146" s="129">
        <v>0</v>
      </c>
      <c r="K146" s="129">
        <v>0</v>
      </c>
      <c r="L146" s="129">
        <v>0</v>
      </c>
      <c r="M146" s="129">
        <v>0</v>
      </c>
      <c r="N146" s="129">
        <v>0</v>
      </c>
      <c r="O146" s="129">
        <v>0</v>
      </c>
      <c r="P146" s="129">
        <v>0</v>
      </c>
      <c r="Q146" s="129">
        <v>0</v>
      </c>
      <c r="R146" s="129">
        <v>0</v>
      </c>
      <c r="S146" s="129">
        <v>0</v>
      </c>
      <c r="T146" s="129">
        <v>0</v>
      </c>
      <c r="U146" s="129">
        <v>0</v>
      </c>
      <c r="V146" s="129">
        <v>0</v>
      </c>
      <c r="W146" s="129">
        <v>0</v>
      </c>
      <c r="X146" s="129">
        <v>0</v>
      </c>
      <c r="Y146" s="129">
        <v>0</v>
      </c>
      <c r="Z146" s="129">
        <v>0</v>
      </c>
      <c r="AA146" s="129">
        <v>0</v>
      </c>
      <c r="AB146" s="129">
        <v>0</v>
      </c>
      <c r="AC146" s="129">
        <v>0</v>
      </c>
      <c r="AD146" s="129">
        <v>0</v>
      </c>
      <c r="AE146" s="129">
        <v>0</v>
      </c>
      <c r="AF146" s="129">
        <v>0</v>
      </c>
      <c r="AG146" s="129">
        <v>0</v>
      </c>
      <c r="AH146" s="129">
        <v>0</v>
      </c>
      <c r="AI146" s="126">
        <v>0</v>
      </c>
      <c r="AJ146" s="131">
        <v>0</v>
      </c>
    </row>
    <row r="147" spans="1:36" x14ac:dyDescent="0.35">
      <c r="A147" s="127" t="s">
        <v>553</v>
      </c>
      <c r="B147" s="127" t="s">
        <v>1370</v>
      </c>
      <c r="C147" s="129">
        <v>21</v>
      </c>
      <c r="D147" s="129">
        <v>5</v>
      </c>
      <c r="E147" s="129">
        <v>0</v>
      </c>
      <c r="F147" s="129">
        <v>2</v>
      </c>
      <c r="G147" s="129">
        <v>28</v>
      </c>
      <c r="H147" s="129">
        <v>15</v>
      </c>
      <c r="I147" s="129">
        <v>0</v>
      </c>
      <c r="J147" s="129">
        <v>0</v>
      </c>
      <c r="K147" s="129">
        <v>0</v>
      </c>
      <c r="L147" s="129">
        <v>15</v>
      </c>
      <c r="M147" s="129">
        <v>1</v>
      </c>
      <c r="N147" s="129">
        <v>0</v>
      </c>
      <c r="O147" s="129">
        <v>0</v>
      </c>
      <c r="P147" s="129">
        <v>0</v>
      </c>
      <c r="Q147" s="129">
        <v>1</v>
      </c>
      <c r="R147" s="129">
        <v>0</v>
      </c>
      <c r="S147" s="129">
        <v>0</v>
      </c>
      <c r="T147" s="129">
        <v>0</v>
      </c>
      <c r="U147" s="129">
        <v>0</v>
      </c>
      <c r="V147" s="129">
        <v>0</v>
      </c>
      <c r="W147" s="129">
        <v>3</v>
      </c>
      <c r="X147" s="129">
        <v>0</v>
      </c>
      <c r="Y147" s="129">
        <v>0</v>
      </c>
      <c r="Z147" s="129">
        <v>0</v>
      </c>
      <c r="AA147" s="129">
        <v>3</v>
      </c>
      <c r="AB147" s="129">
        <v>1</v>
      </c>
      <c r="AC147" s="129">
        <v>0</v>
      </c>
      <c r="AD147" s="129">
        <v>0</v>
      </c>
      <c r="AE147" s="129">
        <v>0</v>
      </c>
      <c r="AF147" s="129">
        <v>1</v>
      </c>
      <c r="AG147" s="129">
        <v>0</v>
      </c>
      <c r="AH147" s="129">
        <v>0</v>
      </c>
      <c r="AI147" s="126">
        <v>0</v>
      </c>
      <c r="AJ147" s="131">
        <v>48</v>
      </c>
    </row>
    <row r="148" spans="1:36" x14ac:dyDescent="0.35">
      <c r="A148" s="127" t="s">
        <v>554</v>
      </c>
      <c r="B148" s="127" t="s">
        <v>1371</v>
      </c>
      <c r="C148" s="129">
        <v>55</v>
      </c>
      <c r="D148" s="129">
        <v>10</v>
      </c>
      <c r="E148" s="129">
        <v>1</v>
      </c>
      <c r="F148" s="129">
        <v>0</v>
      </c>
      <c r="G148" s="129">
        <v>66</v>
      </c>
      <c r="H148" s="129">
        <v>0</v>
      </c>
      <c r="I148" s="129">
        <v>0</v>
      </c>
      <c r="J148" s="129">
        <v>0</v>
      </c>
      <c r="K148" s="129">
        <v>0</v>
      </c>
      <c r="L148" s="129">
        <v>0</v>
      </c>
      <c r="M148" s="129">
        <v>1</v>
      </c>
      <c r="N148" s="129">
        <v>0</v>
      </c>
      <c r="O148" s="129">
        <v>0</v>
      </c>
      <c r="P148" s="129">
        <v>0</v>
      </c>
      <c r="Q148" s="129">
        <v>1</v>
      </c>
      <c r="R148" s="129">
        <v>2</v>
      </c>
      <c r="S148" s="129">
        <v>0</v>
      </c>
      <c r="T148" s="129">
        <v>0</v>
      </c>
      <c r="U148" s="129">
        <v>0</v>
      </c>
      <c r="V148" s="129">
        <v>2</v>
      </c>
      <c r="W148" s="129">
        <v>9</v>
      </c>
      <c r="X148" s="129">
        <v>0</v>
      </c>
      <c r="Y148" s="129">
        <v>0</v>
      </c>
      <c r="Z148" s="129">
        <v>0</v>
      </c>
      <c r="AA148" s="129">
        <v>9</v>
      </c>
      <c r="AB148" s="129">
        <v>0</v>
      </c>
      <c r="AC148" s="129">
        <v>1</v>
      </c>
      <c r="AD148" s="129">
        <v>0</v>
      </c>
      <c r="AE148" s="129">
        <v>0</v>
      </c>
      <c r="AF148" s="129">
        <v>1</v>
      </c>
      <c r="AG148" s="129">
        <v>0</v>
      </c>
      <c r="AH148" s="129">
        <v>0</v>
      </c>
      <c r="AI148" s="126">
        <v>0</v>
      </c>
      <c r="AJ148" s="131">
        <v>79</v>
      </c>
    </row>
    <row r="149" spans="1:36" x14ac:dyDescent="0.35">
      <c r="A149" s="127" t="s">
        <v>555</v>
      </c>
      <c r="B149" s="127" t="s">
        <v>556</v>
      </c>
      <c r="C149" s="129">
        <v>16</v>
      </c>
      <c r="D149" s="129">
        <v>2</v>
      </c>
      <c r="E149" s="129">
        <v>0</v>
      </c>
      <c r="F149" s="129">
        <v>0</v>
      </c>
      <c r="G149" s="129">
        <v>18</v>
      </c>
      <c r="H149" s="129">
        <v>0</v>
      </c>
      <c r="I149" s="129">
        <v>0</v>
      </c>
      <c r="J149" s="129">
        <v>0</v>
      </c>
      <c r="K149" s="129">
        <v>0</v>
      </c>
      <c r="L149" s="129">
        <v>0</v>
      </c>
      <c r="M149" s="129">
        <v>0</v>
      </c>
      <c r="N149" s="129">
        <v>0</v>
      </c>
      <c r="O149" s="129">
        <v>0</v>
      </c>
      <c r="P149" s="129">
        <v>0</v>
      </c>
      <c r="Q149" s="129">
        <v>0</v>
      </c>
      <c r="R149" s="129">
        <v>0</v>
      </c>
      <c r="S149" s="129">
        <v>0</v>
      </c>
      <c r="T149" s="129">
        <v>0</v>
      </c>
      <c r="U149" s="129">
        <v>0</v>
      </c>
      <c r="V149" s="129">
        <v>0</v>
      </c>
      <c r="W149" s="129">
        <v>5</v>
      </c>
      <c r="X149" s="129">
        <v>0</v>
      </c>
      <c r="Y149" s="129">
        <v>0</v>
      </c>
      <c r="Z149" s="129">
        <v>1</v>
      </c>
      <c r="AA149" s="129">
        <v>6</v>
      </c>
      <c r="AB149" s="129">
        <v>1</v>
      </c>
      <c r="AC149" s="129">
        <v>0</v>
      </c>
      <c r="AD149" s="129">
        <v>0</v>
      </c>
      <c r="AE149" s="129">
        <v>0</v>
      </c>
      <c r="AF149" s="129">
        <v>1</v>
      </c>
      <c r="AG149" s="129">
        <v>0</v>
      </c>
      <c r="AH149" s="129">
        <v>0</v>
      </c>
      <c r="AI149" s="126">
        <v>0</v>
      </c>
      <c r="AJ149" s="131">
        <v>25</v>
      </c>
    </row>
    <row r="150" spans="1:36" x14ac:dyDescent="0.35">
      <c r="A150" s="127" t="s">
        <v>557</v>
      </c>
      <c r="B150" s="127" t="s">
        <v>558</v>
      </c>
      <c r="C150" s="129">
        <v>231</v>
      </c>
      <c r="D150" s="129">
        <v>47</v>
      </c>
      <c r="E150" s="129">
        <v>7</v>
      </c>
      <c r="F150" s="129">
        <v>0</v>
      </c>
      <c r="G150" s="129">
        <v>285</v>
      </c>
      <c r="H150" s="129">
        <v>4</v>
      </c>
      <c r="I150" s="129">
        <v>0</v>
      </c>
      <c r="J150" s="129">
        <v>0</v>
      </c>
      <c r="K150" s="129">
        <v>0</v>
      </c>
      <c r="L150" s="129">
        <v>4</v>
      </c>
      <c r="M150" s="129">
        <v>3</v>
      </c>
      <c r="N150" s="129">
        <v>0</v>
      </c>
      <c r="O150" s="129">
        <v>0</v>
      </c>
      <c r="P150" s="129">
        <v>0</v>
      </c>
      <c r="Q150" s="129">
        <v>3</v>
      </c>
      <c r="R150" s="129">
        <v>0</v>
      </c>
      <c r="S150" s="129">
        <v>0</v>
      </c>
      <c r="T150" s="129">
        <v>0</v>
      </c>
      <c r="U150" s="129">
        <v>0</v>
      </c>
      <c r="V150" s="129">
        <v>0</v>
      </c>
      <c r="W150" s="129">
        <v>31</v>
      </c>
      <c r="X150" s="129">
        <v>10</v>
      </c>
      <c r="Y150" s="129">
        <v>1</v>
      </c>
      <c r="Z150" s="129">
        <v>0</v>
      </c>
      <c r="AA150" s="129">
        <v>42</v>
      </c>
      <c r="AB150" s="129">
        <v>5</v>
      </c>
      <c r="AC150" s="129">
        <v>0</v>
      </c>
      <c r="AD150" s="129">
        <v>0</v>
      </c>
      <c r="AE150" s="129">
        <v>0</v>
      </c>
      <c r="AF150" s="129">
        <v>5</v>
      </c>
      <c r="AG150" s="129">
        <v>0</v>
      </c>
      <c r="AH150" s="129">
        <v>0</v>
      </c>
      <c r="AI150" s="126">
        <v>0</v>
      </c>
      <c r="AJ150" s="131">
        <v>339</v>
      </c>
    </row>
    <row r="151" spans="1:36" x14ac:dyDescent="0.35">
      <c r="A151" s="127" t="s">
        <v>559</v>
      </c>
      <c r="B151" s="127" t="s">
        <v>560</v>
      </c>
      <c r="C151" s="129">
        <v>17</v>
      </c>
      <c r="D151" s="129">
        <v>3</v>
      </c>
      <c r="E151" s="129">
        <v>1</v>
      </c>
      <c r="F151" s="129">
        <v>0</v>
      </c>
      <c r="G151" s="129">
        <v>21</v>
      </c>
      <c r="H151" s="129">
        <v>0</v>
      </c>
      <c r="I151" s="129">
        <v>0</v>
      </c>
      <c r="J151" s="129">
        <v>0</v>
      </c>
      <c r="K151" s="129">
        <v>0</v>
      </c>
      <c r="L151" s="129">
        <v>0</v>
      </c>
      <c r="M151" s="129">
        <v>0</v>
      </c>
      <c r="N151" s="129">
        <v>0</v>
      </c>
      <c r="O151" s="129">
        <v>0</v>
      </c>
      <c r="P151" s="129">
        <v>0</v>
      </c>
      <c r="Q151" s="129">
        <v>0</v>
      </c>
      <c r="R151" s="129">
        <v>0</v>
      </c>
      <c r="S151" s="129">
        <v>0</v>
      </c>
      <c r="T151" s="129">
        <v>0</v>
      </c>
      <c r="U151" s="129">
        <v>0</v>
      </c>
      <c r="V151" s="129">
        <v>0</v>
      </c>
      <c r="W151" s="129">
        <v>2</v>
      </c>
      <c r="X151" s="129">
        <v>0</v>
      </c>
      <c r="Y151" s="129">
        <v>0</v>
      </c>
      <c r="Z151" s="129">
        <v>0</v>
      </c>
      <c r="AA151" s="129">
        <v>2</v>
      </c>
      <c r="AB151" s="129">
        <v>0</v>
      </c>
      <c r="AC151" s="129">
        <v>0</v>
      </c>
      <c r="AD151" s="129">
        <v>0</v>
      </c>
      <c r="AE151" s="129">
        <v>0</v>
      </c>
      <c r="AF151" s="129">
        <v>0</v>
      </c>
      <c r="AG151" s="129">
        <v>0</v>
      </c>
      <c r="AH151" s="129">
        <v>0</v>
      </c>
      <c r="AI151" s="126">
        <v>0</v>
      </c>
      <c r="AJ151" s="131">
        <v>23</v>
      </c>
    </row>
    <row r="152" spans="1:36" x14ac:dyDescent="0.35">
      <c r="A152" s="127" t="s">
        <v>561</v>
      </c>
      <c r="B152" s="127" t="s">
        <v>562</v>
      </c>
      <c r="C152" s="129">
        <v>3</v>
      </c>
      <c r="D152" s="129">
        <v>0</v>
      </c>
      <c r="E152" s="129">
        <v>0</v>
      </c>
      <c r="F152" s="129">
        <v>0</v>
      </c>
      <c r="G152" s="129">
        <v>3</v>
      </c>
      <c r="H152" s="129">
        <v>0</v>
      </c>
      <c r="I152" s="129">
        <v>0</v>
      </c>
      <c r="J152" s="129">
        <v>0</v>
      </c>
      <c r="K152" s="129">
        <v>0</v>
      </c>
      <c r="L152" s="129">
        <v>0</v>
      </c>
      <c r="M152" s="129">
        <v>0</v>
      </c>
      <c r="N152" s="129">
        <v>0</v>
      </c>
      <c r="O152" s="129">
        <v>0</v>
      </c>
      <c r="P152" s="129">
        <v>0</v>
      </c>
      <c r="Q152" s="129">
        <v>0</v>
      </c>
      <c r="R152" s="129">
        <v>0</v>
      </c>
      <c r="S152" s="129">
        <v>0</v>
      </c>
      <c r="T152" s="129">
        <v>0</v>
      </c>
      <c r="U152" s="129">
        <v>0</v>
      </c>
      <c r="V152" s="129">
        <v>0</v>
      </c>
      <c r="W152" s="129">
        <v>0</v>
      </c>
      <c r="X152" s="129">
        <v>0</v>
      </c>
      <c r="Y152" s="129">
        <v>0</v>
      </c>
      <c r="Z152" s="129">
        <v>0</v>
      </c>
      <c r="AA152" s="129">
        <v>0</v>
      </c>
      <c r="AB152" s="129">
        <v>0</v>
      </c>
      <c r="AC152" s="129">
        <v>0</v>
      </c>
      <c r="AD152" s="129">
        <v>0</v>
      </c>
      <c r="AE152" s="129">
        <v>0</v>
      </c>
      <c r="AF152" s="129">
        <v>0</v>
      </c>
      <c r="AG152" s="129">
        <v>0</v>
      </c>
      <c r="AH152" s="129">
        <v>0</v>
      </c>
      <c r="AI152" s="126">
        <v>0</v>
      </c>
      <c r="AJ152" s="131">
        <v>3</v>
      </c>
    </row>
    <row r="153" spans="1:36" x14ac:dyDescent="0.35">
      <c r="A153" s="127" t="s">
        <v>1324</v>
      </c>
      <c r="B153" s="127" t="s">
        <v>1325</v>
      </c>
      <c r="C153" s="129">
        <v>1</v>
      </c>
      <c r="D153" s="129">
        <v>0</v>
      </c>
      <c r="E153" s="129">
        <v>0</v>
      </c>
      <c r="F153" s="129">
        <v>0</v>
      </c>
      <c r="G153" s="129">
        <v>1</v>
      </c>
      <c r="H153" s="129">
        <v>0</v>
      </c>
      <c r="I153" s="129">
        <v>0</v>
      </c>
      <c r="J153" s="129">
        <v>0</v>
      </c>
      <c r="K153" s="129">
        <v>0</v>
      </c>
      <c r="L153" s="129">
        <v>0</v>
      </c>
      <c r="M153" s="129">
        <v>0</v>
      </c>
      <c r="N153" s="129">
        <v>0</v>
      </c>
      <c r="O153" s="129">
        <v>0</v>
      </c>
      <c r="P153" s="129">
        <v>0</v>
      </c>
      <c r="Q153" s="129">
        <v>0</v>
      </c>
      <c r="R153" s="129">
        <v>0</v>
      </c>
      <c r="S153" s="129">
        <v>0</v>
      </c>
      <c r="T153" s="129">
        <v>0</v>
      </c>
      <c r="U153" s="129">
        <v>0</v>
      </c>
      <c r="V153" s="129">
        <v>0</v>
      </c>
      <c r="W153" s="129">
        <v>0</v>
      </c>
      <c r="X153" s="129">
        <v>0</v>
      </c>
      <c r="Y153" s="129">
        <v>0</v>
      </c>
      <c r="Z153" s="129">
        <v>0</v>
      </c>
      <c r="AA153" s="129">
        <v>0</v>
      </c>
      <c r="AB153" s="129">
        <v>0</v>
      </c>
      <c r="AC153" s="129">
        <v>0</v>
      </c>
      <c r="AD153" s="129">
        <v>0</v>
      </c>
      <c r="AE153" s="129">
        <v>0</v>
      </c>
      <c r="AF153" s="129">
        <v>0</v>
      </c>
      <c r="AG153" s="129">
        <v>0</v>
      </c>
      <c r="AH153" s="129">
        <v>0</v>
      </c>
      <c r="AI153" s="126">
        <v>0</v>
      </c>
      <c r="AJ153" s="131">
        <v>1</v>
      </c>
    </row>
    <row r="154" spans="1:36" x14ac:dyDescent="0.35">
      <c r="A154" s="127" t="s">
        <v>563</v>
      </c>
      <c r="B154" s="127" t="s">
        <v>564</v>
      </c>
      <c r="C154" s="129">
        <v>3</v>
      </c>
      <c r="D154" s="129">
        <v>0</v>
      </c>
      <c r="E154" s="129">
        <v>0</v>
      </c>
      <c r="F154" s="129">
        <v>0</v>
      </c>
      <c r="G154" s="129">
        <v>3</v>
      </c>
      <c r="H154" s="129">
        <v>0</v>
      </c>
      <c r="I154" s="129">
        <v>0</v>
      </c>
      <c r="J154" s="129">
        <v>0</v>
      </c>
      <c r="K154" s="129">
        <v>0</v>
      </c>
      <c r="L154" s="129">
        <v>0</v>
      </c>
      <c r="M154" s="129">
        <v>0</v>
      </c>
      <c r="N154" s="129">
        <v>0</v>
      </c>
      <c r="O154" s="129">
        <v>0</v>
      </c>
      <c r="P154" s="129">
        <v>0</v>
      </c>
      <c r="Q154" s="129">
        <v>0</v>
      </c>
      <c r="R154" s="129">
        <v>0</v>
      </c>
      <c r="S154" s="129">
        <v>0</v>
      </c>
      <c r="T154" s="129">
        <v>0</v>
      </c>
      <c r="U154" s="129">
        <v>0</v>
      </c>
      <c r="V154" s="129">
        <v>0</v>
      </c>
      <c r="W154" s="129">
        <v>0</v>
      </c>
      <c r="X154" s="129">
        <v>0</v>
      </c>
      <c r="Y154" s="129">
        <v>0</v>
      </c>
      <c r="Z154" s="129">
        <v>0</v>
      </c>
      <c r="AA154" s="129">
        <v>0</v>
      </c>
      <c r="AB154" s="129">
        <v>0</v>
      </c>
      <c r="AC154" s="129">
        <v>0</v>
      </c>
      <c r="AD154" s="129">
        <v>0</v>
      </c>
      <c r="AE154" s="129">
        <v>0</v>
      </c>
      <c r="AF154" s="129">
        <v>0</v>
      </c>
      <c r="AG154" s="129">
        <v>0</v>
      </c>
      <c r="AH154" s="129">
        <v>0</v>
      </c>
      <c r="AI154" s="126">
        <v>0</v>
      </c>
      <c r="AJ154" s="131">
        <v>3</v>
      </c>
    </row>
    <row r="155" spans="1:36" x14ac:dyDescent="0.35">
      <c r="A155" s="127" t="s">
        <v>565</v>
      </c>
      <c r="B155" s="127" t="s">
        <v>566</v>
      </c>
      <c r="C155" s="129">
        <v>11</v>
      </c>
      <c r="D155" s="129">
        <v>3</v>
      </c>
      <c r="E155" s="129">
        <v>0</v>
      </c>
      <c r="F155" s="129">
        <v>0</v>
      </c>
      <c r="G155" s="129">
        <v>14</v>
      </c>
      <c r="H155" s="129">
        <v>0</v>
      </c>
      <c r="I155" s="129">
        <v>0</v>
      </c>
      <c r="J155" s="129">
        <v>0</v>
      </c>
      <c r="K155" s="129">
        <v>0</v>
      </c>
      <c r="L155" s="129">
        <v>0</v>
      </c>
      <c r="M155" s="129">
        <v>0</v>
      </c>
      <c r="N155" s="129">
        <v>0</v>
      </c>
      <c r="O155" s="129">
        <v>0</v>
      </c>
      <c r="P155" s="129">
        <v>0</v>
      </c>
      <c r="Q155" s="129">
        <v>0</v>
      </c>
      <c r="R155" s="129">
        <v>0</v>
      </c>
      <c r="S155" s="129">
        <v>0</v>
      </c>
      <c r="T155" s="129">
        <v>0</v>
      </c>
      <c r="U155" s="129">
        <v>0</v>
      </c>
      <c r="V155" s="129">
        <v>0</v>
      </c>
      <c r="W155" s="129">
        <v>1</v>
      </c>
      <c r="X155" s="129">
        <v>0</v>
      </c>
      <c r="Y155" s="129">
        <v>0</v>
      </c>
      <c r="Z155" s="129">
        <v>0</v>
      </c>
      <c r="AA155" s="129">
        <v>1</v>
      </c>
      <c r="AB155" s="129">
        <v>0</v>
      </c>
      <c r="AC155" s="129">
        <v>0</v>
      </c>
      <c r="AD155" s="129">
        <v>0</v>
      </c>
      <c r="AE155" s="129">
        <v>0</v>
      </c>
      <c r="AF155" s="129">
        <v>0</v>
      </c>
      <c r="AG155" s="129">
        <v>0</v>
      </c>
      <c r="AH155" s="129">
        <v>0</v>
      </c>
      <c r="AI155" s="126">
        <v>0</v>
      </c>
      <c r="AJ155" s="131">
        <v>15</v>
      </c>
    </row>
    <row r="156" spans="1:36" x14ac:dyDescent="0.35">
      <c r="A156" s="127" t="s">
        <v>567</v>
      </c>
      <c r="B156" s="127" t="s">
        <v>568</v>
      </c>
      <c r="C156" s="129">
        <v>4</v>
      </c>
      <c r="D156" s="129">
        <v>0</v>
      </c>
      <c r="E156" s="129">
        <v>0</v>
      </c>
      <c r="F156" s="129">
        <v>0</v>
      </c>
      <c r="G156" s="129">
        <v>4</v>
      </c>
      <c r="H156" s="129">
        <v>0</v>
      </c>
      <c r="I156" s="129">
        <v>0</v>
      </c>
      <c r="J156" s="129">
        <v>0</v>
      </c>
      <c r="K156" s="129">
        <v>0</v>
      </c>
      <c r="L156" s="129">
        <v>0</v>
      </c>
      <c r="M156" s="129">
        <v>0</v>
      </c>
      <c r="N156" s="129">
        <v>0</v>
      </c>
      <c r="O156" s="129">
        <v>0</v>
      </c>
      <c r="P156" s="129">
        <v>0</v>
      </c>
      <c r="Q156" s="129">
        <v>0</v>
      </c>
      <c r="R156" s="129">
        <v>0</v>
      </c>
      <c r="S156" s="129">
        <v>0</v>
      </c>
      <c r="T156" s="129">
        <v>0</v>
      </c>
      <c r="U156" s="129">
        <v>0</v>
      </c>
      <c r="V156" s="129">
        <v>0</v>
      </c>
      <c r="W156" s="129">
        <v>1</v>
      </c>
      <c r="X156" s="129">
        <v>0</v>
      </c>
      <c r="Y156" s="129">
        <v>0</v>
      </c>
      <c r="Z156" s="129">
        <v>0</v>
      </c>
      <c r="AA156" s="129">
        <v>1</v>
      </c>
      <c r="AB156" s="129">
        <v>0</v>
      </c>
      <c r="AC156" s="129">
        <v>0</v>
      </c>
      <c r="AD156" s="129">
        <v>0</v>
      </c>
      <c r="AE156" s="129">
        <v>0</v>
      </c>
      <c r="AF156" s="129">
        <v>0</v>
      </c>
      <c r="AG156" s="129">
        <v>0</v>
      </c>
      <c r="AH156" s="129">
        <v>0</v>
      </c>
      <c r="AI156" s="126">
        <v>0</v>
      </c>
      <c r="AJ156" s="131">
        <v>5</v>
      </c>
    </row>
    <row r="157" spans="1:36" x14ac:dyDescent="0.35">
      <c r="A157" s="127" t="s">
        <v>569</v>
      </c>
      <c r="B157" s="127" t="s">
        <v>570</v>
      </c>
      <c r="C157" s="129">
        <v>6</v>
      </c>
      <c r="D157" s="129">
        <v>3</v>
      </c>
      <c r="E157" s="129">
        <v>0</v>
      </c>
      <c r="F157" s="129">
        <v>0</v>
      </c>
      <c r="G157" s="129">
        <v>9</v>
      </c>
      <c r="H157" s="129">
        <v>0</v>
      </c>
      <c r="I157" s="129">
        <v>0</v>
      </c>
      <c r="J157" s="129">
        <v>0</v>
      </c>
      <c r="K157" s="129">
        <v>0</v>
      </c>
      <c r="L157" s="129">
        <v>0</v>
      </c>
      <c r="M157" s="129">
        <v>0</v>
      </c>
      <c r="N157" s="129">
        <v>0</v>
      </c>
      <c r="O157" s="129">
        <v>0</v>
      </c>
      <c r="P157" s="129">
        <v>0</v>
      </c>
      <c r="Q157" s="129">
        <v>0</v>
      </c>
      <c r="R157" s="129">
        <v>0</v>
      </c>
      <c r="S157" s="129">
        <v>0</v>
      </c>
      <c r="T157" s="129">
        <v>0</v>
      </c>
      <c r="U157" s="129">
        <v>0</v>
      </c>
      <c r="V157" s="129">
        <v>0</v>
      </c>
      <c r="W157" s="129">
        <v>0</v>
      </c>
      <c r="X157" s="129">
        <v>0</v>
      </c>
      <c r="Y157" s="129">
        <v>0</v>
      </c>
      <c r="Z157" s="129">
        <v>0</v>
      </c>
      <c r="AA157" s="129">
        <v>0</v>
      </c>
      <c r="AB157" s="129">
        <v>0</v>
      </c>
      <c r="AC157" s="129">
        <v>0</v>
      </c>
      <c r="AD157" s="129">
        <v>0</v>
      </c>
      <c r="AE157" s="129">
        <v>0</v>
      </c>
      <c r="AF157" s="129">
        <v>0</v>
      </c>
      <c r="AG157" s="129">
        <v>0</v>
      </c>
      <c r="AH157" s="129">
        <v>0</v>
      </c>
      <c r="AI157" s="126">
        <v>0</v>
      </c>
      <c r="AJ157" s="131">
        <v>9</v>
      </c>
    </row>
    <row r="158" spans="1:36" x14ac:dyDescent="0.35">
      <c r="A158" s="127" t="s">
        <v>571</v>
      </c>
      <c r="B158" s="127" t="s">
        <v>572</v>
      </c>
      <c r="C158" s="129">
        <v>18</v>
      </c>
      <c r="D158" s="129">
        <v>0</v>
      </c>
      <c r="E158" s="129">
        <v>0</v>
      </c>
      <c r="F158" s="129">
        <v>0</v>
      </c>
      <c r="G158" s="129">
        <v>18</v>
      </c>
      <c r="H158" s="129">
        <v>1</v>
      </c>
      <c r="I158" s="129">
        <v>0</v>
      </c>
      <c r="J158" s="129">
        <v>0</v>
      </c>
      <c r="K158" s="129">
        <v>0</v>
      </c>
      <c r="L158" s="129">
        <v>1</v>
      </c>
      <c r="M158" s="129">
        <v>0</v>
      </c>
      <c r="N158" s="129">
        <v>0</v>
      </c>
      <c r="O158" s="129">
        <v>0</v>
      </c>
      <c r="P158" s="129">
        <v>0</v>
      </c>
      <c r="Q158" s="129">
        <v>0</v>
      </c>
      <c r="R158" s="129">
        <v>0</v>
      </c>
      <c r="S158" s="129">
        <v>0</v>
      </c>
      <c r="T158" s="129">
        <v>0</v>
      </c>
      <c r="U158" s="129">
        <v>0</v>
      </c>
      <c r="V158" s="129">
        <v>0</v>
      </c>
      <c r="W158" s="129">
        <v>2</v>
      </c>
      <c r="X158" s="129">
        <v>0</v>
      </c>
      <c r="Y158" s="129">
        <v>0</v>
      </c>
      <c r="Z158" s="129">
        <v>0</v>
      </c>
      <c r="AA158" s="129">
        <v>2</v>
      </c>
      <c r="AB158" s="129">
        <v>0</v>
      </c>
      <c r="AC158" s="129">
        <v>0</v>
      </c>
      <c r="AD158" s="129">
        <v>0</v>
      </c>
      <c r="AE158" s="129">
        <v>0</v>
      </c>
      <c r="AF158" s="129">
        <v>0</v>
      </c>
      <c r="AG158" s="129">
        <v>0</v>
      </c>
      <c r="AH158" s="129">
        <v>0</v>
      </c>
      <c r="AI158" s="126">
        <v>0</v>
      </c>
      <c r="AJ158" s="131">
        <v>21</v>
      </c>
    </row>
    <row r="159" spans="1:36" x14ac:dyDescent="0.35">
      <c r="A159" s="127" t="s">
        <v>1396</v>
      </c>
      <c r="B159" s="127" t="s">
        <v>1397</v>
      </c>
      <c r="C159" s="129">
        <v>0</v>
      </c>
      <c r="D159" s="129">
        <v>0</v>
      </c>
      <c r="E159" s="129">
        <v>0</v>
      </c>
      <c r="F159" s="129">
        <v>0</v>
      </c>
      <c r="G159" s="129">
        <v>0</v>
      </c>
      <c r="H159" s="129">
        <v>0</v>
      </c>
      <c r="I159" s="129">
        <v>0</v>
      </c>
      <c r="J159" s="129">
        <v>0</v>
      </c>
      <c r="K159" s="129">
        <v>0</v>
      </c>
      <c r="L159" s="129">
        <v>0</v>
      </c>
      <c r="M159" s="129">
        <v>0</v>
      </c>
      <c r="N159" s="129">
        <v>0</v>
      </c>
      <c r="O159" s="129">
        <v>0</v>
      </c>
      <c r="P159" s="129">
        <v>0</v>
      </c>
      <c r="Q159" s="129">
        <v>0</v>
      </c>
      <c r="R159" s="129">
        <v>0</v>
      </c>
      <c r="S159" s="129">
        <v>0</v>
      </c>
      <c r="T159" s="129">
        <v>0</v>
      </c>
      <c r="U159" s="129">
        <v>0</v>
      </c>
      <c r="V159" s="129">
        <v>0</v>
      </c>
      <c r="W159" s="129">
        <v>0</v>
      </c>
      <c r="X159" s="129">
        <v>0</v>
      </c>
      <c r="Y159" s="129">
        <v>0</v>
      </c>
      <c r="Z159" s="129">
        <v>0</v>
      </c>
      <c r="AA159" s="129">
        <v>0</v>
      </c>
      <c r="AB159" s="129">
        <v>0</v>
      </c>
      <c r="AC159" s="129">
        <v>0</v>
      </c>
      <c r="AD159" s="129">
        <v>0</v>
      </c>
      <c r="AE159" s="129">
        <v>0</v>
      </c>
      <c r="AF159" s="129">
        <v>0</v>
      </c>
      <c r="AG159" s="129">
        <v>0</v>
      </c>
      <c r="AH159" s="129">
        <v>0</v>
      </c>
      <c r="AI159" s="126">
        <v>0</v>
      </c>
      <c r="AJ159" s="131">
        <v>0</v>
      </c>
    </row>
    <row r="160" spans="1:36" x14ac:dyDescent="0.35">
      <c r="A160" s="127" t="s">
        <v>573</v>
      </c>
      <c r="B160" s="127" t="s">
        <v>574</v>
      </c>
      <c r="C160" s="129">
        <v>9</v>
      </c>
      <c r="D160" s="129">
        <v>0</v>
      </c>
      <c r="E160" s="129">
        <v>1</v>
      </c>
      <c r="F160" s="129">
        <v>0</v>
      </c>
      <c r="G160" s="129">
        <v>10</v>
      </c>
      <c r="H160" s="129">
        <v>0</v>
      </c>
      <c r="I160" s="129">
        <v>0</v>
      </c>
      <c r="J160" s="129">
        <v>0</v>
      </c>
      <c r="K160" s="129">
        <v>0</v>
      </c>
      <c r="L160" s="129">
        <v>0</v>
      </c>
      <c r="M160" s="129">
        <v>0</v>
      </c>
      <c r="N160" s="129">
        <v>0</v>
      </c>
      <c r="O160" s="129">
        <v>0</v>
      </c>
      <c r="P160" s="129">
        <v>0</v>
      </c>
      <c r="Q160" s="129">
        <v>0</v>
      </c>
      <c r="R160" s="129">
        <v>0</v>
      </c>
      <c r="S160" s="129">
        <v>0</v>
      </c>
      <c r="T160" s="129">
        <v>0</v>
      </c>
      <c r="U160" s="129">
        <v>0</v>
      </c>
      <c r="V160" s="129">
        <v>0</v>
      </c>
      <c r="W160" s="129">
        <v>1</v>
      </c>
      <c r="X160" s="129">
        <v>0</v>
      </c>
      <c r="Y160" s="129">
        <v>0</v>
      </c>
      <c r="Z160" s="129">
        <v>1</v>
      </c>
      <c r="AA160" s="129">
        <v>2</v>
      </c>
      <c r="AB160" s="129">
        <v>0</v>
      </c>
      <c r="AC160" s="129">
        <v>0</v>
      </c>
      <c r="AD160" s="129">
        <v>0</v>
      </c>
      <c r="AE160" s="129">
        <v>0</v>
      </c>
      <c r="AF160" s="129">
        <v>0</v>
      </c>
      <c r="AG160" s="129">
        <v>0</v>
      </c>
      <c r="AH160" s="129">
        <v>0</v>
      </c>
      <c r="AI160" s="126">
        <v>0</v>
      </c>
      <c r="AJ160" s="131">
        <v>12</v>
      </c>
    </row>
    <row r="161" spans="1:36" x14ac:dyDescent="0.35">
      <c r="A161" s="127" t="s">
        <v>575</v>
      </c>
      <c r="B161" s="127" t="s">
        <v>576</v>
      </c>
      <c r="C161" s="129">
        <v>10</v>
      </c>
      <c r="D161" s="129">
        <v>2</v>
      </c>
      <c r="E161" s="129">
        <v>3</v>
      </c>
      <c r="F161" s="129">
        <v>0</v>
      </c>
      <c r="G161" s="129">
        <v>15</v>
      </c>
      <c r="H161" s="129">
        <v>0</v>
      </c>
      <c r="I161" s="129">
        <v>0</v>
      </c>
      <c r="J161" s="129">
        <v>0</v>
      </c>
      <c r="K161" s="129">
        <v>0</v>
      </c>
      <c r="L161" s="129">
        <v>0</v>
      </c>
      <c r="M161" s="129">
        <v>1</v>
      </c>
      <c r="N161" s="129">
        <v>0</v>
      </c>
      <c r="O161" s="129">
        <v>0</v>
      </c>
      <c r="P161" s="129">
        <v>0</v>
      </c>
      <c r="Q161" s="129">
        <v>1</v>
      </c>
      <c r="R161" s="129">
        <v>0</v>
      </c>
      <c r="S161" s="129">
        <v>0</v>
      </c>
      <c r="T161" s="129">
        <v>0</v>
      </c>
      <c r="U161" s="129">
        <v>0</v>
      </c>
      <c r="V161" s="129">
        <v>0</v>
      </c>
      <c r="W161" s="129">
        <v>1</v>
      </c>
      <c r="X161" s="129">
        <v>0</v>
      </c>
      <c r="Y161" s="129">
        <v>0</v>
      </c>
      <c r="Z161" s="129">
        <v>0</v>
      </c>
      <c r="AA161" s="129">
        <v>1</v>
      </c>
      <c r="AB161" s="129">
        <v>0</v>
      </c>
      <c r="AC161" s="129">
        <v>0</v>
      </c>
      <c r="AD161" s="129">
        <v>0</v>
      </c>
      <c r="AE161" s="129">
        <v>0</v>
      </c>
      <c r="AF161" s="129">
        <v>0</v>
      </c>
      <c r="AG161" s="129">
        <v>0</v>
      </c>
      <c r="AH161" s="129">
        <v>0</v>
      </c>
      <c r="AI161" s="126">
        <v>0</v>
      </c>
      <c r="AJ161" s="131">
        <v>17</v>
      </c>
    </row>
    <row r="162" spans="1:36" x14ac:dyDescent="0.35">
      <c r="A162" s="127" t="s">
        <v>577</v>
      </c>
      <c r="B162" s="127" t="s">
        <v>578</v>
      </c>
      <c r="C162" s="129">
        <v>1</v>
      </c>
      <c r="D162" s="129">
        <v>0</v>
      </c>
      <c r="E162" s="129">
        <v>0</v>
      </c>
      <c r="F162" s="129">
        <v>0</v>
      </c>
      <c r="G162" s="129">
        <v>1</v>
      </c>
      <c r="H162" s="129">
        <v>0</v>
      </c>
      <c r="I162" s="129">
        <v>0</v>
      </c>
      <c r="J162" s="129">
        <v>0</v>
      </c>
      <c r="K162" s="129">
        <v>0</v>
      </c>
      <c r="L162" s="129">
        <v>0</v>
      </c>
      <c r="M162" s="129">
        <v>0</v>
      </c>
      <c r="N162" s="129">
        <v>0</v>
      </c>
      <c r="O162" s="129">
        <v>0</v>
      </c>
      <c r="P162" s="129">
        <v>0</v>
      </c>
      <c r="Q162" s="129">
        <v>0</v>
      </c>
      <c r="R162" s="129">
        <v>0</v>
      </c>
      <c r="S162" s="129">
        <v>0</v>
      </c>
      <c r="T162" s="129">
        <v>0</v>
      </c>
      <c r="U162" s="129">
        <v>0</v>
      </c>
      <c r="V162" s="129">
        <v>0</v>
      </c>
      <c r="W162" s="129">
        <v>0</v>
      </c>
      <c r="X162" s="129">
        <v>0</v>
      </c>
      <c r="Y162" s="129">
        <v>0</v>
      </c>
      <c r="Z162" s="129">
        <v>0</v>
      </c>
      <c r="AA162" s="129">
        <v>0</v>
      </c>
      <c r="AB162" s="129">
        <v>0</v>
      </c>
      <c r="AC162" s="129">
        <v>0</v>
      </c>
      <c r="AD162" s="129">
        <v>0</v>
      </c>
      <c r="AE162" s="129">
        <v>0</v>
      </c>
      <c r="AF162" s="129">
        <v>0</v>
      </c>
      <c r="AG162" s="129">
        <v>0</v>
      </c>
      <c r="AH162" s="129">
        <v>0</v>
      </c>
      <c r="AI162" s="126">
        <v>0</v>
      </c>
      <c r="AJ162" s="131">
        <v>1</v>
      </c>
    </row>
    <row r="163" spans="1:36" x14ac:dyDescent="0.35">
      <c r="A163" s="127" t="s">
        <v>579</v>
      </c>
      <c r="B163" s="127" t="s">
        <v>580</v>
      </c>
      <c r="C163" s="129">
        <v>0</v>
      </c>
      <c r="D163" s="129">
        <v>1</v>
      </c>
      <c r="E163" s="129">
        <v>1</v>
      </c>
      <c r="F163" s="129">
        <v>0</v>
      </c>
      <c r="G163" s="129">
        <v>2</v>
      </c>
      <c r="H163" s="129">
        <v>0</v>
      </c>
      <c r="I163" s="129">
        <v>0</v>
      </c>
      <c r="J163" s="129">
        <v>0</v>
      </c>
      <c r="K163" s="129">
        <v>0</v>
      </c>
      <c r="L163" s="129">
        <v>0</v>
      </c>
      <c r="M163" s="129">
        <v>0</v>
      </c>
      <c r="N163" s="129">
        <v>0</v>
      </c>
      <c r="O163" s="129">
        <v>0</v>
      </c>
      <c r="P163" s="129">
        <v>0</v>
      </c>
      <c r="Q163" s="129">
        <v>0</v>
      </c>
      <c r="R163" s="129">
        <v>0</v>
      </c>
      <c r="S163" s="129">
        <v>0</v>
      </c>
      <c r="T163" s="129">
        <v>0</v>
      </c>
      <c r="U163" s="129">
        <v>0</v>
      </c>
      <c r="V163" s="129">
        <v>0</v>
      </c>
      <c r="W163" s="129">
        <v>0</v>
      </c>
      <c r="X163" s="129">
        <v>0</v>
      </c>
      <c r="Y163" s="129">
        <v>0</v>
      </c>
      <c r="Z163" s="129">
        <v>0</v>
      </c>
      <c r="AA163" s="129">
        <v>0</v>
      </c>
      <c r="AB163" s="129">
        <v>0</v>
      </c>
      <c r="AC163" s="129">
        <v>0</v>
      </c>
      <c r="AD163" s="129">
        <v>0</v>
      </c>
      <c r="AE163" s="129">
        <v>0</v>
      </c>
      <c r="AF163" s="129">
        <v>0</v>
      </c>
      <c r="AG163" s="129">
        <v>0</v>
      </c>
      <c r="AH163" s="129">
        <v>0</v>
      </c>
      <c r="AI163" s="126">
        <v>0</v>
      </c>
      <c r="AJ163" s="131">
        <v>2</v>
      </c>
    </row>
    <row r="164" spans="1:36" x14ac:dyDescent="0.35">
      <c r="A164" s="127" t="s">
        <v>581</v>
      </c>
      <c r="B164" s="127" t="s">
        <v>582</v>
      </c>
      <c r="C164" s="129">
        <v>2</v>
      </c>
      <c r="D164" s="129">
        <v>0</v>
      </c>
      <c r="E164" s="129">
        <v>1</v>
      </c>
      <c r="F164" s="129">
        <v>0</v>
      </c>
      <c r="G164" s="129">
        <v>3</v>
      </c>
      <c r="H164" s="129">
        <v>0</v>
      </c>
      <c r="I164" s="129">
        <v>0</v>
      </c>
      <c r="J164" s="129">
        <v>0</v>
      </c>
      <c r="K164" s="129">
        <v>0</v>
      </c>
      <c r="L164" s="129">
        <v>0</v>
      </c>
      <c r="M164" s="129">
        <v>0</v>
      </c>
      <c r="N164" s="129">
        <v>0</v>
      </c>
      <c r="O164" s="129">
        <v>0</v>
      </c>
      <c r="P164" s="129">
        <v>0</v>
      </c>
      <c r="Q164" s="129">
        <v>0</v>
      </c>
      <c r="R164" s="129">
        <v>0</v>
      </c>
      <c r="S164" s="129">
        <v>0</v>
      </c>
      <c r="T164" s="129">
        <v>0</v>
      </c>
      <c r="U164" s="129">
        <v>0</v>
      </c>
      <c r="V164" s="129">
        <v>0</v>
      </c>
      <c r="W164" s="129">
        <v>2</v>
      </c>
      <c r="X164" s="129">
        <v>0</v>
      </c>
      <c r="Y164" s="129">
        <v>0</v>
      </c>
      <c r="Z164" s="129">
        <v>0</v>
      </c>
      <c r="AA164" s="129">
        <v>2</v>
      </c>
      <c r="AB164" s="129">
        <v>0</v>
      </c>
      <c r="AC164" s="129">
        <v>0</v>
      </c>
      <c r="AD164" s="129">
        <v>0</v>
      </c>
      <c r="AE164" s="129">
        <v>0</v>
      </c>
      <c r="AF164" s="129">
        <v>0</v>
      </c>
      <c r="AG164" s="129">
        <v>0</v>
      </c>
      <c r="AH164" s="129">
        <v>0</v>
      </c>
      <c r="AI164" s="126">
        <v>0</v>
      </c>
      <c r="AJ164" s="131">
        <v>5</v>
      </c>
    </row>
    <row r="165" spans="1:36" x14ac:dyDescent="0.35">
      <c r="A165" s="127" t="s">
        <v>583</v>
      </c>
      <c r="B165" s="127" t="s">
        <v>584</v>
      </c>
      <c r="C165" s="129">
        <v>16</v>
      </c>
      <c r="D165" s="129">
        <v>6</v>
      </c>
      <c r="E165" s="129">
        <v>0</v>
      </c>
      <c r="F165" s="129">
        <v>0</v>
      </c>
      <c r="G165" s="129">
        <v>22</v>
      </c>
      <c r="H165" s="129">
        <v>0</v>
      </c>
      <c r="I165" s="129">
        <v>0</v>
      </c>
      <c r="J165" s="129">
        <v>0</v>
      </c>
      <c r="K165" s="129">
        <v>0</v>
      </c>
      <c r="L165" s="129">
        <v>0</v>
      </c>
      <c r="M165" s="129">
        <v>0</v>
      </c>
      <c r="N165" s="129">
        <v>0</v>
      </c>
      <c r="O165" s="129">
        <v>0</v>
      </c>
      <c r="P165" s="129">
        <v>0</v>
      </c>
      <c r="Q165" s="129">
        <v>0</v>
      </c>
      <c r="R165" s="129">
        <v>0</v>
      </c>
      <c r="S165" s="129">
        <v>0</v>
      </c>
      <c r="T165" s="129">
        <v>0</v>
      </c>
      <c r="U165" s="129">
        <v>0</v>
      </c>
      <c r="V165" s="129">
        <v>0</v>
      </c>
      <c r="W165" s="129">
        <v>0</v>
      </c>
      <c r="X165" s="129">
        <v>1</v>
      </c>
      <c r="Y165" s="129">
        <v>0</v>
      </c>
      <c r="Z165" s="129">
        <v>1</v>
      </c>
      <c r="AA165" s="129">
        <v>2</v>
      </c>
      <c r="AB165" s="129">
        <v>0</v>
      </c>
      <c r="AC165" s="129">
        <v>0</v>
      </c>
      <c r="AD165" s="129">
        <v>0</v>
      </c>
      <c r="AE165" s="129">
        <v>0</v>
      </c>
      <c r="AF165" s="129">
        <v>0</v>
      </c>
      <c r="AG165" s="129">
        <v>0</v>
      </c>
      <c r="AH165" s="129">
        <v>0</v>
      </c>
      <c r="AI165" s="126">
        <v>0</v>
      </c>
      <c r="AJ165" s="131">
        <v>24</v>
      </c>
    </row>
    <row r="166" spans="1:36" x14ac:dyDescent="0.35">
      <c r="A166" s="127" t="s">
        <v>585</v>
      </c>
      <c r="B166" s="127" t="s">
        <v>586</v>
      </c>
      <c r="C166" s="129">
        <v>16</v>
      </c>
      <c r="D166" s="129">
        <v>4</v>
      </c>
      <c r="E166" s="129">
        <v>1</v>
      </c>
      <c r="F166" s="129">
        <v>1</v>
      </c>
      <c r="G166" s="129">
        <v>22</v>
      </c>
      <c r="H166" s="129">
        <v>0</v>
      </c>
      <c r="I166" s="129">
        <v>0</v>
      </c>
      <c r="J166" s="129">
        <v>0</v>
      </c>
      <c r="K166" s="129">
        <v>0</v>
      </c>
      <c r="L166" s="129">
        <v>0</v>
      </c>
      <c r="M166" s="129">
        <v>0</v>
      </c>
      <c r="N166" s="129">
        <v>0</v>
      </c>
      <c r="O166" s="129">
        <v>0</v>
      </c>
      <c r="P166" s="129">
        <v>0</v>
      </c>
      <c r="Q166" s="129">
        <v>0</v>
      </c>
      <c r="R166" s="129">
        <v>1</v>
      </c>
      <c r="S166" s="129">
        <v>0</v>
      </c>
      <c r="T166" s="129">
        <v>0</v>
      </c>
      <c r="U166" s="129">
        <v>0</v>
      </c>
      <c r="V166" s="129">
        <v>1</v>
      </c>
      <c r="W166" s="129">
        <v>5</v>
      </c>
      <c r="X166" s="129">
        <v>0</v>
      </c>
      <c r="Y166" s="129">
        <v>0</v>
      </c>
      <c r="Z166" s="129">
        <v>2</v>
      </c>
      <c r="AA166" s="129">
        <v>7</v>
      </c>
      <c r="AB166" s="129">
        <v>0</v>
      </c>
      <c r="AC166" s="129">
        <v>0</v>
      </c>
      <c r="AD166" s="129">
        <v>0</v>
      </c>
      <c r="AE166" s="129">
        <v>0</v>
      </c>
      <c r="AF166" s="129">
        <v>0</v>
      </c>
      <c r="AG166" s="129">
        <v>0</v>
      </c>
      <c r="AH166" s="129">
        <v>0</v>
      </c>
      <c r="AI166" s="126">
        <v>0</v>
      </c>
      <c r="AJ166" s="131">
        <v>30</v>
      </c>
    </row>
    <row r="167" spans="1:36" x14ac:dyDescent="0.35">
      <c r="A167" s="127" t="s">
        <v>587</v>
      </c>
      <c r="B167" s="127" t="s">
        <v>588</v>
      </c>
      <c r="C167" s="129">
        <v>22</v>
      </c>
      <c r="D167" s="129">
        <v>8</v>
      </c>
      <c r="E167" s="129">
        <v>0</v>
      </c>
      <c r="F167" s="129">
        <v>0</v>
      </c>
      <c r="G167" s="129">
        <v>30</v>
      </c>
      <c r="H167" s="129">
        <v>0</v>
      </c>
      <c r="I167" s="129">
        <v>0</v>
      </c>
      <c r="J167" s="129">
        <v>0</v>
      </c>
      <c r="K167" s="129">
        <v>0</v>
      </c>
      <c r="L167" s="129">
        <v>0</v>
      </c>
      <c r="M167" s="129">
        <v>0</v>
      </c>
      <c r="N167" s="129">
        <v>0</v>
      </c>
      <c r="O167" s="129">
        <v>0</v>
      </c>
      <c r="P167" s="129">
        <v>0</v>
      </c>
      <c r="Q167" s="129">
        <v>0</v>
      </c>
      <c r="R167" s="129">
        <v>0</v>
      </c>
      <c r="S167" s="129">
        <v>0</v>
      </c>
      <c r="T167" s="129">
        <v>0</v>
      </c>
      <c r="U167" s="129">
        <v>0</v>
      </c>
      <c r="V167" s="129">
        <v>0</v>
      </c>
      <c r="W167" s="129">
        <v>5</v>
      </c>
      <c r="X167" s="129">
        <v>1</v>
      </c>
      <c r="Y167" s="129">
        <v>0</v>
      </c>
      <c r="Z167" s="129">
        <v>0</v>
      </c>
      <c r="AA167" s="129">
        <v>6</v>
      </c>
      <c r="AB167" s="129">
        <v>0</v>
      </c>
      <c r="AC167" s="129">
        <v>0</v>
      </c>
      <c r="AD167" s="129">
        <v>0</v>
      </c>
      <c r="AE167" s="129">
        <v>0</v>
      </c>
      <c r="AF167" s="129">
        <v>0</v>
      </c>
      <c r="AG167" s="129">
        <v>0</v>
      </c>
      <c r="AH167" s="129">
        <v>0</v>
      </c>
      <c r="AI167" s="126">
        <v>0</v>
      </c>
      <c r="AJ167" s="131">
        <v>36</v>
      </c>
    </row>
    <row r="168" spans="1:36" x14ac:dyDescent="0.35">
      <c r="A168" s="127" t="s">
        <v>589</v>
      </c>
      <c r="B168" s="127" t="s">
        <v>590</v>
      </c>
      <c r="C168" s="129">
        <v>4</v>
      </c>
      <c r="D168" s="129">
        <v>0</v>
      </c>
      <c r="E168" s="129">
        <v>0</v>
      </c>
      <c r="F168" s="129">
        <v>0</v>
      </c>
      <c r="G168" s="129">
        <v>4</v>
      </c>
      <c r="H168" s="129">
        <v>0</v>
      </c>
      <c r="I168" s="129">
        <v>0</v>
      </c>
      <c r="J168" s="129">
        <v>0</v>
      </c>
      <c r="K168" s="129">
        <v>0</v>
      </c>
      <c r="L168" s="129">
        <v>0</v>
      </c>
      <c r="M168" s="129">
        <v>0</v>
      </c>
      <c r="N168" s="129">
        <v>0</v>
      </c>
      <c r="O168" s="129">
        <v>0</v>
      </c>
      <c r="P168" s="129">
        <v>0</v>
      </c>
      <c r="Q168" s="129">
        <v>0</v>
      </c>
      <c r="R168" s="129">
        <v>0</v>
      </c>
      <c r="S168" s="129">
        <v>0</v>
      </c>
      <c r="T168" s="129">
        <v>0</v>
      </c>
      <c r="U168" s="129">
        <v>0</v>
      </c>
      <c r="V168" s="129">
        <v>0</v>
      </c>
      <c r="W168" s="129">
        <v>1</v>
      </c>
      <c r="X168" s="129">
        <v>0</v>
      </c>
      <c r="Y168" s="129">
        <v>0</v>
      </c>
      <c r="Z168" s="129">
        <v>0</v>
      </c>
      <c r="AA168" s="129">
        <v>1</v>
      </c>
      <c r="AB168" s="129">
        <v>0</v>
      </c>
      <c r="AC168" s="129">
        <v>0</v>
      </c>
      <c r="AD168" s="129">
        <v>0</v>
      </c>
      <c r="AE168" s="129">
        <v>0</v>
      </c>
      <c r="AF168" s="129">
        <v>0</v>
      </c>
      <c r="AG168" s="129">
        <v>0</v>
      </c>
      <c r="AH168" s="129">
        <v>0</v>
      </c>
      <c r="AI168" s="126">
        <v>0</v>
      </c>
      <c r="AJ168" s="131">
        <v>5</v>
      </c>
    </row>
    <row r="169" spans="1:36" x14ac:dyDescent="0.35">
      <c r="A169" s="127" t="s">
        <v>591</v>
      </c>
      <c r="B169" s="127" t="s">
        <v>592</v>
      </c>
      <c r="C169" s="129">
        <v>6</v>
      </c>
      <c r="D169" s="129">
        <v>3</v>
      </c>
      <c r="E169" s="129">
        <v>0</v>
      </c>
      <c r="F169" s="129">
        <v>0</v>
      </c>
      <c r="G169" s="129">
        <v>9</v>
      </c>
      <c r="H169" s="129">
        <v>0</v>
      </c>
      <c r="I169" s="129">
        <v>0</v>
      </c>
      <c r="J169" s="129">
        <v>0</v>
      </c>
      <c r="K169" s="129">
        <v>0</v>
      </c>
      <c r="L169" s="129">
        <v>0</v>
      </c>
      <c r="M169" s="129">
        <v>0</v>
      </c>
      <c r="N169" s="129">
        <v>0</v>
      </c>
      <c r="O169" s="129">
        <v>0</v>
      </c>
      <c r="P169" s="129">
        <v>0</v>
      </c>
      <c r="Q169" s="129">
        <v>0</v>
      </c>
      <c r="R169" s="129">
        <v>0</v>
      </c>
      <c r="S169" s="129">
        <v>0</v>
      </c>
      <c r="T169" s="129">
        <v>0</v>
      </c>
      <c r="U169" s="129">
        <v>0</v>
      </c>
      <c r="V169" s="129">
        <v>0</v>
      </c>
      <c r="W169" s="129">
        <v>2</v>
      </c>
      <c r="X169" s="129">
        <v>0</v>
      </c>
      <c r="Y169" s="129">
        <v>0</v>
      </c>
      <c r="Z169" s="129">
        <v>0</v>
      </c>
      <c r="AA169" s="129">
        <v>2</v>
      </c>
      <c r="AB169" s="129">
        <v>0</v>
      </c>
      <c r="AC169" s="129">
        <v>0</v>
      </c>
      <c r="AD169" s="129">
        <v>0</v>
      </c>
      <c r="AE169" s="129">
        <v>0</v>
      </c>
      <c r="AF169" s="129">
        <v>0</v>
      </c>
      <c r="AG169" s="129">
        <v>0</v>
      </c>
      <c r="AH169" s="129">
        <v>0</v>
      </c>
      <c r="AI169" s="126">
        <v>0</v>
      </c>
      <c r="AJ169" s="131">
        <v>11</v>
      </c>
    </row>
    <row r="170" spans="1:36" x14ac:dyDescent="0.35">
      <c r="A170" s="127" t="s">
        <v>593</v>
      </c>
      <c r="B170" s="127" t="s">
        <v>594</v>
      </c>
      <c r="C170" s="129">
        <v>3</v>
      </c>
      <c r="D170" s="129">
        <v>1</v>
      </c>
      <c r="E170" s="129">
        <v>0</v>
      </c>
      <c r="F170" s="129">
        <v>0</v>
      </c>
      <c r="G170" s="129">
        <v>4</v>
      </c>
      <c r="H170" s="129">
        <v>0</v>
      </c>
      <c r="I170" s="129">
        <v>0</v>
      </c>
      <c r="J170" s="129">
        <v>0</v>
      </c>
      <c r="K170" s="129">
        <v>0</v>
      </c>
      <c r="L170" s="129">
        <v>0</v>
      </c>
      <c r="M170" s="129">
        <v>0</v>
      </c>
      <c r="N170" s="129">
        <v>0</v>
      </c>
      <c r="O170" s="129">
        <v>0</v>
      </c>
      <c r="P170" s="129">
        <v>0</v>
      </c>
      <c r="Q170" s="129">
        <v>0</v>
      </c>
      <c r="R170" s="129">
        <v>0</v>
      </c>
      <c r="S170" s="129">
        <v>0</v>
      </c>
      <c r="T170" s="129">
        <v>0</v>
      </c>
      <c r="U170" s="129">
        <v>0</v>
      </c>
      <c r="V170" s="129">
        <v>0</v>
      </c>
      <c r="W170" s="129">
        <v>0</v>
      </c>
      <c r="X170" s="129">
        <v>0</v>
      </c>
      <c r="Y170" s="129">
        <v>0</v>
      </c>
      <c r="Z170" s="129">
        <v>0</v>
      </c>
      <c r="AA170" s="129">
        <v>0</v>
      </c>
      <c r="AB170" s="129">
        <v>0</v>
      </c>
      <c r="AC170" s="129">
        <v>0</v>
      </c>
      <c r="AD170" s="129">
        <v>0</v>
      </c>
      <c r="AE170" s="129">
        <v>0</v>
      </c>
      <c r="AF170" s="129">
        <v>0</v>
      </c>
      <c r="AG170" s="129">
        <v>0</v>
      </c>
      <c r="AH170" s="129">
        <v>0</v>
      </c>
      <c r="AI170" s="126">
        <v>0</v>
      </c>
      <c r="AJ170" s="131">
        <v>4</v>
      </c>
    </row>
    <row r="171" spans="1:36" x14ac:dyDescent="0.35">
      <c r="A171" s="127" t="s">
        <v>595</v>
      </c>
      <c r="B171" s="127" t="s">
        <v>596</v>
      </c>
      <c r="C171" s="129">
        <v>4</v>
      </c>
      <c r="D171" s="129">
        <v>0</v>
      </c>
      <c r="E171" s="129">
        <v>0</v>
      </c>
      <c r="F171" s="129">
        <v>0</v>
      </c>
      <c r="G171" s="129">
        <v>4</v>
      </c>
      <c r="H171" s="129">
        <v>0</v>
      </c>
      <c r="I171" s="129">
        <v>0</v>
      </c>
      <c r="J171" s="129">
        <v>0</v>
      </c>
      <c r="K171" s="129">
        <v>0</v>
      </c>
      <c r="L171" s="129">
        <v>0</v>
      </c>
      <c r="M171" s="129">
        <v>0</v>
      </c>
      <c r="N171" s="129">
        <v>0</v>
      </c>
      <c r="O171" s="129">
        <v>0</v>
      </c>
      <c r="P171" s="129">
        <v>0</v>
      </c>
      <c r="Q171" s="129">
        <v>0</v>
      </c>
      <c r="R171" s="129">
        <v>1</v>
      </c>
      <c r="S171" s="129">
        <v>0</v>
      </c>
      <c r="T171" s="129">
        <v>0</v>
      </c>
      <c r="U171" s="129">
        <v>0</v>
      </c>
      <c r="V171" s="129">
        <v>1</v>
      </c>
      <c r="W171" s="129">
        <v>0</v>
      </c>
      <c r="X171" s="129">
        <v>0</v>
      </c>
      <c r="Y171" s="129">
        <v>0</v>
      </c>
      <c r="Z171" s="129">
        <v>0</v>
      </c>
      <c r="AA171" s="129">
        <v>0</v>
      </c>
      <c r="AB171" s="129">
        <v>0</v>
      </c>
      <c r="AC171" s="129">
        <v>0</v>
      </c>
      <c r="AD171" s="129">
        <v>0</v>
      </c>
      <c r="AE171" s="129">
        <v>0</v>
      </c>
      <c r="AF171" s="129">
        <v>0</v>
      </c>
      <c r="AG171" s="129">
        <v>0</v>
      </c>
      <c r="AH171" s="129">
        <v>0</v>
      </c>
      <c r="AI171" s="126">
        <v>0</v>
      </c>
      <c r="AJ171" s="131">
        <v>5</v>
      </c>
    </row>
    <row r="172" spans="1:36" x14ac:dyDescent="0.35">
      <c r="A172" s="127" t="s">
        <v>597</v>
      </c>
      <c r="B172" s="127" t="s">
        <v>598</v>
      </c>
      <c r="C172" s="129">
        <v>14</v>
      </c>
      <c r="D172" s="129">
        <v>2</v>
      </c>
      <c r="E172" s="129">
        <v>0</v>
      </c>
      <c r="F172" s="129">
        <v>0</v>
      </c>
      <c r="G172" s="129">
        <v>16</v>
      </c>
      <c r="H172" s="129">
        <v>0</v>
      </c>
      <c r="I172" s="129">
        <v>0</v>
      </c>
      <c r="J172" s="129">
        <v>0</v>
      </c>
      <c r="K172" s="129">
        <v>0</v>
      </c>
      <c r="L172" s="129">
        <v>0</v>
      </c>
      <c r="M172" s="129">
        <v>0</v>
      </c>
      <c r="N172" s="129">
        <v>0</v>
      </c>
      <c r="O172" s="129">
        <v>0</v>
      </c>
      <c r="P172" s="129">
        <v>0</v>
      </c>
      <c r="Q172" s="129">
        <v>0</v>
      </c>
      <c r="R172" s="129">
        <v>0</v>
      </c>
      <c r="S172" s="129">
        <v>0</v>
      </c>
      <c r="T172" s="129">
        <v>0</v>
      </c>
      <c r="U172" s="129">
        <v>0</v>
      </c>
      <c r="V172" s="129">
        <v>0</v>
      </c>
      <c r="W172" s="129">
        <v>0</v>
      </c>
      <c r="X172" s="129">
        <v>0</v>
      </c>
      <c r="Y172" s="129">
        <v>0</v>
      </c>
      <c r="Z172" s="129">
        <v>0</v>
      </c>
      <c r="AA172" s="129">
        <v>0</v>
      </c>
      <c r="AB172" s="129">
        <v>0</v>
      </c>
      <c r="AC172" s="129">
        <v>0</v>
      </c>
      <c r="AD172" s="129">
        <v>0</v>
      </c>
      <c r="AE172" s="129">
        <v>0</v>
      </c>
      <c r="AF172" s="129">
        <v>0</v>
      </c>
      <c r="AG172" s="129">
        <v>0</v>
      </c>
      <c r="AH172" s="129">
        <v>0</v>
      </c>
      <c r="AI172" s="126">
        <v>0</v>
      </c>
      <c r="AJ172" s="131">
        <v>16</v>
      </c>
    </row>
    <row r="173" spans="1:36" x14ac:dyDescent="0.35">
      <c r="A173" s="127" t="s">
        <v>599</v>
      </c>
      <c r="B173" s="127" t="s">
        <v>600</v>
      </c>
      <c r="C173" s="129">
        <v>9</v>
      </c>
      <c r="D173" s="129">
        <v>6</v>
      </c>
      <c r="E173" s="129">
        <v>1</v>
      </c>
      <c r="F173" s="129">
        <v>0</v>
      </c>
      <c r="G173" s="129">
        <v>16</v>
      </c>
      <c r="H173" s="129">
        <v>0</v>
      </c>
      <c r="I173" s="129">
        <v>0</v>
      </c>
      <c r="J173" s="129">
        <v>0</v>
      </c>
      <c r="K173" s="129">
        <v>0</v>
      </c>
      <c r="L173" s="129">
        <v>0</v>
      </c>
      <c r="M173" s="129">
        <v>0</v>
      </c>
      <c r="N173" s="129">
        <v>0</v>
      </c>
      <c r="O173" s="129">
        <v>0</v>
      </c>
      <c r="P173" s="129">
        <v>0</v>
      </c>
      <c r="Q173" s="129">
        <v>0</v>
      </c>
      <c r="R173" s="129">
        <v>0</v>
      </c>
      <c r="S173" s="129">
        <v>0</v>
      </c>
      <c r="T173" s="129">
        <v>0</v>
      </c>
      <c r="U173" s="129">
        <v>0</v>
      </c>
      <c r="V173" s="129">
        <v>0</v>
      </c>
      <c r="W173" s="129">
        <v>1</v>
      </c>
      <c r="X173" s="129">
        <v>0</v>
      </c>
      <c r="Y173" s="129">
        <v>0</v>
      </c>
      <c r="Z173" s="129">
        <v>0</v>
      </c>
      <c r="AA173" s="129">
        <v>1</v>
      </c>
      <c r="AB173" s="129">
        <v>0</v>
      </c>
      <c r="AC173" s="129">
        <v>0</v>
      </c>
      <c r="AD173" s="129">
        <v>0</v>
      </c>
      <c r="AE173" s="129">
        <v>0</v>
      </c>
      <c r="AF173" s="129">
        <v>0</v>
      </c>
      <c r="AG173" s="129">
        <v>0</v>
      </c>
      <c r="AH173" s="129">
        <v>0</v>
      </c>
      <c r="AI173" s="126">
        <v>0</v>
      </c>
      <c r="AJ173" s="131">
        <v>17</v>
      </c>
    </row>
    <row r="174" spans="1:36" x14ac:dyDescent="0.35">
      <c r="A174" s="127" t="s">
        <v>601</v>
      </c>
      <c r="B174" s="127" t="s">
        <v>602</v>
      </c>
      <c r="C174" s="129">
        <v>4</v>
      </c>
      <c r="D174" s="129">
        <v>0</v>
      </c>
      <c r="E174" s="129">
        <v>0</v>
      </c>
      <c r="F174" s="129">
        <v>0</v>
      </c>
      <c r="G174" s="129">
        <v>4</v>
      </c>
      <c r="H174" s="129">
        <v>0</v>
      </c>
      <c r="I174" s="129">
        <v>0</v>
      </c>
      <c r="J174" s="129">
        <v>0</v>
      </c>
      <c r="K174" s="129">
        <v>0</v>
      </c>
      <c r="L174" s="129">
        <v>0</v>
      </c>
      <c r="M174" s="129">
        <v>0</v>
      </c>
      <c r="N174" s="129">
        <v>0</v>
      </c>
      <c r="O174" s="129">
        <v>0</v>
      </c>
      <c r="P174" s="129">
        <v>0</v>
      </c>
      <c r="Q174" s="129">
        <v>0</v>
      </c>
      <c r="R174" s="129">
        <v>0</v>
      </c>
      <c r="S174" s="129">
        <v>0</v>
      </c>
      <c r="T174" s="129">
        <v>0</v>
      </c>
      <c r="U174" s="129">
        <v>0</v>
      </c>
      <c r="V174" s="129">
        <v>0</v>
      </c>
      <c r="W174" s="129">
        <v>0</v>
      </c>
      <c r="X174" s="129">
        <v>0</v>
      </c>
      <c r="Y174" s="129">
        <v>0</v>
      </c>
      <c r="Z174" s="129">
        <v>0</v>
      </c>
      <c r="AA174" s="129">
        <v>0</v>
      </c>
      <c r="AB174" s="129">
        <v>0</v>
      </c>
      <c r="AC174" s="129">
        <v>0</v>
      </c>
      <c r="AD174" s="129">
        <v>0</v>
      </c>
      <c r="AE174" s="129">
        <v>0</v>
      </c>
      <c r="AF174" s="129">
        <v>0</v>
      </c>
      <c r="AG174" s="129">
        <v>0</v>
      </c>
      <c r="AH174" s="129">
        <v>0</v>
      </c>
      <c r="AI174" s="126">
        <v>0</v>
      </c>
      <c r="AJ174" s="131">
        <v>4</v>
      </c>
    </row>
    <row r="175" spans="1:36" x14ac:dyDescent="0.35">
      <c r="A175" s="127" t="s">
        <v>603</v>
      </c>
      <c r="B175" s="127" t="s">
        <v>604</v>
      </c>
      <c r="C175" s="129">
        <v>2</v>
      </c>
      <c r="D175" s="129">
        <v>0</v>
      </c>
      <c r="E175" s="129">
        <v>0</v>
      </c>
      <c r="F175" s="129">
        <v>0</v>
      </c>
      <c r="G175" s="129">
        <v>2</v>
      </c>
      <c r="H175" s="129">
        <v>0</v>
      </c>
      <c r="I175" s="129">
        <v>0</v>
      </c>
      <c r="J175" s="129">
        <v>0</v>
      </c>
      <c r="K175" s="129">
        <v>0</v>
      </c>
      <c r="L175" s="129">
        <v>0</v>
      </c>
      <c r="M175" s="129">
        <v>0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>
        <v>0</v>
      </c>
      <c r="W175" s="129">
        <v>1</v>
      </c>
      <c r="X175" s="129">
        <v>0</v>
      </c>
      <c r="Y175" s="129">
        <v>0</v>
      </c>
      <c r="Z175" s="129">
        <v>0</v>
      </c>
      <c r="AA175" s="129">
        <v>1</v>
      </c>
      <c r="AB175" s="129">
        <v>0</v>
      </c>
      <c r="AC175" s="129">
        <v>0</v>
      </c>
      <c r="AD175" s="129">
        <v>0</v>
      </c>
      <c r="AE175" s="129">
        <v>0</v>
      </c>
      <c r="AF175" s="129">
        <v>0</v>
      </c>
      <c r="AG175" s="129">
        <v>0</v>
      </c>
      <c r="AH175" s="129">
        <v>0</v>
      </c>
      <c r="AI175" s="126">
        <v>0</v>
      </c>
      <c r="AJ175" s="131">
        <v>3</v>
      </c>
    </row>
    <row r="176" spans="1:36" x14ac:dyDescent="0.35">
      <c r="A176" s="127" t="s">
        <v>605</v>
      </c>
      <c r="B176" s="127" t="s">
        <v>606</v>
      </c>
      <c r="C176" s="129">
        <v>56</v>
      </c>
      <c r="D176" s="129">
        <v>10</v>
      </c>
      <c r="E176" s="129">
        <v>0</v>
      </c>
      <c r="F176" s="129">
        <v>0</v>
      </c>
      <c r="G176" s="129">
        <v>66</v>
      </c>
      <c r="H176" s="129">
        <v>1</v>
      </c>
      <c r="I176" s="129">
        <v>0</v>
      </c>
      <c r="J176" s="129">
        <v>0</v>
      </c>
      <c r="K176" s="129">
        <v>0</v>
      </c>
      <c r="L176" s="129">
        <v>1</v>
      </c>
      <c r="M176" s="129">
        <v>0</v>
      </c>
      <c r="N176" s="129">
        <v>1</v>
      </c>
      <c r="O176" s="129">
        <v>0</v>
      </c>
      <c r="P176" s="129">
        <v>0</v>
      </c>
      <c r="Q176" s="129">
        <v>1</v>
      </c>
      <c r="R176" s="129">
        <v>0</v>
      </c>
      <c r="S176" s="129">
        <v>0</v>
      </c>
      <c r="T176" s="129">
        <v>0</v>
      </c>
      <c r="U176" s="129">
        <v>0</v>
      </c>
      <c r="V176" s="129">
        <v>0</v>
      </c>
      <c r="W176" s="129">
        <v>8</v>
      </c>
      <c r="X176" s="129">
        <v>2</v>
      </c>
      <c r="Y176" s="129">
        <v>0</v>
      </c>
      <c r="Z176" s="129">
        <v>0</v>
      </c>
      <c r="AA176" s="129">
        <v>10</v>
      </c>
      <c r="AB176" s="129">
        <v>0</v>
      </c>
      <c r="AC176" s="129">
        <v>0</v>
      </c>
      <c r="AD176" s="129">
        <v>0</v>
      </c>
      <c r="AE176" s="129">
        <v>0</v>
      </c>
      <c r="AF176" s="129">
        <v>0</v>
      </c>
      <c r="AG176" s="129">
        <v>0</v>
      </c>
      <c r="AH176" s="129">
        <v>0</v>
      </c>
      <c r="AI176" s="126">
        <v>0</v>
      </c>
      <c r="AJ176" s="131">
        <v>78</v>
      </c>
    </row>
    <row r="177" spans="1:36" x14ac:dyDescent="0.35">
      <c r="A177" s="127" t="s">
        <v>607</v>
      </c>
      <c r="B177" s="127" t="s">
        <v>608</v>
      </c>
      <c r="C177" s="129">
        <v>6</v>
      </c>
      <c r="D177" s="129">
        <v>0</v>
      </c>
      <c r="E177" s="129">
        <v>1</v>
      </c>
      <c r="F177" s="129">
        <v>0</v>
      </c>
      <c r="G177" s="129">
        <v>7</v>
      </c>
      <c r="H177" s="129">
        <v>4</v>
      </c>
      <c r="I177" s="129">
        <v>0</v>
      </c>
      <c r="J177" s="129">
        <v>0</v>
      </c>
      <c r="K177" s="129">
        <v>0</v>
      </c>
      <c r="L177" s="129">
        <v>4</v>
      </c>
      <c r="M177" s="129">
        <v>1</v>
      </c>
      <c r="N177" s="129">
        <v>0</v>
      </c>
      <c r="O177" s="129">
        <v>0</v>
      </c>
      <c r="P177" s="129">
        <v>0</v>
      </c>
      <c r="Q177" s="129">
        <v>1</v>
      </c>
      <c r="R177" s="129">
        <v>0</v>
      </c>
      <c r="S177" s="129">
        <v>0</v>
      </c>
      <c r="T177" s="129">
        <v>0</v>
      </c>
      <c r="U177" s="129">
        <v>0</v>
      </c>
      <c r="V177" s="129">
        <v>0</v>
      </c>
      <c r="W177" s="129">
        <v>0</v>
      </c>
      <c r="X177" s="129">
        <v>0</v>
      </c>
      <c r="Y177" s="129">
        <v>0</v>
      </c>
      <c r="Z177" s="129">
        <v>0</v>
      </c>
      <c r="AA177" s="129">
        <v>0</v>
      </c>
      <c r="AB177" s="129">
        <v>0</v>
      </c>
      <c r="AC177" s="129">
        <v>0</v>
      </c>
      <c r="AD177" s="129">
        <v>0</v>
      </c>
      <c r="AE177" s="129">
        <v>0</v>
      </c>
      <c r="AF177" s="129">
        <v>0</v>
      </c>
      <c r="AG177" s="129">
        <v>0</v>
      </c>
      <c r="AH177" s="129">
        <v>0</v>
      </c>
      <c r="AI177" s="126">
        <v>0</v>
      </c>
      <c r="AJ177" s="131">
        <v>12</v>
      </c>
    </row>
    <row r="178" spans="1:36" x14ac:dyDescent="0.35">
      <c r="A178" s="127" t="s">
        <v>609</v>
      </c>
      <c r="B178" s="127" t="s">
        <v>610</v>
      </c>
      <c r="C178" s="129">
        <v>7</v>
      </c>
      <c r="D178" s="129">
        <v>1</v>
      </c>
      <c r="E178" s="129">
        <v>0</v>
      </c>
      <c r="F178" s="129">
        <v>0</v>
      </c>
      <c r="G178" s="129">
        <v>8</v>
      </c>
      <c r="H178" s="129">
        <v>0</v>
      </c>
      <c r="I178" s="129">
        <v>0</v>
      </c>
      <c r="J178" s="129">
        <v>0</v>
      </c>
      <c r="K178" s="129">
        <v>0</v>
      </c>
      <c r="L178" s="129">
        <v>0</v>
      </c>
      <c r="M178" s="129">
        <v>0</v>
      </c>
      <c r="N178" s="129">
        <v>0</v>
      </c>
      <c r="O178" s="129">
        <v>0</v>
      </c>
      <c r="P178" s="129">
        <v>0</v>
      </c>
      <c r="Q178" s="129">
        <v>0</v>
      </c>
      <c r="R178" s="129">
        <v>0</v>
      </c>
      <c r="S178" s="129">
        <v>0</v>
      </c>
      <c r="T178" s="129">
        <v>0</v>
      </c>
      <c r="U178" s="129">
        <v>0</v>
      </c>
      <c r="V178" s="129">
        <v>0</v>
      </c>
      <c r="W178" s="129">
        <v>2</v>
      </c>
      <c r="X178" s="129">
        <v>0</v>
      </c>
      <c r="Y178" s="129">
        <v>0</v>
      </c>
      <c r="Z178" s="129">
        <v>0</v>
      </c>
      <c r="AA178" s="129">
        <v>2</v>
      </c>
      <c r="AB178" s="129">
        <v>0</v>
      </c>
      <c r="AC178" s="129">
        <v>0</v>
      </c>
      <c r="AD178" s="129">
        <v>0</v>
      </c>
      <c r="AE178" s="129">
        <v>0</v>
      </c>
      <c r="AF178" s="129">
        <v>0</v>
      </c>
      <c r="AG178" s="129">
        <v>0</v>
      </c>
      <c r="AH178" s="129">
        <v>0</v>
      </c>
      <c r="AI178" s="126">
        <v>0</v>
      </c>
      <c r="AJ178" s="131">
        <v>10</v>
      </c>
    </row>
    <row r="179" spans="1:36" x14ac:dyDescent="0.35">
      <c r="A179" s="127" t="s">
        <v>611</v>
      </c>
      <c r="B179" s="127" t="s">
        <v>612</v>
      </c>
      <c r="C179" s="129">
        <v>3</v>
      </c>
      <c r="D179" s="129">
        <v>0</v>
      </c>
      <c r="E179" s="129">
        <v>0</v>
      </c>
      <c r="F179" s="129">
        <v>0</v>
      </c>
      <c r="G179" s="129">
        <v>3</v>
      </c>
      <c r="H179" s="129">
        <v>0</v>
      </c>
      <c r="I179" s="129">
        <v>0</v>
      </c>
      <c r="J179" s="129">
        <v>0</v>
      </c>
      <c r="K179" s="129">
        <v>0</v>
      </c>
      <c r="L179" s="129">
        <v>0</v>
      </c>
      <c r="M179" s="129">
        <v>0</v>
      </c>
      <c r="N179" s="129">
        <v>0</v>
      </c>
      <c r="O179" s="129">
        <v>0</v>
      </c>
      <c r="P179" s="129">
        <v>0</v>
      </c>
      <c r="Q179" s="129">
        <v>0</v>
      </c>
      <c r="R179" s="129">
        <v>0</v>
      </c>
      <c r="S179" s="129">
        <v>0</v>
      </c>
      <c r="T179" s="129">
        <v>0</v>
      </c>
      <c r="U179" s="129">
        <v>0</v>
      </c>
      <c r="V179" s="129">
        <v>0</v>
      </c>
      <c r="W179" s="129">
        <v>3</v>
      </c>
      <c r="X179" s="129">
        <v>0</v>
      </c>
      <c r="Y179" s="129">
        <v>0</v>
      </c>
      <c r="Z179" s="129">
        <v>0</v>
      </c>
      <c r="AA179" s="129">
        <v>3</v>
      </c>
      <c r="AB179" s="129">
        <v>0</v>
      </c>
      <c r="AC179" s="129">
        <v>0</v>
      </c>
      <c r="AD179" s="129">
        <v>0</v>
      </c>
      <c r="AE179" s="129">
        <v>0</v>
      </c>
      <c r="AF179" s="129">
        <v>0</v>
      </c>
      <c r="AG179" s="129">
        <v>0</v>
      </c>
      <c r="AH179" s="129">
        <v>0</v>
      </c>
      <c r="AI179" s="126">
        <v>0</v>
      </c>
      <c r="AJ179" s="131">
        <v>6</v>
      </c>
    </row>
    <row r="180" spans="1:36" x14ac:dyDescent="0.35">
      <c r="A180" s="127" t="s">
        <v>613</v>
      </c>
      <c r="B180" s="127" t="s">
        <v>614</v>
      </c>
      <c r="C180" s="129">
        <v>4</v>
      </c>
      <c r="D180" s="129">
        <v>4</v>
      </c>
      <c r="E180" s="129">
        <v>0</v>
      </c>
      <c r="F180" s="129">
        <v>0</v>
      </c>
      <c r="G180" s="129">
        <v>8</v>
      </c>
      <c r="H180" s="129">
        <v>1</v>
      </c>
      <c r="I180" s="129">
        <v>1</v>
      </c>
      <c r="J180" s="129">
        <v>0</v>
      </c>
      <c r="K180" s="129">
        <v>0</v>
      </c>
      <c r="L180" s="129">
        <v>2</v>
      </c>
      <c r="M180" s="129">
        <v>0</v>
      </c>
      <c r="N180" s="129">
        <v>0</v>
      </c>
      <c r="O180" s="129">
        <v>0</v>
      </c>
      <c r="P180" s="129">
        <v>0</v>
      </c>
      <c r="Q180" s="129">
        <v>0</v>
      </c>
      <c r="R180" s="129">
        <v>1</v>
      </c>
      <c r="S180" s="129">
        <v>0</v>
      </c>
      <c r="T180" s="129">
        <v>0</v>
      </c>
      <c r="U180" s="129">
        <v>0</v>
      </c>
      <c r="V180" s="129">
        <v>1</v>
      </c>
      <c r="W180" s="129">
        <v>0</v>
      </c>
      <c r="X180" s="129">
        <v>1</v>
      </c>
      <c r="Y180" s="129">
        <v>0</v>
      </c>
      <c r="Z180" s="129">
        <v>0</v>
      </c>
      <c r="AA180" s="129">
        <v>1</v>
      </c>
      <c r="AB180" s="129">
        <v>1</v>
      </c>
      <c r="AC180" s="129">
        <v>0</v>
      </c>
      <c r="AD180" s="129">
        <v>0</v>
      </c>
      <c r="AE180" s="129">
        <v>0</v>
      </c>
      <c r="AF180" s="129">
        <v>1</v>
      </c>
      <c r="AG180" s="129">
        <v>0</v>
      </c>
      <c r="AH180" s="129">
        <v>0</v>
      </c>
      <c r="AI180" s="126">
        <v>0</v>
      </c>
      <c r="AJ180" s="131">
        <v>13</v>
      </c>
    </row>
    <row r="181" spans="1:36" x14ac:dyDescent="0.35">
      <c r="A181" s="127" t="s">
        <v>615</v>
      </c>
      <c r="B181" s="127" t="s">
        <v>616</v>
      </c>
      <c r="C181" s="129">
        <v>9</v>
      </c>
      <c r="D181" s="129">
        <v>2</v>
      </c>
      <c r="E181" s="129">
        <v>0</v>
      </c>
      <c r="F181" s="129">
        <v>0</v>
      </c>
      <c r="G181" s="129">
        <v>11</v>
      </c>
      <c r="H181" s="129">
        <v>0</v>
      </c>
      <c r="I181" s="129">
        <v>0</v>
      </c>
      <c r="J181" s="129">
        <v>0</v>
      </c>
      <c r="K181" s="129">
        <v>0</v>
      </c>
      <c r="L181" s="129">
        <v>0</v>
      </c>
      <c r="M181" s="129">
        <v>0</v>
      </c>
      <c r="N181" s="129">
        <v>0</v>
      </c>
      <c r="O181" s="129">
        <v>0</v>
      </c>
      <c r="P181" s="129">
        <v>0</v>
      </c>
      <c r="Q181" s="129">
        <v>0</v>
      </c>
      <c r="R181" s="129">
        <v>0</v>
      </c>
      <c r="S181" s="129">
        <v>0</v>
      </c>
      <c r="T181" s="129">
        <v>0</v>
      </c>
      <c r="U181" s="129">
        <v>0</v>
      </c>
      <c r="V181" s="129">
        <v>0</v>
      </c>
      <c r="W181" s="129">
        <v>2</v>
      </c>
      <c r="X181" s="129">
        <v>0</v>
      </c>
      <c r="Y181" s="129">
        <v>0</v>
      </c>
      <c r="Z181" s="129">
        <v>0</v>
      </c>
      <c r="AA181" s="129">
        <v>2</v>
      </c>
      <c r="AB181" s="129">
        <v>0</v>
      </c>
      <c r="AC181" s="129">
        <v>0</v>
      </c>
      <c r="AD181" s="129">
        <v>0</v>
      </c>
      <c r="AE181" s="129">
        <v>0</v>
      </c>
      <c r="AF181" s="129">
        <v>0</v>
      </c>
      <c r="AG181" s="129">
        <v>0</v>
      </c>
      <c r="AH181" s="129">
        <v>0</v>
      </c>
      <c r="AI181" s="126">
        <v>0</v>
      </c>
      <c r="AJ181" s="131">
        <v>13</v>
      </c>
    </row>
    <row r="182" spans="1:36" x14ac:dyDescent="0.35">
      <c r="A182" s="127" t="s">
        <v>617</v>
      </c>
      <c r="B182" s="127" t="s">
        <v>618</v>
      </c>
      <c r="C182" s="129">
        <v>10</v>
      </c>
      <c r="D182" s="129">
        <v>0</v>
      </c>
      <c r="E182" s="129">
        <v>0</v>
      </c>
      <c r="F182" s="129">
        <v>0</v>
      </c>
      <c r="G182" s="129">
        <v>10</v>
      </c>
      <c r="H182" s="129">
        <v>0</v>
      </c>
      <c r="I182" s="129">
        <v>0</v>
      </c>
      <c r="J182" s="129">
        <v>0</v>
      </c>
      <c r="K182" s="129">
        <v>0</v>
      </c>
      <c r="L182" s="129">
        <v>0</v>
      </c>
      <c r="M182" s="129">
        <v>0</v>
      </c>
      <c r="N182" s="129">
        <v>0</v>
      </c>
      <c r="O182" s="129">
        <v>0</v>
      </c>
      <c r="P182" s="129">
        <v>0</v>
      </c>
      <c r="Q182" s="129">
        <v>0</v>
      </c>
      <c r="R182" s="129">
        <v>0</v>
      </c>
      <c r="S182" s="129">
        <v>0</v>
      </c>
      <c r="T182" s="129">
        <v>0</v>
      </c>
      <c r="U182" s="129">
        <v>0</v>
      </c>
      <c r="V182" s="129">
        <v>0</v>
      </c>
      <c r="W182" s="129">
        <v>0</v>
      </c>
      <c r="X182" s="129">
        <v>0</v>
      </c>
      <c r="Y182" s="129">
        <v>0</v>
      </c>
      <c r="Z182" s="129">
        <v>0</v>
      </c>
      <c r="AA182" s="129">
        <v>0</v>
      </c>
      <c r="AB182" s="129">
        <v>0</v>
      </c>
      <c r="AC182" s="129">
        <v>0</v>
      </c>
      <c r="AD182" s="129">
        <v>0</v>
      </c>
      <c r="AE182" s="129">
        <v>0</v>
      </c>
      <c r="AF182" s="129">
        <v>0</v>
      </c>
      <c r="AG182" s="129">
        <v>0</v>
      </c>
      <c r="AH182" s="129">
        <v>0</v>
      </c>
      <c r="AI182" s="126">
        <v>0</v>
      </c>
      <c r="AJ182" s="131">
        <v>10</v>
      </c>
    </row>
    <row r="183" spans="1:36" x14ac:dyDescent="0.35">
      <c r="A183" s="127" t="s">
        <v>619</v>
      </c>
      <c r="B183" s="127" t="s">
        <v>620</v>
      </c>
      <c r="C183" s="129">
        <v>35</v>
      </c>
      <c r="D183" s="129">
        <v>4</v>
      </c>
      <c r="E183" s="129">
        <v>0</v>
      </c>
      <c r="F183" s="129">
        <v>0</v>
      </c>
      <c r="G183" s="129">
        <v>39</v>
      </c>
      <c r="H183" s="129">
        <v>1</v>
      </c>
      <c r="I183" s="129">
        <v>0</v>
      </c>
      <c r="J183" s="129">
        <v>0</v>
      </c>
      <c r="K183" s="129">
        <v>0</v>
      </c>
      <c r="L183" s="129">
        <v>1</v>
      </c>
      <c r="M183" s="129">
        <v>0</v>
      </c>
      <c r="N183" s="129">
        <v>0</v>
      </c>
      <c r="O183" s="129">
        <v>0</v>
      </c>
      <c r="P183" s="129">
        <v>0</v>
      </c>
      <c r="Q183" s="129">
        <v>0</v>
      </c>
      <c r="R183" s="129">
        <v>0</v>
      </c>
      <c r="S183" s="129">
        <v>0</v>
      </c>
      <c r="T183" s="129">
        <v>0</v>
      </c>
      <c r="U183" s="129">
        <v>0</v>
      </c>
      <c r="V183" s="129">
        <v>0</v>
      </c>
      <c r="W183" s="129">
        <v>6</v>
      </c>
      <c r="X183" s="129">
        <v>1</v>
      </c>
      <c r="Y183" s="129">
        <v>0</v>
      </c>
      <c r="Z183" s="129">
        <v>0</v>
      </c>
      <c r="AA183" s="129">
        <v>7</v>
      </c>
      <c r="AB183" s="129">
        <v>0</v>
      </c>
      <c r="AC183" s="129">
        <v>0</v>
      </c>
      <c r="AD183" s="129">
        <v>0</v>
      </c>
      <c r="AE183" s="129">
        <v>0</v>
      </c>
      <c r="AF183" s="129">
        <v>0</v>
      </c>
      <c r="AG183" s="129">
        <v>0</v>
      </c>
      <c r="AH183" s="129">
        <v>0</v>
      </c>
      <c r="AI183" s="126">
        <v>0</v>
      </c>
      <c r="AJ183" s="131">
        <v>47</v>
      </c>
    </row>
    <row r="184" spans="1:36" x14ac:dyDescent="0.35">
      <c r="A184" s="127" t="s">
        <v>621</v>
      </c>
      <c r="B184" s="127" t="s">
        <v>622</v>
      </c>
      <c r="C184" s="129">
        <v>2</v>
      </c>
      <c r="D184" s="129">
        <v>1</v>
      </c>
      <c r="E184" s="129">
        <v>0</v>
      </c>
      <c r="F184" s="129">
        <v>0</v>
      </c>
      <c r="G184" s="129">
        <v>3</v>
      </c>
      <c r="H184" s="129">
        <v>0</v>
      </c>
      <c r="I184" s="129">
        <v>0</v>
      </c>
      <c r="J184" s="129">
        <v>0</v>
      </c>
      <c r="K184" s="129">
        <v>0</v>
      </c>
      <c r="L184" s="129">
        <v>0</v>
      </c>
      <c r="M184" s="129">
        <v>0</v>
      </c>
      <c r="N184" s="129">
        <v>0</v>
      </c>
      <c r="O184" s="129">
        <v>0</v>
      </c>
      <c r="P184" s="129">
        <v>0</v>
      </c>
      <c r="Q184" s="129">
        <v>0</v>
      </c>
      <c r="R184" s="129">
        <v>0</v>
      </c>
      <c r="S184" s="129">
        <v>0</v>
      </c>
      <c r="T184" s="129">
        <v>0</v>
      </c>
      <c r="U184" s="129">
        <v>0</v>
      </c>
      <c r="V184" s="129">
        <v>0</v>
      </c>
      <c r="W184" s="129">
        <v>0</v>
      </c>
      <c r="X184" s="129">
        <v>1</v>
      </c>
      <c r="Y184" s="129">
        <v>0</v>
      </c>
      <c r="Z184" s="129">
        <v>0</v>
      </c>
      <c r="AA184" s="129">
        <v>1</v>
      </c>
      <c r="AB184" s="129">
        <v>0</v>
      </c>
      <c r="AC184" s="129">
        <v>0</v>
      </c>
      <c r="AD184" s="129">
        <v>0</v>
      </c>
      <c r="AE184" s="129">
        <v>0</v>
      </c>
      <c r="AF184" s="129">
        <v>0</v>
      </c>
      <c r="AG184" s="129">
        <v>0</v>
      </c>
      <c r="AH184" s="129">
        <v>0</v>
      </c>
      <c r="AI184" s="126">
        <v>0</v>
      </c>
      <c r="AJ184" s="131">
        <v>4</v>
      </c>
    </row>
    <row r="185" spans="1:36" x14ac:dyDescent="0.35">
      <c r="A185" s="127" t="s">
        <v>623</v>
      </c>
      <c r="B185" s="127" t="s">
        <v>1372</v>
      </c>
      <c r="C185" s="129">
        <v>10</v>
      </c>
      <c r="D185" s="129">
        <v>2</v>
      </c>
      <c r="E185" s="129">
        <v>0</v>
      </c>
      <c r="F185" s="129">
        <v>0</v>
      </c>
      <c r="G185" s="129">
        <v>12</v>
      </c>
      <c r="H185" s="129">
        <v>1</v>
      </c>
      <c r="I185" s="129">
        <v>0</v>
      </c>
      <c r="J185" s="129">
        <v>0</v>
      </c>
      <c r="K185" s="129">
        <v>0</v>
      </c>
      <c r="L185" s="129">
        <v>1</v>
      </c>
      <c r="M185" s="129">
        <v>1</v>
      </c>
      <c r="N185" s="129">
        <v>0</v>
      </c>
      <c r="O185" s="129">
        <v>0</v>
      </c>
      <c r="P185" s="129">
        <v>0</v>
      </c>
      <c r="Q185" s="129">
        <v>1</v>
      </c>
      <c r="R185" s="129">
        <v>0</v>
      </c>
      <c r="S185" s="129">
        <v>0</v>
      </c>
      <c r="T185" s="129">
        <v>0</v>
      </c>
      <c r="U185" s="129">
        <v>0</v>
      </c>
      <c r="V185" s="129">
        <v>0</v>
      </c>
      <c r="W185" s="129">
        <v>6</v>
      </c>
      <c r="X185" s="129">
        <v>4</v>
      </c>
      <c r="Y185" s="129">
        <v>1</v>
      </c>
      <c r="Z185" s="129">
        <v>0</v>
      </c>
      <c r="AA185" s="129">
        <v>11</v>
      </c>
      <c r="AB185" s="129">
        <v>0</v>
      </c>
      <c r="AC185" s="129">
        <v>0</v>
      </c>
      <c r="AD185" s="129">
        <v>0</v>
      </c>
      <c r="AE185" s="129">
        <v>0</v>
      </c>
      <c r="AF185" s="129">
        <v>0</v>
      </c>
      <c r="AG185" s="129">
        <v>0</v>
      </c>
      <c r="AH185" s="129">
        <v>0</v>
      </c>
      <c r="AI185" s="126">
        <v>0</v>
      </c>
      <c r="AJ185" s="131">
        <v>25</v>
      </c>
    </row>
    <row r="186" spans="1:36" x14ac:dyDescent="0.35">
      <c r="A186" s="127" t="s">
        <v>624</v>
      </c>
      <c r="B186" s="127" t="s">
        <v>625</v>
      </c>
      <c r="C186" s="129">
        <v>60</v>
      </c>
      <c r="D186" s="129">
        <v>19</v>
      </c>
      <c r="E186" s="129">
        <v>1</v>
      </c>
      <c r="F186" s="129">
        <v>1</v>
      </c>
      <c r="G186" s="129">
        <v>81</v>
      </c>
      <c r="H186" s="129">
        <v>0</v>
      </c>
      <c r="I186" s="129">
        <v>0</v>
      </c>
      <c r="J186" s="129">
        <v>0</v>
      </c>
      <c r="K186" s="129">
        <v>0</v>
      </c>
      <c r="L186" s="129">
        <v>0</v>
      </c>
      <c r="M186" s="129">
        <v>0</v>
      </c>
      <c r="N186" s="129">
        <v>0</v>
      </c>
      <c r="O186" s="129">
        <v>0</v>
      </c>
      <c r="P186" s="129">
        <v>0</v>
      </c>
      <c r="Q186" s="129">
        <v>0</v>
      </c>
      <c r="R186" s="129">
        <v>0</v>
      </c>
      <c r="S186" s="129">
        <v>0</v>
      </c>
      <c r="T186" s="129">
        <v>0</v>
      </c>
      <c r="U186" s="129">
        <v>0</v>
      </c>
      <c r="V186" s="129">
        <v>0</v>
      </c>
      <c r="W186" s="129">
        <v>2</v>
      </c>
      <c r="X186" s="129">
        <v>2</v>
      </c>
      <c r="Y186" s="129">
        <v>0</v>
      </c>
      <c r="Z186" s="129">
        <v>0</v>
      </c>
      <c r="AA186" s="129">
        <v>4</v>
      </c>
      <c r="AB186" s="129">
        <v>0</v>
      </c>
      <c r="AC186" s="129">
        <v>0</v>
      </c>
      <c r="AD186" s="129">
        <v>0</v>
      </c>
      <c r="AE186" s="129">
        <v>0</v>
      </c>
      <c r="AF186" s="129">
        <v>0</v>
      </c>
      <c r="AG186" s="129">
        <v>0</v>
      </c>
      <c r="AH186" s="129">
        <v>0</v>
      </c>
      <c r="AI186" s="126">
        <v>0</v>
      </c>
      <c r="AJ186" s="131">
        <v>85</v>
      </c>
    </row>
    <row r="187" spans="1:36" x14ac:dyDescent="0.35">
      <c r="A187" s="127" t="s">
        <v>626</v>
      </c>
      <c r="B187" s="127" t="s">
        <v>627</v>
      </c>
      <c r="C187" s="129">
        <v>1</v>
      </c>
      <c r="D187" s="129">
        <v>0</v>
      </c>
      <c r="E187" s="129">
        <v>0</v>
      </c>
      <c r="F187" s="129">
        <v>0</v>
      </c>
      <c r="G187" s="129">
        <v>1</v>
      </c>
      <c r="H187" s="129">
        <v>0</v>
      </c>
      <c r="I187" s="129">
        <v>0</v>
      </c>
      <c r="J187" s="129">
        <v>0</v>
      </c>
      <c r="K187" s="129">
        <v>0</v>
      </c>
      <c r="L187" s="129">
        <v>0</v>
      </c>
      <c r="M187" s="129">
        <v>0</v>
      </c>
      <c r="N187" s="129">
        <v>0</v>
      </c>
      <c r="O187" s="129">
        <v>0</v>
      </c>
      <c r="P187" s="129">
        <v>0</v>
      </c>
      <c r="Q187" s="129">
        <v>0</v>
      </c>
      <c r="R187" s="129">
        <v>0</v>
      </c>
      <c r="S187" s="129">
        <v>0</v>
      </c>
      <c r="T187" s="129">
        <v>0</v>
      </c>
      <c r="U187" s="129">
        <v>0</v>
      </c>
      <c r="V187" s="129">
        <v>0</v>
      </c>
      <c r="W187" s="129">
        <v>0</v>
      </c>
      <c r="X187" s="129">
        <v>0</v>
      </c>
      <c r="Y187" s="129">
        <v>0</v>
      </c>
      <c r="Z187" s="129">
        <v>0</v>
      </c>
      <c r="AA187" s="129">
        <v>0</v>
      </c>
      <c r="AB187" s="129">
        <v>1</v>
      </c>
      <c r="AC187" s="129">
        <v>0</v>
      </c>
      <c r="AD187" s="129">
        <v>0</v>
      </c>
      <c r="AE187" s="129">
        <v>0</v>
      </c>
      <c r="AF187" s="129">
        <v>1</v>
      </c>
      <c r="AG187" s="129">
        <v>0</v>
      </c>
      <c r="AH187" s="129">
        <v>0</v>
      </c>
      <c r="AI187" s="126">
        <v>0</v>
      </c>
      <c r="AJ187" s="131">
        <v>2</v>
      </c>
    </row>
    <row r="188" spans="1:36" x14ac:dyDescent="0.35">
      <c r="A188" s="127" t="s">
        <v>628</v>
      </c>
      <c r="B188" s="127" t="s">
        <v>629</v>
      </c>
      <c r="C188" s="129">
        <v>1</v>
      </c>
      <c r="D188" s="129">
        <v>1</v>
      </c>
      <c r="E188" s="129">
        <v>0</v>
      </c>
      <c r="F188" s="129">
        <v>0</v>
      </c>
      <c r="G188" s="129">
        <v>2</v>
      </c>
      <c r="H188" s="129">
        <v>0</v>
      </c>
      <c r="I188" s="129">
        <v>0</v>
      </c>
      <c r="J188" s="129">
        <v>0</v>
      </c>
      <c r="K188" s="129">
        <v>0</v>
      </c>
      <c r="L188" s="129">
        <v>0</v>
      </c>
      <c r="M188" s="129">
        <v>0</v>
      </c>
      <c r="N188" s="129">
        <v>0</v>
      </c>
      <c r="O188" s="129">
        <v>0</v>
      </c>
      <c r="P188" s="129">
        <v>0</v>
      </c>
      <c r="Q188" s="129">
        <v>0</v>
      </c>
      <c r="R188" s="129">
        <v>0</v>
      </c>
      <c r="S188" s="129">
        <v>0</v>
      </c>
      <c r="T188" s="129">
        <v>0</v>
      </c>
      <c r="U188" s="129">
        <v>0</v>
      </c>
      <c r="V188" s="129">
        <v>0</v>
      </c>
      <c r="W188" s="129">
        <v>0</v>
      </c>
      <c r="X188" s="129">
        <v>0</v>
      </c>
      <c r="Y188" s="129">
        <v>0</v>
      </c>
      <c r="Z188" s="129">
        <v>0</v>
      </c>
      <c r="AA188" s="129">
        <v>0</v>
      </c>
      <c r="AB188" s="129">
        <v>0</v>
      </c>
      <c r="AC188" s="129">
        <v>0</v>
      </c>
      <c r="AD188" s="129">
        <v>0</v>
      </c>
      <c r="AE188" s="129">
        <v>0</v>
      </c>
      <c r="AF188" s="129">
        <v>0</v>
      </c>
      <c r="AG188" s="129">
        <v>0</v>
      </c>
      <c r="AH188" s="129">
        <v>0</v>
      </c>
      <c r="AI188" s="126">
        <v>0</v>
      </c>
      <c r="AJ188" s="131">
        <v>2</v>
      </c>
    </row>
    <row r="189" spans="1:36" x14ac:dyDescent="0.35">
      <c r="A189" s="127" t="s">
        <v>1398</v>
      </c>
      <c r="B189" s="127" t="s">
        <v>1399</v>
      </c>
      <c r="C189" s="129">
        <v>0</v>
      </c>
      <c r="D189" s="129">
        <v>0</v>
      </c>
      <c r="E189" s="129">
        <v>0</v>
      </c>
      <c r="F189" s="129">
        <v>0</v>
      </c>
      <c r="G189" s="129">
        <v>0</v>
      </c>
      <c r="H189" s="129">
        <v>0</v>
      </c>
      <c r="I189" s="129">
        <v>0</v>
      </c>
      <c r="J189" s="129">
        <v>0</v>
      </c>
      <c r="K189" s="129">
        <v>0</v>
      </c>
      <c r="L189" s="129">
        <v>0</v>
      </c>
      <c r="M189" s="129">
        <v>0</v>
      </c>
      <c r="N189" s="129">
        <v>0</v>
      </c>
      <c r="O189" s="129">
        <v>0</v>
      </c>
      <c r="P189" s="129">
        <v>0</v>
      </c>
      <c r="Q189" s="129">
        <v>0</v>
      </c>
      <c r="R189" s="129">
        <v>0</v>
      </c>
      <c r="S189" s="129">
        <v>0</v>
      </c>
      <c r="T189" s="129">
        <v>0</v>
      </c>
      <c r="U189" s="129">
        <v>0</v>
      </c>
      <c r="V189" s="129">
        <v>0</v>
      </c>
      <c r="W189" s="129">
        <v>0</v>
      </c>
      <c r="X189" s="129">
        <v>0</v>
      </c>
      <c r="Y189" s="129">
        <v>0</v>
      </c>
      <c r="Z189" s="129">
        <v>0</v>
      </c>
      <c r="AA189" s="129">
        <v>0</v>
      </c>
      <c r="AB189" s="129">
        <v>0</v>
      </c>
      <c r="AC189" s="129">
        <v>0</v>
      </c>
      <c r="AD189" s="129">
        <v>0</v>
      </c>
      <c r="AE189" s="129">
        <v>0</v>
      </c>
      <c r="AF189" s="129">
        <v>0</v>
      </c>
      <c r="AG189" s="129">
        <v>0</v>
      </c>
      <c r="AH189" s="129">
        <v>0</v>
      </c>
      <c r="AI189" s="126">
        <v>0</v>
      </c>
      <c r="AJ189" s="131">
        <v>0</v>
      </c>
    </row>
    <row r="190" spans="1:36" x14ac:dyDescent="0.35">
      <c r="A190" s="127" t="s">
        <v>630</v>
      </c>
      <c r="B190" s="127" t="s">
        <v>631</v>
      </c>
      <c r="C190" s="129">
        <v>4</v>
      </c>
      <c r="D190" s="129">
        <v>0</v>
      </c>
      <c r="E190" s="129">
        <v>0</v>
      </c>
      <c r="F190" s="129">
        <v>0</v>
      </c>
      <c r="G190" s="129">
        <v>4</v>
      </c>
      <c r="H190" s="129">
        <v>0</v>
      </c>
      <c r="I190" s="129">
        <v>0</v>
      </c>
      <c r="J190" s="129">
        <v>0</v>
      </c>
      <c r="K190" s="129">
        <v>0</v>
      </c>
      <c r="L190" s="129">
        <v>0</v>
      </c>
      <c r="M190" s="129">
        <v>0</v>
      </c>
      <c r="N190" s="129">
        <v>0</v>
      </c>
      <c r="O190" s="129">
        <v>0</v>
      </c>
      <c r="P190" s="129">
        <v>0</v>
      </c>
      <c r="Q190" s="129">
        <v>0</v>
      </c>
      <c r="R190" s="129">
        <v>0</v>
      </c>
      <c r="S190" s="129">
        <v>0</v>
      </c>
      <c r="T190" s="129">
        <v>0</v>
      </c>
      <c r="U190" s="129">
        <v>0</v>
      </c>
      <c r="V190" s="129">
        <v>0</v>
      </c>
      <c r="W190" s="129">
        <v>0</v>
      </c>
      <c r="X190" s="129">
        <v>0</v>
      </c>
      <c r="Y190" s="129">
        <v>0</v>
      </c>
      <c r="Z190" s="129">
        <v>0</v>
      </c>
      <c r="AA190" s="129">
        <v>0</v>
      </c>
      <c r="AB190" s="129">
        <v>0</v>
      </c>
      <c r="AC190" s="129">
        <v>0</v>
      </c>
      <c r="AD190" s="129">
        <v>0</v>
      </c>
      <c r="AE190" s="129">
        <v>0</v>
      </c>
      <c r="AF190" s="129">
        <v>0</v>
      </c>
      <c r="AG190" s="129">
        <v>0</v>
      </c>
      <c r="AH190" s="129">
        <v>0</v>
      </c>
      <c r="AI190" s="126">
        <v>0</v>
      </c>
      <c r="AJ190" s="131">
        <v>4</v>
      </c>
    </row>
    <row r="191" spans="1:36" x14ac:dyDescent="0.35">
      <c r="A191" s="127" t="s">
        <v>1400</v>
      </c>
      <c r="B191" s="127" t="s">
        <v>1401</v>
      </c>
      <c r="C191" s="129">
        <v>0</v>
      </c>
      <c r="D191" s="129">
        <v>0</v>
      </c>
      <c r="E191" s="129">
        <v>0</v>
      </c>
      <c r="F191" s="129">
        <v>0</v>
      </c>
      <c r="G191" s="129">
        <v>0</v>
      </c>
      <c r="H191" s="129">
        <v>0</v>
      </c>
      <c r="I191" s="129">
        <v>0</v>
      </c>
      <c r="J191" s="129">
        <v>0</v>
      </c>
      <c r="K191" s="129">
        <v>0</v>
      </c>
      <c r="L191" s="129">
        <v>0</v>
      </c>
      <c r="M191" s="129">
        <v>0</v>
      </c>
      <c r="N191" s="129">
        <v>0</v>
      </c>
      <c r="O191" s="129">
        <v>0</v>
      </c>
      <c r="P191" s="129">
        <v>0</v>
      </c>
      <c r="Q191" s="129">
        <v>0</v>
      </c>
      <c r="R191" s="129">
        <v>0</v>
      </c>
      <c r="S191" s="129">
        <v>0</v>
      </c>
      <c r="T191" s="129">
        <v>0</v>
      </c>
      <c r="U191" s="129">
        <v>0</v>
      </c>
      <c r="V191" s="129">
        <v>0</v>
      </c>
      <c r="W191" s="129">
        <v>0</v>
      </c>
      <c r="X191" s="129">
        <v>0</v>
      </c>
      <c r="Y191" s="129">
        <v>0</v>
      </c>
      <c r="Z191" s="129">
        <v>0</v>
      </c>
      <c r="AA191" s="129">
        <v>0</v>
      </c>
      <c r="AB191" s="129">
        <v>0</v>
      </c>
      <c r="AC191" s="129">
        <v>0</v>
      </c>
      <c r="AD191" s="129">
        <v>0</v>
      </c>
      <c r="AE191" s="129">
        <v>0</v>
      </c>
      <c r="AF191" s="129">
        <v>0</v>
      </c>
      <c r="AG191" s="129">
        <v>0</v>
      </c>
      <c r="AH191" s="129">
        <v>0</v>
      </c>
      <c r="AI191" s="126">
        <v>0</v>
      </c>
      <c r="AJ191" s="131">
        <v>0</v>
      </c>
    </row>
    <row r="192" spans="1:36" x14ac:dyDescent="0.35">
      <c r="A192" s="127" t="s">
        <v>632</v>
      </c>
      <c r="B192" s="127" t="s">
        <v>633</v>
      </c>
      <c r="C192" s="129">
        <v>4</v>
      </c>
      <c r="D192" s="129">
        <v>2</v>
      </c>
      <c r="E192" s="129">
        <v>0</v>
      </c>
      <c r="F192" s="129">
        <v>0</v>
      </c>
      <c r="G192" s="129">
        <v>6</v>
      </c>
      <c r="H192" s="129">
        <v>0</v>
      </c>
      <c r="I192" s="129">
        <v>0</v>
      </c>
      <c r="J192" s="129">
        <v>0</v>
      </c>
      <c r="K192" s="129">
        <v>0</v>
      </c>
      <c r="L192" s="129">
        <v>0</v>
      </c>
      <c r="M192" s="129">
        <v>0</v>
      </c>
      <c r="N192" s="129">
        <v>0</v>
      </c>
      <c r="O192" s="129">
        <v>0</v>
      </c>
      <c r="P192" s="129">
        <v>0</v>
      </c>
      <c r="Q192" s="129">
        <v>0</v>
      </c>
      <c r="R192" s="129">
        <v>0</v>
      </c>
      <c r="S192" s="129">
        <v>0</v>
      </c>
      <c r="T192" s="129">
        <v>0</v>
      </c>
      <c r="U192" s="129">
        <v>0</v>
      </c>
      <c r="V192" s="129">
        <v>0</v>
      </c>
      <c r="W192" s="129">
        <v>0</v>
      </c>
      <c r="X192" s="129">
        <v>0</v>
      </c>
      <c r="Y192" s="129">
        <v>0</v>
      </c>
      <c r="Z192" s="129">
        <v>1</v>
      </c>
      <c r="AA192" s="129">
        <v>1</v>
      </c>
      <c r="AB192" s="129">
        <v>0</v>
      </c>
      <c r="AC192" s="129">
        <v>0</v>
      </c>
      <c r="AD192" s="129">
        <v>0</v>
      </c>
      <c r="AE192" s="129">
        <v>0</v>
      </c>
      <c r="AF192" s="129">
        <v>0</v>
      </c>
      <c r="AG192" s="129">
        <v>0</v>
      </c>
      <c r="AH192" s="129">
        <v>0</v>
      </c>
      <c r="AI192" s="126">
        <v>0</v>
      </c>
      <c r="AJ192" s="131">
        <v>7</v>
      </c>
    </row>
    <row r="193" spans="1:36" x14ac:dyDescent="0.35">
      <c r="A193" s="127" t="s">
        <v>634</v>
      </c>
      <c r="B193" s="127" t="s">
        <v>635</v>
      </c>
      <c r="C193" s="129">
        <v>12</v>
      </c>
      <c r="D193" s="129">
        <v>0</v>
      </c>
      <c r="E193" s="129">
        <v>0</v>
      </c>
      <c r="F193" s="129">
        <v>0</v>
      </c>
      <c r="G193" s="129">
        <v>12</v>
      </c>
      <c r="H193" s="129">
        <v>0</v>
      </c>
      <c r="I193" s="129">
        <v>0</v>
      </c>
      <c r="J193" s="129">
        <v>0</v>
      </c>
      <c r="K193" s="129">
        <v>0</v>
      </c>
      <c r="L193" s="129">
        <v>0</v>
      </c>
      <c r="M193" s="129">
        <v>0</v>
      </c>
      <c r="N193" s="129">
        <v>0</v>
      </c>
      <c r="O193" s="129">
        <v>0</v>
      </c>
      <c r="P193" s="129">
        <v>0</v>
      </c>
      <c r="Q193" s="129">
        <v>0</v>
      </c>
      <c r="R193" s="129">
        <v>0</v>
      </c>
      <c r="S193" s="129">
        <v>0</v>
      </c>
      <c r="T193" s="129">
        <v>0</v>
      </c>
      <c r="U193" s="129">
        <v>0</v>
      </c>
      <c r="V193" s="129">
        <v>0</v>
      </c>
      <c r="W193" s="129">
        <v>3</v>
      </c>
      <c r="X193" s="129">
        <v>0</v>
      </c>
      <c r="Y193" s="129">
        <v>0</v>
      </c>
      <c r="Z193" s="129">
        <v>0</v>
      </c>
      <c r="AA193" s="129">
        <v>3</v>
      </c>
      <c r="AB193" s="129">
        <v>0</v>
      </c>
      <c r="AC193" s="129">
        <v>0</v>
      </c>
      <c r="AD193" s="129">
        <v>0</v>
      </c>
      <c r="AE193" s="129">
        <v>0</v>
      </c>
      <c r="AF193" s="129">
        <v>0</v>
      </c>
      <c r="AG193" s="129">
        <v>0</v>
      </c>
      <c r="AH193" s="129">
        <v>0</v>
      </c>
      <c r="AI193" s="126">
        <v>0</v>
      </c>
      <c r="AJ193" s="131">
        <v>15</v>
      </c>
    </row>
    <row r="194" spans="1:36" x14ac:dyDescent="0.35">
      <c r="A194" s="127" t="s">
        <v>636</v>
      </c>
      <c r="B194" s="127" t="s">
        <v>637</v>
      </c>
      <c r="C194" s="129">
        <v>2</v>
      </c>
      <c r="D194" s="129">
        <v>1</v>
      </c>
      <c r="E194" s="129">
        <v>0</v>
      </c>
      <c r="F194" s="129">
        <v>0</v>
      </c>
      <c r="G194" s="129">
        <v>3</v>
      </c>
      <c r="H194" s="129">
        <v>0</v>
      </c>
      <c r="I194" s="129">
        <v>0</v>
      </c>
      <c r="J194" s="129">
        <v>0</v>
      </c>
      <c r="K194" s="129">
        <v>0</v>
      </c>
      <c r="L194" s="129">
        <v>0</v>
      </c>
      <c r="M194" s="129">
        <v>0</v>
      </c>
      <c r="N194" s="129">
        <v>0</v>
      </c>
      <c r="O194" s="129">
        <v>0</v>
      </c>
      <c r="P194" s="129">
        <v>0</v>
      </c>
      <c r="Q194" s="129">
        <v>0</v>
      </c>
      <c r="R194" s="129">
        <v>0</v>
      </c>
      <c r="S194" s="129">
        <v>0</v>
      </c>
      <c r="T194" s="129">
        <v>0</v>
      </c>
      <c r="U194" s="129">
        <v>0</v>
      </c>
      <c r="V194" s="129">
        <v>0</v>
      </c>
      <c r="W194" s="129">
        <v>0</v>
      </c>
      <c r="X194" s="129">
        <v>0</v>
      </c>
      <c r="Y194" s="129">
        <v>0</v>
      </c>
      <c r="Z194" s="129">
        <v>0</v>
      </c>
      <c r="AA194" s="129">
        <v>0</v>
      </c>
      <c r="AB194" s="129">
        <v>0</v>
      </c>
      <c r="AC194" s="129">
        <v>0</v>
      </c>
      <c r="AD194" s="129">
        <v>0</v>
      </c>
      <c r="AE194" s="129">
        <v>0</v>
      </c>
      <c r="AF194" s="129">
        <v>0</v>
      </c>
      <c r="AG194" s="129">
        <v>0</v>
      </c>
      <c r="AH194" s="129">
        <v>0</v>
      </c>
      <c r="AI194" s="126">
        <v>0</v>
      </c>
      <c r="AJ194" s="131">
        <v>3</v>
      </c>
    </row>
    <row r="195" spans="1:36" x14ac:dyDescent="0.35">
      <c r="A195" s="127" t="s">
        <v>638</v>
      </c>
      <c r="B195" s="127" t="s">
        <v>1227</v>
      </c>
      <c r="C195" s="129">
        <v>485</v>
      </c>
      <c r="D195" s="129">
        <v>47</v>
      </c>
      <c r="E195" s="129">
        <v>2</v>
      </c>
      <c r="F195" s="129">
        <v>0</v>
      </c>
      <c r="G195" s="129">
        <v>534</v>
      </c>
      <c r="H195" s="129">
        <v>28</v>
      </c>
      <c r="I195" s="129">
        <v>0</v>
      </c>
      <c r="J195" s="129">
        <v>0</v>
      </c>
      <c r="K195" s="129">
        <v>0</v>
      </c>
      <c r="L195" s="129">
        <v>28</v>
      </c>
      <c r="M195" s="129">
        <v>21</v>
      </c>
      <c r="N195" s="129">
        <v>0</v>
      </c>
      <c r="O195" s="129">
        <v>0</v>
      </c>
      <c r="P195" s="129">
        <v>0</v>
      </c>
      <c r="Q195" s="129">
        <v>21</v>
      </c>
      <c r="R195" s="129">
        <v>8</v>
      </c>
      <c r="S195" s="129">
        <v>0</v>
      </c>
      <c r="T195" s="129">
        <v>0</v>
      </c>
      <c r="U195" s="129">
        <v>0</v>
      </c>
      <c r="V195" s="129">
        <v>8</v>
      </c>
      <c r="W195" s="129">
        <v>105</v>
      </c>
      <c r="X195" s="129">
        <v>5</v>
      </c>
      <c r="Y195" s="129">
        <v>0</v>
      </c>
      <c r="Z195" s="129">
        <v>0</v>
      </c>
      <c r="AA195" s="129">
        <v>110</v>
      </c>
      <c r="AB195" s="129">
        <v>6</v>
      </c>
      <c r="AC195" s="129">
        <v>0</v>
      </c>
      <c r="AD195" s="129">
        <v>0</v>
      </c>
      <c r="AE195" s="129">
        <v>0</v>
      </c>
      <c r="AF195" s="129">
        <v>6</v>
      </c>
      <c r="AG195" s="129">
        <v>0</v>
      </c>
      <c r="AH195" s="129">
        <v>0</v>
      </c>
      <c r="AI195" s="126">
        <v>0</v>
      </c>
      <c r="AJ195" s="131">
        <v>707</v>
      </c>
    </row>
    <row r="196" spans="1:36" x14ac:dyDescent="0.35">
      <c r="A196" s="127" t="s">
        <v>639</v>
      </c>
      <c r="B196" s="127" t="s">
        <v>640</v>
      </c>
      <c r="C196" s="129">
        <v>70</v>
      </c>
      <c r="D196" s="129">
        <v>7</v>
      </c>
      <c r="E196" s="129">
        <v>0</v>
      </c>
      <c r="F196" s="129">
        <v>0</v>
      </c>
      <c r="G196" s="129">
        <v>77</v>
      </c>
      <c r="H196" s="129">
        <v>6</v>
      </c>
      <c r="I196" s="129">
        <v>0</v>
      </c>
      <c r="J196" s="129">
        <v>0</v>
      </c>
      <c r="K196" s="129">
        <v>0</v>
      </c>
      <c r="L196" s="129">
        <v>6</v>
      </c>
      <c r="M196" s="129">
        <v>3</v>
      </c>
      <c r="N196" s="129">
        <v>0</v>
      </c>
      <c r="O196" s="129">
        <v>0</v>
      </c>
      <c r="P196" s="129">
        <v>0</v>
      </c>
      <c r="Q196" s="129">
        <v>3</v>
      </c>
      <c r="R196" s="129">
        <v>0</v>
      </c>
      <c r="S196" s="129">
        <v>0</v>
      </c>
      <c r="T196" s="129">
        <v>0</v>
      </c>
      <c r="U196" s="129">
        <v>0</v>
      </c>
      <c r="V196" s="129">
        <v>0</v>
      </c>
      <c r="W196" s="129">
        <v>18</v>
      </c>
      <c r="X196" s="129">
        <v>1</v>
      </c>
      <c r="Y196" s="129">
        <v>1</v>
      </c>
      <c r="Z196" s="129">
        <v>0</v>
      </c>
      <c r="AA196" s="129">
        <v>20</v>
      </c>
      <c r="AB196" s="129">
        <v>1</v>
      </c>
      <c r="AC196" s="129">
        <v>0</v>
      </c>
      <c r="AD196" s="129">
        <v>0</v>
      </c>
      <c r="AE196" s="129">
        <v>0</v>
      </c>
      <c r="AF196" s="129">
        <v>1</v>
      </c>
      <c r="AG196" s="129">
        <v>0</v>
      </c>
      <c r="AH196" s="129">
        <v>0</v>
      </c>
      <c r="AI196" s="126">
        <v>0</v>
      </c>
      <c r="AJ196" s="131">
        <v>107</v>
      </c>
    </row>
    <row r="197" spans="1:36" x14ac:dyDescent="0.35">
      <c r="A197" s="127" t="s">
        <v>1373</v>
      </c>
      <c r="B197" s="127" t="s">
        <v>1374</v>
      </c>
      <c r="C197" s="129">
        <v>198</v>
      </c>
      <c r="D197" s="129">
        <v>9</v>
      </c>
      <c r="E197" s="129">
        <v>2</v>
      </c>
      <c r="F197" s="129">
        <v>0</v>
      </c>
      <c r="G197" s="129">
        <v>209</v>
      </c>
      <c r="H197" s="129">
        <v>10</v>
      </c>
      <c r="I197" s="129">
        <v>0</v>
      </c>
      <c r="J197" s="129">
        <v>0</v>
      </c>
      <c r="K197" s="129">
        <v>0</v>
      </c>
      <c r="L197" s="129">
        <v>10</v>
      </c>
      <c r="M197" s="129">
        <v>5</v>
      </c>
      <c r="N197" s="129">
        <v>0</v>
      </c>
      <c r="O197" s="129">
        <v>0</v>
      </c>
      <c r="P197" s="129">
        <v>0</v>
      </c>
      <c r="Q197" s="129">
        <v>5</v>
      </c>
      <c r="R197" s="129">
        <v>16</v>
      </c>
      <c r="S197" s="129">
        <v>0</v>
      </c>
      <c r="T197" s="129">
        <v>0</v>
      </c>
      <c r="U197" s="129">
        <v>0</v>
      </c>
      <c r="V197" s="129">
        <v>16</v>
      </c>
      <c r="W197" s="129">
        <v>16</v>
      </c>
      <c r="X197" s="129">
        <v>1</v>
      </c>
      <c r="Y197" s="129">
        <v>0</v>
      </c>
      <c r="Z197" s="129">
        <v>0</v>
      </c>
      <c r="AA197" s="129">
        <v>17</v>
      </c>
      <c r="AB197" s="129">
        <v>16</v>
      </c>
      <c r="AC197" s="129">
        <v>0</v>
      </c>
      <c r="AD197" s="129">
        <v>0</v>
      </c>
      <c r="AE197" s="129">
        <v>0</v>
      </c>
      <c r="AF197" s="129">
        <v>16</v>
      </c>
      <c r="AG197" s="129">
        <v>0</v>
      </c>
      <c r="AH197" s="129">
        <v>0</v>
      </c>
      <c r="AI197" s="126">
        <v>0</v>
      </c>
      <c r="AJ197" s="131">
        <v>273</v>
      </c>
    </row>
    <row r="198" spans="1:36" x14ac:dyDescent="0.35">
      <c r="A198" s="127" t="s">
        <v>1375</v>
      </c>
      <c r="B198" s="127" t="s">
        <v>1376</v>
      </c>
      <c r="C198" s="129">
        <v>106</v>
      </c>
      <c r="D198" s="129">
        <v>4</v>
      </c>
      <c r="E198" s="129">
        <v>0</v>
      </c>
      <c r="F198" s="129">
        <v>0</v>
      </c>
      <c r="G198" s="129">
        <v>110</v>
      </c>
      <c r="H198" s="129">
        <v>0</v>
      </c>
      <c r="I198" s="129">
        <v>0</v>
      </c>
      <c r="J198" s="129">
        <v>0</v>
      </c>
      <c r="K198" s="129">
        <v>0</v>
      </c>
      <c r="L198" s="129">
        <v>0</v>
      </c>
      <c r="M198" s="129">
        <v>1</v>
      </c>
      <c r="N198" s="129">
        <v>0</v>
      </c>
      <c r="O198" s="129">
        <v>0</v>
      </c>
      <c r="P198" s="129">
        <v>0</v>
      </c>
      <c r="Q198" s="129">
        <v>1</v>
      </c>
      <c r="R198" s="129">
        <v>5</v>
      </c>
      <c r="S198" s="129">
        <v>0</v>
      </c>
      <c r="T198" s="129">
        <v>0</v>
      </c>
      <c r="U198" s="129">
        <v>0</v>
      </c>
      <c r="V198" s="129">
        <v>5</v>
      </c>
      <c r="W198" s="129">
        <v>17</v>
      </c>
      <c r="X198" s="129">
        <v>0</v>
      </c>
      <c r="Y198" s="129">
        <v>0</v>
      </c>
      <c r="Z198" s="129">
        <v>0</v>
      </c>
      <c r="AA198" s="129">
        <v>17</v>
      </c>
      <c r="AB198" s="129">
        <v>1</v>
      </c>
      <c r="AC198" s="129">
        <v>0</v>
      </c>
      <c r="AD198" s="129">
        <v>0</v>
      </c>
      <c r="AE198" s="129">
        <v>0</v>
      </c>
      <c r="AF198" s="129">
        <v>1</v>
      </c>
      <c r="AG198" s="129">
        <v>0</v>
      </c>
      <c r="AH198" s="129">
        <v>0</v>
      </c>
      <c r="AI198" s="126">
        <v>0</v>
      </c>
      <c r="AJ198" s="131">
        <v>134</v>
      </c>
    </row>
    <row r="199" spans="1:36" x14ac:dyDescent="0.35">
      <c r="A199" s="127" t="s">
        <v>641</v>
      </c>
      <c r="B199" s="127" t="s">
        <v>642</v>
      </c>
      <c r="C199" s="129">
        <v>9</v>
      </c>
      <c r="D199" s="129">
        <v>0</v>
      </c>
      <c r="E199" s="129">
        <v>0</v>
      </c>
      <c r="F199" s="129">
        <v>0</v>
      </c>
      <c r="G199" s="129">
        <v>9</v>
      </c>
      <c r="H199" s="129">
        <v>0</v>
      </c>
      <c r="I199" s="129">
        <v>0</v>
      </c>
      <c r="J199" s="129">
        <v>0</v>
      </c>
      <c r="K199" s="129">
        <v>0</v>
      </c>
      <c r="L199" s="129">
        <v>0</v>
      </c>
      <c r="M199" s="129">
        <v>0</v>
      </c>
      <c r="N199" s="129">
        <v>0</v>
      </c>
      <c r="O199" s="129">
        <v>0</v>
      </c>
      <c r="P199" s="129">
        <v>0</v>
      </c>
      <c r="Q199" s="129">
        <v>0</v>
      </c>
      <c r="R199" s="129">
        <v>0</v>
      </c>
      <c r="S199" s="129">
        <v>0</v>
      </c>
      <c r="T199" s="129">
        <v>0</v>
      </c>
      <c r="U199" s="129">
        <v>0</v>
      </c>
      <c r="V199" s="129">
        <v>0</v>
      </c>
      <c r="W199" s="129">
        <v>0</v>
      </c>
      <c r="X199" s="129">
        <v>0</v>
      </c>
      <c r="Y199" s="129">
        <v>0</v>
      </c>
      <c r="Z199" s="129">
        <v>0</v>
      </c>
      <c r="AA199" s="129">
        <v>0</v>
      </c>
      <c r="AB199" s="129">
        <v>0</v>
      </c>
      <c r="AC199" s="129">
        <v>0</v>
      </c>
      <c r="AD199" s="129">
        <v>0</v>
      </c>
      <c r="AE199" s="129">
        <v>0</v>
      </c>
      <c r="AF199" s="129">
        <v>0</v>
      </c>
      <c r="AG199" s="129">
        <v>0</v>
      </c>
      <c r="AH199" s="129">
        <v>0</v>
      </c>
      <c r="AI199" s="126">
        <v>0</v>
      </c>
      <c r="AJ199" s="131">
        <v>9</v>
      </c>
    </row>
    <row r="200" spans="1:36" x14ac:dyDescent="0.35">
      <c r="A200" s="127" t="s">
        <v>643</v>
      </c>
      <c r="B200" s="127" t="s">
        <v>644</v>
      </c>
      <c r="C200" s="129">
        <v>26</v>
      </c>
      <c r="D200" s="129">
        <v>1</v>
      </c>
      <c r="E200" s="129">
        <v>0</v>
      </c>
      <c r="F200" s="129">
        <v>0</v>
      </c>
      <c r="G200" s="129">
        <v>27</v>
      </c>
      <c r="H200" s="129">
        <v>1</v>
      </c>
      <c r="I200" s="129">
        <v>0</v>
      </c>
      <c r="J200" s="129">
        <v>0</v>
      </c>
      <c r="K200" s="129">
        <v>0</v>
      </c>
      <c r="L200" s="129">
        <v>1</v>
      </c>
      <c r="M200" s="129">
        <v>0</v>
      </c>
      <c r="N200" s="129">
        <v>0</v>
      </c>
      <c r="O200" s="129">
        <v>0</v>
      </c>
      <c r="P200" s="129">
        <v>0</v>
      </c>
      <c r="Q200" s="129">
        <v>0</v>
      </c>
      <c r="R200" s="129">
        <v>0</v>
      </c>
      <c r="S200" s="129">
        <v>0</v>
      </c>
      <c r="T200" s="129">
        <v>0</v>
      </c>
      <c r="U200" s="129">
        <v>0</v>
      </c>
      <c r="V200" s="129">
        <v>0</v>
      </c>
      <c r="W200" s="129">
        <v>4</v>
      </c>
      <c r="X200" s="129">
        <v>0</v>
      </c>
      <c r="Y200" s="129">
        <v>0</v>
      </c>
      <c r="Z200" s="129">
        <v>0</v>
      </c>
      <c r="AA200" s="129">
        <v>4</v>
      </c>
      <c r="AB200" s="129">
        <v>0</v>
      </c>
      <c r="AC200" s="129">
        <v>0</v>
      </c>
      <c r="AD200" s="129">
        <v>0</v>
      </c>
      <c r="AE200" s="129">
        <v>0</v>
      </c>
      <c r="AF200" s="129">
        <v>0</v>
      </c>
      <c r="AG200" s="129">
        <v>0</v>
      </c>
      <c r="AH200" s="129">
        <v>0</v>
      </c>
      <c r="AI200" s="126">
        <v>0</v>
      </c>
      <c r="AJ200" s="131">
        <v>32</v>
      </c>
    </row>
    <row r="201" spans="1:36" x14ac:dyDescent="0.35">
      <c r="A201" s="127" t="s">
        <v>645</v>
      </c>
      <c r="B201" s="127" t="s">
        <v>646</v>
      </c>
      <c r="C201" s="129">
        <v>30</v>
      </c>
      <c r="D201" s="129">
        <v>2</v>
      </c>
      <c r="E201" s="129">
        <v>0</v>
      </c>
      <c r="F201" s="129">
        <v>0</v>
      </c>
      <c r="G201" s="129">
        <v>32</v>
      </c>
      <c r="H201" s="129">
        <v>0</v>
      </c>
      <c r="I201" s="129">
        <v>0</v>
      </c>
      <c r="J201" s="129">
        <v>0</v>
      </c>
      <c r="K201" s="129">
        <v>0</v>
      </c>
      <c r="L201" s="129">
        <v>0</v>
      </c>
      <c r="M201" s="129">
        <v>0</v>
      </c>
      <c r="N201" s="129">
        <v>0</v>
      </c>
      <c r="O201" s="129">
        <v>0</v>
      </c>
      <c r="P201" s="129">
        <v>0</v>
      </c>
      <c r="Q201" s="129">
        <v>0</v>
      </c>
      <c r="R201" s="129">
        <v>0</v>
      </c>
      <c r="S201" s="129">
        <v>0</v>
      </c>
      <c r="T201" s="129">
        <v>0</v>
      </c>
      <c r="U201" s="129">
        <v>0</v>
      </c>
      <c r="V201" s="129">
        <v>0</v>
      </c>
      <c r="W201" s="129">
        <v>1</v>
      </c>
      <c r="X201" s="129">
        <v>0</v>
      </c>
      <c r="Y201" s="129">
        <v>0</v>
      </c>
      <c r="Z201" s="129">
        <v>0</v>
      </c>
      <c r="AA201" s="129">
        <v>1</v>
      </c>
      <c r="AB201" s="129">
        <v>1</v>
      </c>
      <c r="AC201" s="129">
        <v>0</v>
      </c>
      <c r="AD201" s="129">
        <v>0</v>
      </c>
      <c r="AE201" s="129">
        <v>0</v>
      </c>
      <c r="AF201" s="129">
        <v>1</v>
      </c>
      <c r="AG201" s="129">
        <v>0</v>
      </c>
      <c r="AH201" s="129">
        <v>0</v>
      </c>
      <c r="AI201" s="126">
        <v>0</v>
      </c>
      <c r="AJ201" s="131">
        <v>34</v>
      </c>
    </row>
    <row r="202" spans="1:36" x14ac:dyDescent="0.35">
      <c r="A202" s="127" t="s">
        <v>647</v>
      </c>
      <c r="B202" s="127" t="s">
        <v>648</v>
      </c>
      <c r="C202" s="129">
        <v>186</v>
      </c>
      <c r="D202" s="129">
        <v>16</v>
      </c>
      <c r="E202" s="129">
        <v>1</v>
      </c>
      <c r="F202" s="129">
        <v>0</v>
      </c>
      <c r="G202" s="129">
        <v>203</v>
      </c>
      <c r="H202" s="129">
        <v>6</v>
      </c>
      <c r="I202" s="129">
        <v>0</v>
      </c>
      <c r="J202" s="129">
        <v>0</v>
      </c>
      <c r="K202" s="129">
        <v>0</v>
      </c>
      <c r="L202" s="129">
        <v>6</v>
      </c>
      <c r="M202" s="129">
        <v>2</v>
      </c>
      <c r="N202" s="129">
        <v>0</v>
      </c>
      <c r="O202" s="129">
        <v>0</v>
      </c>
      <c r="P202" s="129">
        <v>0</v>
      </c>
      <c r="Q202" s="129">
        <v>2</v>
      </c>
      <c r="R202" s="129">
        <v>1</v>
      </c>
      <c r="S202" s="129">
        <v>0</v>
      </c>
      <c r="T202" s="129">
        <v>0</v>
      </c>
      <c r="U202" s="129">
        <v>0</v>
      </c>
      <c r="V202" s="129">
        <v>1</v>
      </c>
      <c r="W202" s="129">
        <v>27</v>
      </c>
      <c r="X202" s="129">
        <v>0</v>
      </c>
      <c r="Y202" s="129">
        <v>0</v>
      </c>
      <c r="Z202" s="129">
        <v>0</v>
      </c>
      <c r="AA202" s="129">
        <v>27</v>
      </c>
      <c r="AB202" s="129">
        <v>5</v>
      </c>
      <c r="AC202" s="129">
        <v>0</v>
      </c>
      <c r="AD202" s="129">
        <v>0</v>
      </c>
      <c r="AE202" s="129">
        <v>0</v>
      </c>
      <c r="AF202" s="129">
        <v>5</v>
      </c>
      <c r="AG202" s="129">
        <v>0</v>
      </c>
      <c r="AH202" s="129">
        <v>0</v>
      </c>
      <c r="AI202" s="126">
        <v>0</v>
      </c>
      <c r="AJ202" s="131">
        <v>244</v>
      </c>
    </row>
    <row r="203" spans="1:36" x14ac:dyDescent="0.35">
      <c r="A203" s="127" t="s">
        <v>649</v>
      </c>
      <c r="B203" s="127" t="s">
        <v>650</v>
      </c>
      <c r="C203" s="129">
        <v>203</v>
      </c>
      <c r="D203" s="129">
        <v>35</v>
      </c>
      <c r="E203" s="129">
        <v>10</v>
      </c>
      <c r="F203" s="129">
        <v>1</v>
      </c>
      <c r="G203" s="129">
        <v>249</v>
      </c>
      <c r="H203" s="129">
        <v>7</v>
      </c>
      <c r="I203" s="129">
        <v>0</v>
      </c>
      <c r="J203" s="129">
        <v>0</v>
      </c>
      <c r="K203" s="129">
        <v>1</v>
      </c>
      <c r="L203" s="129">
        <v>8</v>
      </c>
      <c r="M203" s="129">
        <v>6</v>
      </c>
      <c r="N203" s="129">
        <v>0</v>
      </c>
      <c r="O203" s="129">
        <v>1</v>
      </c>
      <c r="P203" s="129">
        <v>0</v>
      </c>
      <c r="Q203" s="129">
        <v>7</v>
      </c>
      <c r="R203" s="129">
        <v>0</v>
      </c>
      <c r="S203" s="129">
        <v>0</v>
      </c>
      <c r="T203" s="129">
        <v>0</v>
      </c>
      <c r="U203" s="129">
        <v>0</v>
      </c>
      <c r="V203" s="129">
        <v>0</v>
      </c>
      <c r="W203" s="129">
        <v>23</v>
      </c>
      <c r="X203" s="129">
        <v>9</v>
      </c>
      <c r="Y203" s="129">
        <v>2</v>
      </c>
      <c r="Z203" s="129">
        <v>0</v>
      </c>
      <c r="AA203" s="129">
        <v>34</v>
      </c>
      <c r="AB203" s="129">
        <v>2</v>
      </c>
      <c r="AC203" s="129">
        <v>0</v>
      </c>
      <c r="AD203" s="129">
        <v>0</v>
      </c>
      <c r="AE203" s="129">
        <v>0</v>
      </c>
      <c r="AF203" s="129">
        <v>2</v>
      </c>
      <c r="AG203" s="129">
        <v>0</v>
      </c>
      <c r="AH203" s="129">
        <v>0</v>
      </c>
      <c r="AI203" s="126">
        <v>0</v>
      </c>
      <c r="AJ203" s="131">
        <v>300</v>
      </c>
    </row>
    <row r="204" spans="1:36" x14ac:dyDescent="0.35">
      <c r="A204" s="127" t="s">
        <v>651</v>
      </c>
      <c r="B204" s="127" t="s">
        <v>652</v>
      </c>
      <c r="C204" s="129">
        <v>112</v>
      </c>
      <c r="D204" s="129">
        <v>4</v>
      </c>
      <c r="E204" s="129">
        <v>0</v>
      </c>
      <c r="F204" s="129">
        <v>0</v>
      </c>
      <c r="G204" s="129">
        <v>116</v>
      </c>
      <c r="H204" s="129">
        <v>14</v>
      </c>
      <c r="I204" s="129">
        <v>0</v>
      </c>
      <c r="J204" s="129">
        <v>0</v>
      </c>
      <c r="K204" s="129">
        <v>0</v>
      </c>
      <c r="L204" s="129">
        <v>14</v>
      </c>
      <c r="M204" s="129">
        <v>22</v>
      </c>
      <c r="N204" s="129">
        <v>0</v>
      </c>
      <c r="O204" s="129">
        <v>0</v>
      </c>
      <c r="P204" s="129">
        <v>0</v>
      </c>
      <c r="Q204" s="129">
        <v>22</v>
      </c>
      <c r="R204" s="129">
        <v>14</v>
      </c>
      <c r="S204" s="129">
        <v>0</v>
      </c>
      <c r="T204" s="129">
        <v>0</v>
      </c>
      <c r="U204" s="129">
        <v>0</v>
      </c>
      <c r="V204" s="129">
        <v>14</v>
      </c>
      <c r="W204" s="129">
        <v>31</v>
      </c>
      <c r="X204" s="129">
        <v>1</v>
      </c>
      <c r="Y204" s="129">
        <v>0</v>
      </c>
      <c r="Z204" s="129">
        <v>0</v>
      </c>
      <c r="AA204" s="129">
        <v>32</v>
      </c>
      <c r="AB204" s="129">
        <v>7</v>
      </c>
      <c r="AC204" s="129">
        <v>0</v>
      </c>
      <c r="AD204" s="129">
        <v>0</v>
      </c>
      <c r="AE204" s="129">
        <v>0</v>
      </c>
      <c r="AF204" s="129">
        <v>7</v>
      </c>
      <c r="AG204" s="129">
        <v>0</v>
      </c>
      <c r="AH204" s="129">
        <v>0</v>
      </c>
      <c r="AI204" s="126">
        <v>0</v>
      </c>
      <c r="AJ204" s="131">
        <v>205</v>
      </c>
    </row>
    <row r="205" spans="1:36" x14ac:dyDescent="0.35">
      <c r="A205" s="127" t="s">
        <v>653</v>
      </c>
      <c r="B205" s="127" t="s">
        <v>654</v>
      </c>
      <c r="C205" s="129">
        <v>503</v>
      </c>
      <c r="D205" s="129">
        <v>56</v>
      </c>
      <c r="E205" s="129">
        <v>1</v>
      </c>
      <c r="F205" s="129">
        <v>0</v>
      </c>
      <c r="G205" s="129">
        <v>560</v>
      </c>
      <c r="H205" s="129">
        <v>21</v>
      </c>
      <c r="I205" s="129">
        <v>0</v>
      </c>
      <c r="J205" s="129">
        <v>0</v>
      </c>
      <c r="K205" s="129">
        <v>0</v>
      </c>
      <c r="L205" s="129">
        <v>21</v>
      </c>
      <c r="M205" s="129">
        <v>20</v>
      </c>
      <c r="N205" s="129">
        <v>1</v>
      </c>
      <c r="O205" s="129">
        <v>0</v>
      </c>
      <c r="P205" s="129">
        <v>0</v>
      </c>
      <c r="Q205" s="129">
        <v>21</v>
      </c>
      <c r="R205" s="129">
        <v>44</v>
      </c>
      <c r="S205" s="129">
        <v>2</v>
      </c>
      <c r="T205" s="129">
        <v>0</v>
      </c>
      <c r="U205" s="129">
        <v>0</v>
      </c>
      <c r="V205" s="129">
        <v>46</v>
      </c>
      <c r="W205" s="129">
        <v>100</v>
      </c>
      <c r="X205" s="129">
        <v>4</v>
      </c>
      <c r="Y205" s="129">
        <v>1</v>
      </c>
      <c r="Z205" s="129">
        <v>0</v>
      </c>
      <c r="AA205" s="129">
        <v>105</v>
      </c>
      <c r="AB205" s="129">
        <v>8</v>
      </c>
      <c r="AC205" s="129">
        <v>0</v>
      </c>
      <c r="AD205" s="129">
        <v>0</v>
      </c>
      <c r="AE205" s="129">
        <v>0</v>
      </c>
      <c r="AF205" s="129">
        <v>8</v>
      </c>
      <c r="AG205" s="129">
        <v>0</v>
      </c>
      <c r="AH205" s="129">
        <v>0</v>
      </c>
      <c r="AI205" s="126">
        <v>0</v>
      </c>
      <c r="AJ205" s="131">
        <v>761</v>
      </c>
    </row>
    <row r="206" spans="1:36" x14ac:dyDescent="0.35">
      <c r="A206" s="127" t="s">
        <v>655</v>
      </c>
      <c r="B206" s="127" t="s">
        <v>656</v>
      </c>
      <c r="C206" s="129">
        <v>79</v>
      </c>
      <c r="D206" s="129">
        <v>6</v>
      </c>
      <c r="E206" s="129">
        <v>0</v>
      </c>
      <c r="F206" s="129">
        <v>0</v>
      </c>
      <c r="G206" s="129">
        <v>85</v>
      </c>
      <c r="H206" s="129">
        <v>2</v>
      </c>
      <c r="I206" s="129">
        <v>0</v>
      </c>
      <c r="J206" s="129">
        <v>0</v>
      </c>
      <c r="K206" s="129">
        <v>0</v>
      </c>
      <c r="L206" s="129">
        <v>2</v>
      </c>
      <c r="M206" s="129">
        <v>2</v>
      </c>
      <c r="N206" s="129">
        <v>0</v>
      </c>
      <c r="O206" s="129">
        <v>0</v>
      </c>
      <c r="P206" s="129">
        <v>0</v>
      </c>
      <c r="Q206" s="129">
        <v>2</v>
      </c>
      <c r="R206" s="129">
        <v>0</v>
      </c>
      <c r="S206" s="129">
        <v>0</v>
      </c>
      <c r="T206" s="129">
        <v>0</v>
      </c>
      <c r="U206" s="129">
        <v>0</v>
      </c>
      <c r="V206" s="129">
        <v>0</v>
      </c>
      <c r="W206" s="129">
        <v>11</v>
      </c>
      <c r="X206" s="129">
        <v>0</v>
      </c>
      <c r="Y206" s="129">
        <v>0</v>
      </c>
      <c r="Z206" s="129">
        <v>0</v>
      </c>
      <c r="AA206" s="129">
        <v>11</v>
      </c>
      <c r="AB206" s="129">
        <v>0</v>
      </c>
      <c r="AC206" s="129">
        <v>0</v>
      </c>
      <c r="AD206" s="129">
        <v>0</v>
      </c>
      <c r="AE206" s="129">
        <v>0</v>
      </c>
      <c r="AF206" s="129">
        <v>0</v>
      </c>
      <c r="AG206" s="129">
        <v>0</v>
      </c>
      <c r="AH206" s="129">
        <v>0</v>
      </c>
      <c r="AI206" s="126">
        <v>0</v>
      </c>
      <c r="AJ206" s="131">
        <v>100</v>
      </c>
    </row>
    <row r="207" spans="1:36" x14ac:dyDescent="0.35">
      <c r="A207" s="127" t="s">
        <v>657</v>
      </c>
      <c r="B207" s="127" t="s">
        <v>658</v>
      </c>
      <c r="C207" s="129">
        <v>116</v>
      </c>
      <c r="D207" s="129">
        <v>6</v>
      </c>
      <c r="E207" s="129">
        <v>1</v>
      </c>
      <c r="F207" s="129">
        <v>0</v>
      </c>
      <c r="G207" s="129">
        <v>123</v>
      </c>
      <c r="H207" s="129">
        <v>11</v>
      </c>
      <c r="I207" s="129">
        <v>0</v>
      </c>
      <c r="J207" s="129">
        <v>0</v>
      </c>
      <c r="K207" s="129">
        <v>0</v>
      </c>
      <c r="L207" s="129">
        <v>11</v>
      </c>
      <c r="M207" s="129">
        <v>3</v>
      </c>
      <c r="N207" s="129">
        <v>0</v>
      </c>
      <c r="O207" s="129">
        <v>0</v>
      </c>
      <c r="P207" s="129">
        <v>0</v>
      </c>
      <c r="Q207" s="129">
        <v>3</v>
      </c>
      <c r="R207" s="129">
        <v>3</v>
      </c>
      <c r="S207" s="129">
        <v>0</v>
      </c>
      <c r="T207" s="129">
        <v>0</v>
      </c>
      <c r="U207" s="129">
        <v>0</v>
      </c>
      <c r="V207" s="129">
        <v>3</v>
      </c>
      <c r="W207" s="129">
        <v>14</v>
      </c>
      <c r="X207" s="129">
        <v>0</v>
      </c>
      <c r="Y207" s="129">
        <v>0</v>
      </c>
      <c r="Z207" s="129">
        <v>0</v>
      </c>
      <c r="AA207" s="129">
        <v>14</v>
      </c>
      <c r="AB207" s="129">
        <v>1</v>
      </c>
      <c r="AC207" s="129">
        <v>0</v>
      </c>
      <c r="AD207" s="129">
        <v>0</v>
      </c>
      <c r="AE207" s="129">
        <v>0</v>
      </c>
      <c r="AF207" s="129">
        <v>1</v>
      </c>
      <c r="AG207" s="129">
        <v>0</v>
      </c>
      <c r="AH207" s="129">
        <v>0</v>
      </c>
      <c r="AI207" s="126">
        <v>0</v>
      </c>
      <c r="AJ207" s="131">
        <v>155</v>
      </c>
    </row>
    <row r="208" spans="1:36" x14ac:dyDescent="0.35">
      <c r="A208" s="127" t="s">
        <v>659</v>
      </c>
      <c r="B208" s="127" t="s">
        <v>660</v>
      </c>
      <c r="C208" s="129">
        <v>15</v>
      </c>
      <c r="D208" s="129">
        <v>8</v>
      </c>
      <c r="E208" s="129">
        <v>3</v>
      </c>
      <c r="F208" s="129">
        <v>0</v>
      </c>
      <c r="G208" s="129">
        <v>26</v>
      </c>
      <c r="H208" s="129">
        <v>0</v>
      </c>
      <c r="I208" s="129">
        <v>0</v>
      </c>
      <c r="J208" s="129">
        <v>0</v>
      </c>
      <c r="K208" s="129">
        <v>0</v>
      </c>
      <c r="L208" s="129">
        <v>0</v>
      </c>
      <c r="M208" s="129">
        <v>0</v>
      </c>
      <c r="N208" s="129">
        <v>0</v>
      </c>
      <c r="O208" s="129">
        <v>0</v>
      </c>
      <c r="P208" s="129">
        <v>0</v>
      </c>
      <c r="Q208" s="129">
        <v>0</v>
      </c>
      <c r="R208" s="129">
        <v>1</v>
      </c>
      <c r="S208" s="129">
        <v>0</v>
      </c>
      <c r="T208" s="129">
        <v>0</v>
      </c>
      <c r="U208" s="129">
        <v>0</v>
      </c>
      <c r="V208" s="129">
        <v>1</v>
      </c>
      <c r="W208" s="129">
        <v>2</v>
      </c>
      <c r="X208" s="129">
        <v>0</v>
      </c>
      <c r="Y208" s="129">
        <v>0</v>
      </c>
      <c r="Z208" s="129">
        <v>0</v>
      </c>
      <c r="AA208" s="129">
        <v>2</v>
      </c>
      <c r="AB208" s="129">
        <v>0</v>
      </c>
      <c r="AC208" s="129">
        <v>0</v>
      </c>
      <c r="AD208" s="129">
        <v>0</v>
      </c>
      <c r="AE208" s="129">
        <v>0</v>
      </c>
      <c r="AF208" s="129">
        <v>0</v>
      </c>
      <c r="AG208" s="129">
        <v>0</v>
      </c>
      <c r="AH208" s="129">
        <v>0</v>
      </c>
      <c r="AI208" s="126">
        <v>0</v>
      </c>
      <c r="AJ208" s="131">
        <v>29</v>
      </c>
    </row>
    <row r="209" spans="1:36" x14ac:dyDescent="0.35">
      <c r="A209" s="127" t="s">
        <v>661</v>
      </c>
      <c r="B209" s="127" t="s">
        <v>662</v>
      </c>
      <c r="C209" s="129">
        <v>60</v>
      </c>
      <c r="D209" s="129">
        <v>3</v>
      </c>
      <c r="E209" s="129">
        <v>1</v>
      </c>
      <c r="F209" s="129">
        <v>0</v>
      </c>
      <c r="G209" s="129">
        <v>64</v>
      </c>
      <c r="H209" s="129">
        <v>5</v>
      </c>
      <c r="I209" s="129">
        <v>0</v>
      </c>
      <c r="J209" s="129">
        <v>0</v>
      </c>
      <c r="K209" s="129">
        <v>0</v>
      </c>
      <c r="L209" s="129">
        <v>5</v>
      </c>
      <c r="M209" s="129">
        <v>0</v>
      </c>
      <c r="N209" s="129">
        <v>0</v>
      </c>
      <c r="O209" s="129">
        <v>0</v>
      </c>
      <c r="P209" s="129">
        <v>0</v>
      </c>
      <c r="Q209" s="129">
        <v>0</v>
      </c>
      <c r="R209" s="129">
        <v>5</v>
      </c>
      <c r="S209" s="129">
        <v>0</v>
      </c>
      <c r="T209" s="129">
        <v>0</v>
      </c>
      <c r="U209" s="129">
        <v>0</v>
      </c>
      <c r="V209" s="129">
        <v>5</v>
      </c>
      <c r="W209" s="129">
        <v>16</v>
      </c>
      <c r="X209" s="129">
        <v>1</v>
      </c>
      <c r="Y209" s="129">
        <v>0</v>
      </c>
      <c r="Z209" s="129">
        <v>0</v>
      </c>
      <c r="AA209" s="129">
        <v>17</v>
      </c>
      <c r="AB209" s="129">
        <v>1</v>
      </c>
      <c r="AC209" s="129">
        <v>0</v>
      </c>
      <c r="AD209" s="129">
        <v>0</v>
      </c>
      <c r="AE209" s="129">
        <v>0</v>
      </c>
      <c r="AF209" s="129">
        <v>1</v>
      </c>
      <c r="AG209" s="129">
        <v>0</v>
      </c>
      <c r="AH209" s="129">
        <v>0</v>
      </c>
      <c r="AI209" s="126">
        <v>0</v>
      </c>
      <c r="AJ209" s="131">
        <v>92</v>
      </c>
    </row>
    <row r="210" spans="1:36" x14ac:dyDescent="0.35">
      <c r="A210" s="127" t="s">
        <v>663</v>
      </c>
      <c r="B210" s="127" t="s">
        <v>1228</v>
      </c>
      <c r="C210" s="129">
        <v>41</v>
      </c>
      <c r="D210" s="129">
        <v>8</v>
      </c>
      <c r="E210" s="129">
        <v>1</v>
      </c>
      <c r="F210" s="129">
        <v>0</v>
      </c>
      <c r="G210" s="129">
        <v>50</v>
      </c>
      <c r="H210" s="129">
        <v>1</v>
      </c>
      <c r="I210" s="129">
        <v>0</v>
      </c>
      <c r="J210" s="129">
        <v>0</v>
      </c>
      <c r="K210" s="129">
        <v>0</v>
      </c>
      <c r="L210" s="129">
        <v>1</v>
      </c>
      <c r="M210" s="129">
        <v>8</v>
      </c>
      <c r="N210" s="129">
        <v>0</v>
      </c>
      <c r="O210" s="129">
        <v>0</v>
      </c>
      <c r="P210" s="129">
        <v>0</v>
      </c>
      <c r="Q210" s="129">
        <v>8</v>
      </c>
      <c r="R210" s="129">
        <v>1</v>
      </c>
      <c r="S210" s="129">
        <v>0</v>
      </c>
      <c r="T210" s="129">
        <v>0</v>
      </c>
      <c r="U210" s="129">
        <v>0</v>
      </c>
      <c r="V210" s="129">
        <v>1</v>
      </c>
      <c r="W210" s="129">
        <v>6</v>
      </c>
      <c r="X210" s="129">
        <v>1</v>
      </c>
      <c r="Y210" s="129">
        <v>0</v>
      </c>
      <c r="Z210" s="129">
        <v>0</v>
      </c>
      <c r="AA210" s="129">
        <v>7</v>
      </c>
      <c r="AB210" s="129">
        <v>0</v>
      </c>
      <c r="AC210" s="129">
        <v>0</v>
      </c>
      <c r="AD210" s="129">
        <v>0</v>
      </c>
      <c r="AE210" s="129">
        <v>0</v>
      </c>
      <c r="AF210" s="129">
        <v>0</v>
      </c>
      <c r="AG210" s="129">
        <v>0</v>
      </c>
      <c r="AH210" s="129">
        <v>0</v>
      </c>
      <c r="AI210" s="126">
        <v>0</v>
      </c>
      <c r="AJ210" s="131">
        <v>67</v>
      </c>
    </row>
    <row r="211" spans="1:36" x14ac:dyDescent="0.35">
      <c r="A211" s="127" t="s">
        <v>664</v>
      </c>
      <c r="B211" s="127" t="s">
        <v>665</v>
      </c>
      <c r="C211" s="129">
        <v>153</v>
      </c>
      <c r="D211" s="129">
        <v>25</v>
      </c>
      <c r="E211" s="129">
        <v>17</v>
      </c>
      <c r="F211" s="129">
        <v>22</v>
      </c>
      <c r="G211" s="129">
        <v>217</v>
      </c>
      <c r="H211" s="129">
        <v>0</v>
      </c>
      <c r="I211" s="129">
        <v>0</v>
      </c>
      <c r="J211" s="129">
        <v>1</v>
      </c>
      <c r="K211" s="129">
        <v>0</v>
      </c>
      <c r="L211" s="129">
        <v>1</v>
      </c>
      <c r="M211" s="129">
        <v>1</v>
      </c>
      <c r="N211" s="129">
        <v>1</v>
      </c>
      <c r="O211" s="129">
        <v>1</v>
      </c>
      <c r="P211" s="129">
        <v>0</v>
      </c>
      <c r="Q211" s="129">
        <v>3</v>
      </c>
      <c r="R211" s="129">
        <v>0</v>
      </c>
      <c r="S211" s="129">
        <v>0</v>
      </c>
      <c r="T211" s="129">
        <v>0</v>
      </c>
      <c r="U211" s="129">
        <v>0</v>
      </c>
      <c r="V211" s="129">
        <v>0</v>
      </c>
      <c r="W211" s="129">
        <v>2</v>
      </c>
      <c r="X211" s="129">
        <v>0</v>
      </c>
      <c r="Y211" s="129">
        <v>0</v>
      </c>
      <c r="Z211" s="129">
        <v>0</v>
      </c>
      <c r="AA211" s="129">
        <v>2</v>
      </c>
      <c r="AB211" s="129">
        <v>0</v>
      </c>
      <c r="AC211" s="129">
        <v>0</v>
      </c>
      <c r="AD211" s="129">
        <v>1</v>
      </c>
      <c r="AE211" s="129">
        <v>1</v>
      </c>
      <c r="AF211" s="129">
        <v>2</v>
      </c>
      <c r="AG211" s="129">
        <v>0</v>
      </c>
      <c r="AH211" s="129">
        <v>0</v>
      </c>
      <c r="AI211" s="126">
        <v>0</v>
      </c>
      <c r="AJ211" s="131">
        <v>225</v>
      </c>
    </row>
    <row r="212" spans="1:36" x14ac:dyDescent="0.35">
      <c r="A212" s="127" t="s">
        <v>666</v>
      </c>
      <c r="B212" s="127" t="s">
        <v>667</v>
      </c>
      <c r="C212" s="129">
        <v>5</v>
      </c>
      <c r="D212" s="129">
        <v>0</v>
      </c>
      <c r="E212" s="129">
        <v>3</v>
      </c>
      <c r="F212" s="129">
        <v>3</v>
      </c>
      <c r="G212" s="129">
        <v>11</v>
      </c>
      <c r="H212" s="129">
        <v>0</v>
      </c>
      <c r="I212" s="129">
        <v>0</v>
      </c>
      <c r="J212" s="129">
        <v>0</v>
      </c>
      <c r="K212" s="129">
        <v>0</v>
      </c>
      <c r="L212" s="129">
        <v>0</v>
      </c>
      <c r="M212" s="129">
        <v>0</v>
      </c>
      <c r="N212" s="129">
        <v>0</v>
      </c>
      <c r="O212" s="129">
        <v>0</v>
      </c>
      <c r="P212" s="129">
        <v>0</v>
      </c>
      <c r="Q212" s="129">
        <v>0</v>
      </c>
      <c r="R212" s="129">
        <v>0</v>
      </c>
      <c r="S212" s="129">
        <v>0</v>
      </c>
      <c r="T212" s="129">
        <v>0</v>
      </c>
      <c r="U212" s="129">
        <v>0</v>
      </c>
      <c r="V212" s="129">
        <v>0</v>
      </c>
      <c r="W212" s="129">
        <v>0</v>
      </c>
      <c r="X212" s="129">
        <v>2</v>
      </c>
      <c r="Y212" s="129">
        <v>0</v>
      </c>
      <c r="Z212" s="129">
        <v>0</v>
      </c>
      <c r="AA212" s="129">
        <v>2</v>
      </c>
      <c r="AB212" s="129">
        <v>0</v>
      </c>
      <c r="AC212" s="129">
        <v>0</v>
      </c>
      <c r="AD212" s="129">
        <v>0</v>
      </c>
      <c r="AE212" s="129">
        <v>0</v>
      </c>
      <c r="AF212" s="129">
        <v>0</v>
      </c>
      <c r="AG212" s="129">
        <v>0</v>
      </c>
      <c r="AH212" s="129">
        <v>0</v>
      </c>
      <c r="AI212" s="126">
        <v>0</v>
      </c>
      <c r="AJ212" s="131">
        <v>13</v>
      </c>
    </row>
    <row r="213" spans="1:36" x14ac:dyDescent="0.35">
      <c r="A213" s="127" t="s">
        <v>668</v>
      </c>
      <c r="B213" s="127" t="s">
        <v>669</v>
      </c>
      <c r="C213" s="129">
        <v>2</v>
      </c>
      <c r="D213" s="129">
        <v>0</v>
      </c>
      <c r="E213" s="129">
        <v>0</v>
      </c>
      <c r="F213" s="129">
        <v>1</v>
      </c>
      <c r="G213" s="129">
        <v>3</v>
      </c>
      <c r="H213" s="129">
        <v>0</v>
      </c>
      <c r="I213" s="129">
        <v>0</v>
      </c>
      <c r="J213" s="129">
        <v>0</v>
      </c>
      <c r="K213" s="129">
        <v>0</v>
      </c>
      <c r="L213" s="129">
        <v>0</v>
      </c>
      <c r="M213" s="129">
        <v>0</v>
      </c>
      <c r="N213" s="129">
        <v>0</v>
      </c>
      <c r="O213" s="129">
        <v>0</v>
      </c>
      <c r="P213" s="129">
        <v>0</v>
      </c>
      <c r="Q213" s="129">
        <v>0</v>
      </c>
      <c r="R213" s="129">
        <v>0</v>
      </c>
      <c r="S213" s="129">
        <v>0</v>
      </c>
      <c r="T213" s="129">
        <v>0</v>
      </c>
      <c r="U213" s="129">
        <v>0</v>
      </c>
      <c r="V213" s="129">
        <v>0</v>
      </c>
      <c r="W213" s="129">
        <v>0</v>
      </c>
      <c r="X213" s="129">
        <v>0</v>
      </c>
      <c r="Y213" s="129">
        <v>0</v>
      </c>
      <c r="Z213" s="129">
        <v>0</v>
      </c>
      <c r="AA213" s="129">
        <v>0</v>
      </c>
      <c r="AB213" s="129">
        <v>0</v>
      </c>
      <c r="AC213" s="129">
        <v>0</v>
      </c>
      <c r="AD213" s="129">
        <v>0</v>
      </c>
      <c r="AE213" s="129">
        <v>0</v>
      </c>
      <c r="AF213" s="129">
        <v>0</v>
      </c>
      <c r="AG213" s="129">
        <v>0</v>
      </c>
      <c r="AH213" s="129">
        <v>0</v>
      </c>
      <c r="AI213" s="126">
        <v>0</v>
      </c>
      <c r="AJ213" s="131">
        <v>3</v>
      </c>
    </row>
    <row r="214" spans="1:36" x14ac:dyDescent="0.35">
      <c r="A214" s="127" t="s">
        <v>670</v>
      </c>
      <c r="B214" s="127" t="s">
        <v>671</v>
      </c>
      <c r="C214" s="129">
        <v>16</v>
      </c>
      <c r="D214" s="129">
        <v>5</v>
      </c>
      <c r="E214" s="129">
        <v>5</v>
      </c>
      <c r="F214" s="129">
        <v>2</v>
      </c>
      <c r="G214" s="129">
        <v>28</v>
      </c>
      <c r="H214" s="129">
        <v>0</v>
      </c>
      <c r="I214" s="129">
        <v>0</v>
      </c>
      <c r="J214" s="129">
        <v>0</v>
      </c>
      <c r="K214" s="129">
        <v>0</v>
      </c>
      <c r="L214" s="129">
        <v>0</v>
      </c>
      <c r="M214" s="129">
        <v>1</v>
      </c>
      <c r="N214" s="129">
        <v>0</v>
      </c>
      <c r="O214" s="129">
        <v>0</v>
      </c>
      <c r="P214" s="129">
        <v>0</v>
      </c>
      <c r="Q214" s="129">
        <v>1</v>
      </c>
      <c r="R214" s="129">
        <v>0</v>
      </c>
      <c r="S214" s="129">
        <v>0</v>
      </c>
      <c r="T214" s="129">
        <v>0</v>
      </c>
      <c r="U214" s="129">
        <v>0</v>
      </c>
      <c r="V214" s="129">
        <v>0</v>
      </c>
      <c r="W214" s="129">
        <v>0</v>
      </c>
      <c r="X214" s="129">
        <v>0</v>
      </c>
      <c r="Y214" s="129">
        <v>0</v>
      </c>
      <c r="Z214" s="129">
        <v>0</v>
      </c>
      <c r="AA214" s="129">
        <v>0</v>
      </c>
      <c r="AB214" s="129">
        <v>0</v>
      </c>
      <c r="AC214" s="129">
        <v>1</v>
      </c>
      <c r="AD214" s="129">
        <v>1</v>
      </c>
      <c r="AE214" s="129">
        <v>0</v>
      </c>
      <c r="AF214" s="129">
        <v>2</v>
      </c>
      <c r="AG214" s="129">
        <v>0</v>
      </c>
      <c r="AH214" s="129">
        <v>0</v>
      </c>
      <c r="AI214" s="126">
        <v>0</v>
      </c>
      <c r="AJ214" s="131">
        <v>31</v>
      </c>
    </row>
    <row r="215" spans="1:36" x14ac:dyDescent="0.35">
      <c r="A215" s="127" t="s">
        <v>672</v>
      </c>
      <c r="B215" s="127" t="s">
        <v>1377</v>
      </c>
      <c r="C215" s="129">
        <v>5</v>
      </c>
      <c r="D215" s="129">
        <v>1</v>
      </c>
      <c r="E215" s="129">
        <v>0</v>
      </c>
      <c r="F215" s="129">
        <v>0</v>
      </c>
      <c r="G215" s="129">
        <v>6</v>
      </c>
      <c r="H215" s="129">
        <v>1</v>
      </c>
      <c r="I215" s="129">
        <v>1</v>
      </c>
      <c r="J215" s="129">
        <v>0</v>
      </c>
      <c r="K215" s="129">
        <v>0</v>
      </c>
      <c r="L215" s="129">
        <v>2</v>
      </c>
      <c r="M215" s="129">
        <v>0</v>
      </c>
      <c r="N215" s="129">
        <v>0</v>
      </c>
      <c r="O215" s="129">
        <v>0</v>
      </c>
      <c r="P215" s="129">
        <v>0</v>
      </c>
      <c r="Q215" s="129">
        <v>0</v>
      </c>
      <c r="R215" s="129">
        <v>0</v>
      </c>
      <c r="S215" s="129">
        <v>0</v>
      </c>
      <c r="T215" s="129">
        <v>0</v>
      </c>
      <c r="U215" s="129">
        <v>0</v>
      </c>
      <c r="V215" s="129">
        <v>0</v>
      </c>
      <c r="W215" s="129">
        <v>2</v>
      </c>
      <c r="X215" s="129">
        <v>0</v>
      </c>
      <c r="Y215" s="129">
        <v>0</v>
      </c>
      <c r="Z215" s="129">
        <v>0</v>
      </c>
      <c r="AA215" s="129">
        <v>2</v>
      </c>
      <c r="AB215" s="129">
        <v>0</v>
      </c>
      <c r="AC215" s="129">
        <v>0</v>
      </c>
      <c r="AD215" s="129">
        <v>0</v>
      </c>
      <c r="AE215" s="129">
        <v>0</v>
      </c>
      <c r="AF215" s="129">
        <v>0</v>
      </c>
      <c r="AG215" s="129">
        <v>0</v>
      </c>
      <c r="AH215" s="129">
        <v>0</v>
      </c>
      <c r="AI215" s="126">
        <v>0</v>
      </c>
      <c r="AJ215" s="131">
        <v>10</v>
      </c>
    </row>
    <row r="216" spans="1:36" x14ac:dyDescent="0.35">
      <c r="A216" s="127" t="s">
        <v>673</v>
      </c>
      <c r="B216" s="127" t="s">
        <v>674</v>
      </c>
      <c r="C216" s="129">
        <v>7</v>
      </c>
      <c r="D216" s="129">
        <v>0</v>
      </c>
      <c r="E216" s="129">
        <v>0</v>
      </c>
      <c r="F216" s="129">
        <v>0</v>
      </c>
      <c r="G216" s="129">
        <v>7</v>
      </c>
      <c r="H216" s="129">
        <v>0</v>
      </c>
      <c r="I216" s="129">
        <v>0</v>
      </c>
      <c r="J216" s="129">
        <v>0</v>
      </c>
      <c r="K216" s="129">
        <v>0</v>
      </c>
      <c r="L216" s="129">
        <v>0</v>
      </c>
      <c r="M216" s="129">
        <v>0</v>
      </c>
      <c r="N216" s="129">
        <v>0</v>
      </c>
      <c r="O216" s="129">
        <v>0</v>
      </c>
      <c r="P216" s="129">
        <v>0</v>
      </c>
      <c r="Q216" s="129">
        <v>0</v>
      </c>
      <c r="R216" s="129">
        <v>0</v>
      </c>
      <c r="S216" s="129">
        <v>0</v>
      </c>
      <c r="T216" s="129">
        <v>0</v>
      </c>
      <c r="U216" s="129">
        <v>0</v>
      </c>
      <c r="V216" s="129">
        <v>0</v>
      </c>
      <c r="W216" s="129">
        <v>0</v>
      </c>
      <c r="X216" s="129">
        <v>0</v>
      </c>
      <c r="Y216" s="129">
        <v>0</v>
      </c>
      <c r="Z216" s="129">
        <v>0</v>
      </c>
      <c r="AA216" s="129">
        <v>0</v>
      </c>
      <c r="AB216" s="129">
        <v>0</v>
      </c>
      <c r="AC216" s="129">
        <v>0</v>
      </c>
      <c r="AD216" s="129">
        <v>0</v>
      </c>
      <c r="AE216" s="129">
        <v>0</v>
      </c>
      <c r="AF216" s="129">
        <v>0</v>
      </c>
      <c r="AG216" s="129">
        <v>0</v>
      </c>
      <c r="AH216" s="129">
        <v>0</v>
      </c>
      <c r="AI216" s="126">
        <v>0</v>
      </c>
      <c r="AJ216" s="131">
        <v>7</v>
      </c>
    </row>
    <row r="217" spans="1:36" x14ac:dyDescent="0.35">
      <c r="A217" s="127" t="s">
        <v>675</v>
      </c>
      <c r="B217" s="127" t="s">
        <v>154</v>
      </c>
      <c r="C217" s="129">
        <v>21</v>
      </c>
      <c r="D217" s="129">
        <v>11</v>
      </c>
      <c r="E217" s="129">
        <v>1</v>
      </c>
      <c r="F217" s="129">
        <v>0</v>
      </c>
      <c r="G217" s="129">
        <v>33</v>
      </c>
      <c r="H217" s="129">
        <v>4</v>
      </c>
      <c r="I217" s="129">
        <v>6</v>
      </c>
      <c r="J217" s="129">
        <v>0</v>
      </c>
      <c r="K217" s="129">
        <v>0</v>
      </c>
      <c r="L217" s="129">
        <v>10</v>
      </c>
      <c r="M217" s="129">
        <v>2</v>
      </c>
      <c r="N217" s="129">
        <v>7</v>
      </c>
      <c r="O217" s="129">
        <v>1</v>
      </c>
      <c r="P217" s="129">
        <v>0</v>
      </c>
      <c r="Q217" s="129">
        <v>10</v>
      </c>
      <c r="R217" s="129">
        <v>7</v>
      </c>
      <c r="S217" s="129">
        <v>0</v>
      </c>
      <c r="T217" s="129">
        <v>0</v>
      </c>
      <c r="U217" s="129">
        <v>0</v>
      </c>
      <c r="V217" s="129">
        <v>7</v>
      </c>
      <c r="W217" s="129">
        <v>4</v>
      </c>
      <c r="X217" s="129">
        <v>0</v>
      </c>
      <c r="Y217" s="129">
        <v>0</v>
      </c>
      <c r="Z217" s="129">
        <v>0</v>
      </c>
      <c r="AA217" s="129">
        <v>4</v>
      </c>
      <c r="AB217" s="129">
        <v>5</v>
      </c>
      <c r="AC217" s="129">
        <v>2</v>
      </c>
      <c r="AD217" s="129">
        <v>0</v>
      </c>
      <c r="AE217" s="129">
        <v>0</v>
      </c>
      <c r="AF217" s="129">
        <v>7</v>
      </c>
      <c r="AG217" s="129">
        <v>0</v>
      </c>
      <c r="AH217" s="129">
        <v>0</v>
      </c>
      <c r="AI217" s="126">
        <v>0</v>
      </c>
      <c r="AJ217" s="131">
        <v>71</v>
      </c>
    </row>
    <row r="218" spans="1:36" x14ac:dyDescent="0.35">
      <c r="A218" s="127" t="s">
        <v>676</v>
      </c>
      <c r="B218" s="127" t="s">
        <v>156</v>
      </c>
      <c r="C218" s="129">
        <v>16</v>
      </c>
      <c r="D218" s="129">
        <v>4</v>
      </c>
      <c r="E218" s="129">
        <v>0</v>
      </c>
      <c r="F218" s="129">
        <v>1</v>
      </c>
      <c r="G218" s="129">
        <v>21</v>
      </c>
      <c r="H218" s="129">
        <v>1</v>
      </c>
      <c r="I218" s="129">
        <v>0</v>
      </c>
      <c r="J218" s="129">
        <v>0</v>
      </c>
      <c r="K218" s="129">
        <v>0</v>
      </c>
      <c r="L218" s="129">
        <v>1</v>
      </c>
      <c r="M218" s="129">
        <v>1</v>
      </c>
      <c r="N218" s="129">
        <v>0</v>
      </c>
      <c r="O218" s="129">
        <v>0</v>
      </c>
      <c r="P218" s="129">
        <v>0</v>
      </c>
      <c r="Q218" s="129">
        <v>1</v>
      </c>
      <c r="R218" s="129">
        <v>2</v>
      </c>
      <c r="S218" s="129">
        <v>0</v>
      </c>
      <c r="T218" s="129">
        <v>0</v>
      </c>
      <c r="U218" s="129">
        <v>0</v>
      </c>
      <c r="V218" s="129">
        <v>2</v>
      </c>
      <c r="W218" s="129">
        <v>5</v>
      </c>
      <c r="X218" s="129">
        <v>1</v>
      </c>
      <c r="Y218" s="129">
        <v>0</v>
      </c>
      <c r="Z218" s="129">
        <v>0</v>
      </c>
      <c r="AA218" s="129">
        <v>6</v>
      </c>
      <c r="AB218" s="129">
        <v>2</v>
      </c>
      <c r="AC218" s="129">
        <v>1</v>
      </c>
      <c r="AD218" s="129">
        <v>0</v>
      </c>
      <c r="AE218" s="129">
        <v>0</v>
      </c>
      <c r="AF218" s="129">
        <v>3</v>
      </c>
      <c r="AG218" s="129">
        <v>0</v>
      </c>
      <c r="AH218" s="129">
        <v>0</v>
      </c>
      <c r="AI218" s="126">
        <v>0</v>
      </c>
      <c r="AJ218" s="131">
        <v>34</v>
      </c>
    </row>
    <row r="219" spans="1:36" x14ac:dyDescent="0.35">
      <c r="A219" s="127" t="s">
        <v>677</v>
      </c>
      <c r="B219" s="127" t="s">
        <v>678</v>
      </c>
      <c r="C219" s="129">
        <v>42</v>
      </c>
      <c r="D219" s="129">
        <v>5</v>
      </c>
      <c r="E219" s="129">
        <v>1</v>
      </c>
      <c r="F219" s="129">
        <v>1</v>
      </c>
      <c r="G219" s="129">
        <v>49</v>
      </c>
      <c r="H219" s="129">
        <v>6</v>
      </c>
      <c r="I219" s="129">
        <v>4</v>
      </c>
      <c r="J219" s="129">
        <v>1</v>
      </c>
      <c r="K219" s="129">
        <v>0</v>
      </c>
      <c r="L219" s="129">
        <v>11</v>
      </c>
      <c r="M219" s="129">
        <v>3</v>
      </c>
      <c r="N219" s="129">
        <v>0</v>
      </c>
      <c r="O219" s="129">
        <v>0</v>
      </c>
      <c r="P219" s="129">
        <v>0</v>
      </c>
      <c r="Q219" s="129">
        <v>3</v>
      </c>
      <c r="R219" s="129">
        <v>1</v>
      </c>
      <c r="S219" s="129">
        <v>0</v>
      </c>
      <c r="T219" s="129">
        <v>0</v>
      </c>
      <c r="U219" s="129">
        <v>0</v>
      </c>
      <c r="V219" s="129">
        <v>1</v>
      </c>
      <c r="W219" s="129">
        <v>9</v>
      </c>
      <c r="X219" s="129">
        <v>4</v>
      </c>
      <c r="Y219" s="129">
        <v>1</v>
      </c>
      <c r="Z219" s="129">
        <v>0</v>
      </c>
      <c r="AA219" s="129">
        <v>14</v>
      </c>
      <c r="AB219" s="129">
        <v>4</v>
      </c>
      <c r="AC219" s="129">
        <v>1</v>
      </c>
      <c r="AD219" s="129">
        <v>0</v>
      </c>
      <c r="AE219" s="129">
        <v>0</v>
      </c>
      <c r="AF219" s="129">
        <v>5</v>
      </c>
      <c r="AG219" s="129">
        <v>0</v>
      </c>
      <c r="AH219" s="129">
        <v>0</v>
      </c>
      <c r="AI219" s="126">
        <v>0</v>
      </c>
      <c r="AJ219" s="131">
        <v>83</v>
      </c>
    </row>
    <row r="220" spans="1:36" x14ac:dyDescent="0.35">
      <c r="A220" s="127" t="s">
        <v>679</v>
      </c>
      <c r="B220" s="127" t="s">
        <v>680</v>
      </c>
      <c r="C220" s="129">
        <v>2</v>
      </c>
      <c r="D220" s="129">
        <v>1</v>
      </c>
      <c r="E220" s="129">
        <v>0</v>
      </c>
      <c r="F220" s="129">
        <v>0</v>
      </c>
      <c r="G220" s="129">
        <v>3</v>
      </c>
      <c r="H220" s="129">
        <v>0</v>
      </c>
      <c r="I220" s="129">
        <v>0</v>
      </c>
      <c r="J220" s="129">
        <v>0</v>
      </c>
      <c r="K220" s="129">
        <v>0</v>
      </c>
      <c r="L220" s="129">
        <v>0</v>
      </c>
      <c r="M220" s="129">
        <v>0</v>
      </c>
      <c r="N220" s="129">
        <v>0</v>
      </c>
      <c r="O220" s="129">
        <v>0</v>
      </c>
      <c r="P220" s="129">
        <v>0</v>
      </c>
      <c r="Q220" s="129">
        <v>0</v>
      </c>
      <c r="R220" s="129">
        <v>0</v>
      </c>
      <c r="S220" s="129">
        <v>0</v>
      </c>
      <c r="T220" s="129">
        <v>0</v>
      </c>
      <c r="U220" s="129">
        <v>0</v>
      </c>
      <c r="V220" s="129">
        <v>0</v>
      </c>
      <c r="W220" s="129">
        <v>0</v>
      </c>
      <c r="X220" s="129">
        <v>0</v>
      </c>
      <c r="Y220" s="129">
        <v>0</v>
      </c>
      <c r="Z220" s="129">
        <v>0</v>
      </c>
      <c r="AA220" s="129">
        <v>0</v>
      </c>
      <c r="AB220" s="129">
        <v>0</v>
      </c>
      <c r="AC220" s="129">
        <v>0</v>
      </c>
      <c r="AD220" s="129">
        <v>0</v>
      </c>
      <c r="AE220" s="129">
        <v>0</v>
      </c>
      <c r="AF220" s="129">
        <v>0</v>
      </c>
      <c r="AG220" s="129">
        <v>0</v>
      </c>
      <c r="AH220" s="129">
        <v>0</v>
      </c>
      <c r="AI220" s="126">
        <v>0</v>
      </c>
      <c r="AJ220" s="131">
        <v>3</v>
      </c>
    </row>
    <row r="221" spans="1:36" x14ac:dyDescent="0.35">
      <c r="A221" s="127" t="s">
        <v>681</v>
      </c>
      <c r="B221" s="127" t="s">
        <v>682</v>
      </c>
      <c r="C221" s="129">
        <v>13</v>
      </c>
      <c r="D221" s="129">
        <v>1</v>
      </c>
      <c r="E221" s="129">
        <v>2</v>
      </c>
      <c r="F221" s="129">
        <v>0</v>
      </c>
      <c r="G221" s="129">
        <v>16</v>
      </c>
      <c r="H221" s="129">
        <v>1</v>
      </c>
      <c r="I221" s="129">
        <v>1</v>
      </c>
      <c r="J221" s="129">
        <v>0</v>
      </c>
      <c r="K221" s="129">
        <v>0</v>
      </c>
      <c r="L221" s="129">
        <v>2</v>
      </c>
      <c r="M221" s="129">
        <v>1</v>
      </c>
      <c r="N221" s="129">
        <v>0</v>
      </c>
      <c r="O221" s="129">
        <v>0</v>
      </c>
      <c r="P221" s="129">
        <v>0</v>
      </c>
      <c r="Q221" s="129">
        <v>1</v>
      </c>
      <c r="R221" s="129">
        <v>0</v>
      </c>
      <c r="S221" s="129">
        <v>0</v>
      </c>
      <c r="T221" s="129">
        <v>1</v>
      </c>
      <c r="U221" s="129">
        <v>0</v>
      </c>
      <c r="V221" s="129">
        <v>1</v>
      </c>
      <c r="W221" s="129">
        <v>0</v>
      </c>
      <c r="X221" s="129">
        <v>0</v>
      </c>
      <c r="Y221" s="129">
        <v>0</v>
      </c>
      <c r="Z221" s="129">
        <v>0</v>
      </c>
      <c r="AA221" s="129">
        <v>0</v>
      </c>
      <c r="AB221" s="129">
        <v>3</v>
      </c>
      <c r="AC221" s="129">
        <v>0</v>
      </c>
      <c r="AD221" s="129">
        <v>0</v>
      </c>
      <c r="AE221" s="129">
        <v>0</v>
      </c>
      <c r="AF221" s="129">
        <v>3</v>
      </c>
      <c r="AG221" s="129">
        <v>0</v>
      </c>
      <c r="AH221" s="129">
        <v>0</v>
      </c>
      <c r="AI221" s="126">
        <v>0</v>
      </c>
      <c r="AJ221" s="131">
        <v>23</v>
      </c>
    </row>
    <row r="222" spans="1:36" x14ac:dyDescent="0.35">
      <c r="A222" s="127" t="s">
        <v>683</v>
      </c>
      <c r="B222" s="127" t="s">
        <v>684</v>
      </c>
      <c r="C222" s="129">
        <v>5</v>
      </c>
      <c r="D222" s="129">
        <v>0</v>
      </c>
      <c r="E222" s="129">
        <v>1</v>
      </c>
      <c r="F222" s="129">
        <v>0</v>
      </c>
      <c r="G222" s="129">
        <v>6</v>
      </c>
      <c r="H222" s="129">
        <v>0</v>
      </c>
      <c r="I222" s="129">
        <v>0</v>
      </c>
      <c r="J222" s="129">
        <v>0</v>
      </c>
      <c r="K222" s="129">
        <v>0</v>
      </c>
      <c r="L222" s="129">
        <v>0</v>
      </c>
      <c r="M222" s="129">
        <v>0</v>
      </c>
      <c r="N222" s="129">
        <v>0</v>
      </c>
      <c r="O222" s="129">
        <v>0</v>
      </c>
      <c r="P222" s="129">
        <v>0</v>
      </c>
      <c r="Q222" s="129">
        <v>0</v>
      </c>
      <c r="R222" s="129">
        <v>0</v>
      </c>
      <c r="S222" s="129">
        <v>0</v>
      </c>
      <c r="T222" s="129">
        <v>0</v>
      </c>
      <c r="U222" s="129">
        <v>0</v>
      </c>
      <c r="V222" s="129">
        <v>0</v>
      </c>
      <c r="W222" s="129">
        <v>1</v>
      </c>
      <c r="X222" s="129">
        <v>0</v>
      </c>
      <c r="Y222" s="129">
        <v>1</v>
      </c>
      <c r="Z222" s="129">
        <v>0</v>
      </c>
      <c r="AA222" s="129">
        <v>2</v>
      </c>
      <c r="AB222" s="129">
        <v>0</v>
      </c>
      <c r="AC222" s="129">
        <v>0</v>
      </c>
      <c r="AD222" s="129">
        <v>0</v>
      </c>
      <c r="AE222" s="129">
        <v>0</v>
      </c>
      <c r="AF222" s="129">
        <v>0</v>
      </c>
      <c r="AG222" s="129">
        <v>0</v>
      </c>
      <c r="AH222" s="129">
        <v>0</v>
      </c>
      <c r="AI222" s="126">
        <v>0</v>
      </c>
      <c r="AJ222" s="131">
        <v>8</v>
      </c>
    </row>
    <row r="223" spans="1:36" x14ac:dyDescent="0.35">
      <c r="A223" s="127" t="s">
        <v>685</v>
      </c>
      <c r="B223" s="127" t="s">
        <v>686</v>
      </c>
      <c r="C223" s="129">
        <v>222</v>
      </c>
      <c r="D223" s="129">
        <v>2</v>
      </c>
      <c r="E223" s="129">
        <v>0</v>
      </c>
      <c r="F223" s="129">
        <v>0</v>
      </c>
      <c r="G223" s="129">
        <v>224</v>
      </c>
      <c r="H223" s="129">
        <v>11</v>
      </c>
      <c r="I223" s="129">
        <v>0</v>
      </c>
      <c r="J223" s="129">
        <v>0</v>
      </c>
      <c r="K223" s="129">
        <v>0</v>
      </c>
      <c r="L223" s="129">
        <v>11</v>
      </c>
      <c r="M223" s="129">
        <v>7</v>
      </c>
      <c r="N223" s="129">
        <v>0</v>
      </c>
      <c r="O223" s="129">
        <v>0</v>
      </c>
      <c r="P223" s="129">
        <v>0</v>
      </c>
      <c r="Q223" s="129">
        <v>7</v>
      </c>
      <c r="R223" s="129">
        <v>5</v>
      </c>
      <c r="S223" s="129">
        <v>0</v>
      </c>
      <c r="T223" s="129">
        <v>0</v>
      </c>
      <c r="U223" s="129">
        <v>0</v>
      </c>
      <c r="V223" s="129">
        <v>5</v>
      </c>
      <c r="W223" s="129">
        <v>75</v>
      </c>
      <c r="X223" s="129">
        <v>3</v>
      </c>
      <c r="Y223" s="129">
        <v>0</v>
      </c>
      <c r="Z223" s="129">
        <v>0</v>
      </c>
      <c r="AA223" s="129">
        <v>78</v>
      </c>
      <c r="AB223" s="129">
        <v>13</v>
      </c>
      <c r="AC223" s="129">
        <v>0</v>
      </c>
      <c r="AD223" s="129">
        <v>0</v>
      </c>
      <c r="AE223" s="129">
        <v>0</v>
      </c>
      <c r="AF223" s="129">
        <v>13</v>
      </c>
      <c r="AG223" s="129">
        <v>0</v>
      </c>
      <c r="AH223" s="129">
        <v>0</v>
      </c>
      <c r="AI223" s="126">
        <v>0</v>
      </c>
      <c r="AJ223" s="131">
        <v>338</v>
      </c>
    </row>
    <row r="224" spans="1:36" x14ac:dyDescent="0.35">
      <c r="A224" s="127" t="s">
        <v>687</v>
      </c>
      <c r="B224" s="127" t="s">
        <v>160</v>
      </c>
      <c r="C224" s="129">
        <v>25</v>
      </c>
      <c r="D224" s="129">
        <v>1</v>
      </c>
      <c r="E224" s="129">
        <v>0</v>
      </c>
      <c r="F224" s="129">
        <v>0</v>
      </c>
      <c r="G224" s="129">
        <v>26</v>
      </c>
      <c r="H224" s="129">
        <v>3</v>
      </c>
      <c r="I224" s="129">
        <v>1</v>
      </c>
      <c r="J224" s="129">
        <v>0</v>
      </c>
      <c r="K224" s="129">
        <v>0</v>
      </c>
      <c r="L224" s="129">
        <v>4</v>
      </c>
      <c r="M224" s="129">
        <v>1</v>
      </c>
      <c r="N224" s="129">
        <v>1</v>
      </c>
      <c r="O224" s="129">
        <v>0</v>
      </c>
      <c r="P224" s="129">
        <v>0</v>
      </c>
      <c r="Q224" s="129">
        <v>2</v>
      </c>
      <c r="R224" s="129">
        <v>2</v>
      </c>
      <c r="S224" s="129">
        <v>1</v>
      </c>
      <c r="T224" s="129">
        <v>0</v>
      </c>
      <c r="U224" s="129">
        <v>0</v>
      </c>
      <c r="V224" s="129">
        <v>3</v>
      </c>
      <c r="W224" s="129">
        <v>3</v>
      </c>
      <c r="X224" s="129">
        <v>0</v>
      </c>
      <c r="Y224" s="129">
        <v>0</v>
      </c>
      <c r="Z224" s="129">
        <v>0</v>
      </c>
      <c r="AA224" s="129">
        <v>3</v>
      </c>
      <c r="AB224" s="129">
        <v>2</v>
      </c>
      <c r="AC224" s="129">
        <v>1</v>
      </c>
      <c r="AD224" s="129">
        <v>0</v>
      </c>
      <c r="AE224" s="129">
        <v>0</v>
      </c>
      <c r="AF224" s="129">
        <v>3</v>
      </c>
      <c r="AG224" s="129">
        <v>0</v>
      </c>
      <c r="AH224" s="129">
        <v>0</v>
      </c>
      <c r="AI224" s="126">
        <v>0</v>
      </c>
      <c r="AJ224" s="131">
        <v>41</v>
      </c>
    </row>
    <row r="225" spans="1:36" x14ac:dyDescent="0.35">
      <c r="A225" s="127" t="s">
        <v>688</v>
      </c>
      <c r="B225" s="127" t="s">
        <v>689</v>
      </c>
      <c r="C225" s="129">
        <v>1297</v>
      </c>
      <c r="D225" s="129">
        <v>265</v>
      </c>
      <c r="E225" s="129">
        <v>139</v>
      </c>
      <c r="F225" s="129">
        <v>62</v>
      </c>
      <c r="G225" s="129">
        <v>1763</v>
      </c>
      <c r="H225" s="129">
        <v>45</v>
      </c>
      <c r="I225" s="129">
        <v>2</v>
      </c>
      <c r="J225" s="129">
        <v>1</v>
      </c>
      <c r="K225" s="129">
        <v>0</v>
      </c>
      <c r="L225" s="129">
        <v>48</v>
      </c>
      <c r="M225" s="129">
        <v>30</v>
      </c>
      <c r="N225" s="129">
        <v>3</v>
      </c>
      <c r="O225" s="129">
        <v>2</v>
      </c>
      <c r="P225" s="129">
        <v>0</v>
      </c>
      <c r="Q225" s="129">
        <v>35</v>
      </c>
      <c r="R225" s="129">
        <v>14</v>
      </c>
      <c r="S225" s="129">
        <v>1</v>
      </c>
      <c r="T225" s="129">
        <v>0</v>
      </c>
      <c r="U225" s="129">
        <v>0</v>
      </c>
      <c r="V225" s="129">
        <v>15</v>
      </c>
      <c r="W225" s="129">
        <v>216</v>
      </c>
      <c r="X225" s="129">
        <v>13</v>
      </c>
      <c r="Y225" s="129">
        <v>4</v>
      </c>
      <c r="Z225" s="129">
        <v>0</v>
      </c>
      <c r="AA225" s="129">
        <v>233</v>
      </c>
      <c r="AB225" s="129">
        <v>32</v>
      </c>
      <c r="AC225" s="129">
        <v>3</v>
      </c>
      <c r="AD225" s="129">
        <v>1</v>
      </c>
      <c r="AE225" s="129">
        <v>0</v>
      </c>
      <c r="AF225" s="129">
        <v>36</v>
      </c>
      <c r="AG225" s="129">
        <v>0</v>
      </c>
      <c r="AH225" s="129">
        <v>0</v>
      </c>
      <c r="AI225" s="126">
        <v>0</v>
      </c>
      <c r="AJ225" s="131">
        <v>2130</v>
      </c>
    </row>
    <row r="226" spans="1:36" x14ac:dyDescent="0.35">
      <c r="A226" s="127" t="s">
        <v>690</v>
      </c>
      <c r="B226" s="127" t="s">
        <v>691</v>
      </c>
      <c r="C226" s="129">
        <v>164</v>
      </c>
      <c r="D226" s="129">
        <v>54</v>
      </c>
      <c r="E226" s="129">
        <v>25</v>
      </c>
      <c r="F226" s="129">
        <v>5</v>
      </c>
      <c r="G226" s="129">
        <v>248</v>
      </c>
      <c r="H226" s="129">
        <v>4</v>
      </c>
      <c r="I226" s="129">
        <v>2</v>
      </c>
      <c r="J226" s="129">
        <v>0</v>
      </c>
      <c r="K226" s="129">
        <v>0</v>
      </c>
      <c r="L226" s="129">
        <v>6</v>
      </c>
      <c r="M226" s="129">
        <v>8</v>
      </c>
      <c r="N226" s="129">
        <v>0</v>
      </c>
      <c r="O226" s="129">
        <v>0</v>
      </c>
      <c r="P226" s="129">
        <v>0</v>
      </c>
      <c r="Q226" s="129">
        <v>8</v>
      </c>
      <c r="R226" s="129">
        <v>5</v>
      </c>
      <c r="S226" s="129">
        <v>0</v>
      </c>
      <c r="T226" s="129">
        <v>0</v>
      </c>
      <c r="U226" s="129">
        <v>0</v>
      </c>
      <c r="V226" s="129">
        <v>5</v>
      </c>
      <c r="W226" s="129">
        <v>31</v>
      </c>
      <c r="X226" s="129">
        <v>4</v>
      </c>
      <c r="Y226" s="129">
        <v>1</v>
      </c>
      <c r="Z226" s="129">
        <v>0</v>
      </c>
      <c r="AA226" s="129">
        <v>36</v>
      </c>
      <c r="AB226" s="129">
        <v>5</v>
      </c>
      <c r="AC226" s="129">
        <v>0</v>
      </c>
      <c r="AD226" s="129">
        <v>0</v>
      </c>
      <c r="AE226" s="129">
        <v>0</v>
      </c>
      <c r="AF226" s="129">
        <v>5</v>
      </c>
      <c r="AG226" s="129">
        <v>0</v>
      </c>
      <c r="AH226" s="129">
        <v>0</v>
      </c>
      <c r="AI226" s="126">
        <v>0</v>
      </c>
      <c r="AJ226" s="131">
        <v>308</v>
      </c>
    </row>
    <row r="227" spans="1:36" x14ac:dyDescent="0.35">
      <c r="A227" s="127" t="s">
        <v>692</v>
      </c>
      <c r="B227" s="127" t="s">
        <v>693</v>
      </c>
      <c r="C227" s="129">
        <v>51</v>
      </c>
      <c r="D227" s="129">
        <v>30</v>
      </c>
      <c r="E227" s="129">
        <v>12</v>
      </c>
      <c r="F227" s="129">
        <v>17</v>
      </c>
      <c r="G227" s="129">
        <v>110</v>
      </c>
      <c r="H227" s="129">
        <v>1</v>
      </c>
      <c r="I227" s="129">
        <v>0</v>
      </c>
      <c r="J227" s="129">
        <v>0</v>
      </c>
      <c r="K227" s="129">
        <v>0</v>
      </c>
      <c r="L227" s="129">
        <v>1</v>
      </c>
      <c r="M227" s="129">
        <v>2</v>
      </c>
      <c r="N227" s="129">
        <v>0</v>
      </c>
      <c r="O227" s="129">
        <v>0</v>
      </c>
      <c r="P227" s="129">
        <v>0</v>
      </c>
      <c r="Q227" s="129">
        <v>2</v>
      </c>
      <c r="R227" s="129">
        <v>1</v>
      </c>
      <c r="S227" s="129">
        <v>1</v>
      </c>
      <c r="T227" s="129">
        <v>0</v>
      </c>
      <c r="U227" s="129">
        <v>0</v>
      </c>
      <c r="V227" s="129">
        <v>2</v>
      </c>
      <c r="W227" s="129">
        <v>15</v>
      </c>
      <c r="X227" s="129">
        <v>2</v>
      </c>
      <c r="Y227" s="129">
        <v>0</v>
      </c>
      <c r="Z227" s="129">
        <v>1</v>
      </c>
      <c r="AA227" s="129">
        <v>18</v>
      </c>
      <c r="AB227" s="129">
        <v>2</v>
      </c>
      <c r="AC227" s="129">
        <v>0</v>
      </c>
      <c r="AD227" s="129">
        <v>0</v>
      </c>
      <c r="AE227" s="129">
        <v>0</v>
      </c>
      <c r="AF227" s="129">
        <v>2</v>
      </c>
      <c r="AG227" s="129">
        <v>0</v>
      </c>
      <c r="AH227" s="129">
        <v>0</v>
      </c>
      <c r="AI227" s="126">
        <v>0</v>
      </c>
      <c r="AJ227" s="131">
        <v>135</v>
      </c>
    </row>
    <row r="228" spans="1:36" x14ac:dyDescent="0.35">
      <c r="A228" s="127" t="s">
        <v>694</v>
      </c>
      <c r="B228" s="127" t="s">
        <v>695</v>
      </c>
      <c r="C228" s="129">
        <v>55</v>
      </c>
      <c r="D228" s="129">
        <v>20</v>
      </c>
      <c r="E228" s="129">
        <v>7</v>
      </c>
      <c r="F228" s="129">
        <v>4</v>
      </c>
      <c r="G228" s="129">
        <v>86</v>
      </c>
      <c r="H228" s="129">
        <v>1</v>
      </c>
      <c r="I228" s="129">
        <v>0</v>
      </c>
      <c r="J228" s="129">
        <v>0</v>
      </c>
      <c r="K228" s="129">
        <v>0</v>
      </c>
      <c r="L228" s="129">
        <v>1</v>
      </c>
      <c r="M228" s="129">
        <v>4</v>
      </c>
      <c r="N228" s="129">
        <v>0</v>
      </c>
      <c r="O228" s="129">
        <v>0</v>
      </c>
      <c r="P228" s="129">
        <v>0</v>
      </c>
      <c r="Q228" s="129">
        <v>4</v>
      </c>
      <c r="R228" s="129">
        <v>3</v>
      </c>
      <c r="S228" s="129">
        <v>1</v>
      </c>
      <c r="T228" s="129">
        <v>0</v>
      </c>
      <c r="U228" s="129">
        <v>0</v>
      </c>
      <c r="V228" s="129">
        <v>4</v>
      </c>
      <c r="W228" s="129">
        <v>6</v>
      </c>
      <c r="X228" s="129">
        <v>2</v>
      </c>
      <c r="Y228" s="129">
        <v>0</v>
      </c>
      <c r="Z228" s="129">
        <v>0</v>
      </c>
      <c r="AA228" s="129">
        <v>8</v>
      </c>
      <c r="AB228" s="129">
        <v>1</v>
      </c>
      <c r="AC228" s="129">
        <v>0</v>
      </c>
      <c r="AD228" s="129">
        <v>0</v>
      </c>
      <c r="AE228" s="129">
        <v>0</v>
      </c>
      <c r="AF228" s="129">
        <v>1</v>
      </c>
      <c r="AG228" s="129">
        <v>0</v>
      </c>
      <c r="AH228" s="129">
        <v>0</v>
      </c>
      <c r="AI228" s="126">
        <v>0</v>
      </c>
      <c r="AJ228" s="131">
        <v>104</v>
      </c>
    </row>
    <row r="229" spans="1:36" x14ac:dyDescent="0.35">
      <c r="A229" s="127" t="s">
        <v>696</v>
      </c>
      <c r="B229" s="127" t="s">
        <v>697</v>
      </c>
      <c r="C229" s="129">
        <v>943</v>
      </c>
      <c r="D229" s="129">
        <v>339</v>
      </c>
      <c r="E229" s="129">
        <v>75</v>
      </c>
      <c r="F229" s="129">
        <v>14</v>
      </c>
      <c r="G229" s="129">
        <v>1371</v>
      </c>
      <c r="H229" s="129">
        <v>28</v>
      </c>
      <c r="I229" s="129">
        <v>3</v>
      </c>
      <c r="J229" s="129">
        <v>0</v>
      </c>
      <c r="K229" s="129">
        <v>0</v>
      </c>
      <c r="L229" s="129">
        <v>31</v>
      </c>
      <c r="M229" s="129">
        <v>16</v>
      </c>
      <c r="N229" s="129">
        <v>5</v>
      </c>
      <c r="O229" s="129">
        <v>0</v>
      </c>
      <c r="P229" s="129">
        <v>0</v>
      </c>
      <c r="Q229" s="129">
        <v>21</v>
      </c>
      <c r="R229" s="129">
        <v>32</v>
      </c>
      <c r="S229" s="129">
        <v>11</v>
      </c>
      <c r="T229" s="129">
        <v>1</v>
      </c>
      <c r="U229" s="129">
        <v>0</v>
      </c>
      <c r="V229" s="129">
        <v>44</v>
      </c>
      <c r="W229" s="129">
        <v>146</v>
      </c>
      <c r="X229" s="129">
        <v>25</v>
      </c>
      <c r="Y229" s="129">
        <v>2</v>
      </c>
      <c r="Z229" s="129">
        <v>2</v>
      </c>
      <c r="AA229" s="129">
        <v>175</v>
      </c>
      <c r="AB229" s="129">
        <v>29</v>
      </c>
      <c r="AC229" s="129">
        <v>3</v>
      </c>
      <c r="AD229" s="129">
        <v>0</v>
      </c>
      <c r="AE229" s="129">
        <v>0</v>
      </c>
      <c r="AF229" s="129">
        <v>32</v>
      </c>
      <c r="AG229" s="129">
        <v>0</v>
      </c>
      <c r="AH229" s="129">
        <v>0</v>
      </c>
      <c r="AI229" s="126">
        <v>0</v>
      </c>
      <c r="AJ229" s="131">
        <v>1674</v>
      </c>
    </row>
    <row r="230" spans="1:36" x14ac:dyDescent="0.35">
      <c r="A230" s="127" t="s">
        <v>698</v>
      </c>
      <c r="B230" s="127" t="s">
        <v>699</v>
      </c>
      <c r="C230" s="129">
        <v>19</v>
      </c>
      <c r="D230" s="129">
        <v>1</v>
      </c>
      <c r="E230" s="129">
        <v>1</v>
      </c>
      <c r="F230" s="129">
        <v>0</v>
      </c>
      <c r="G230" s="129">
        <v>21</v>
      </c>
      <c r="H230" s="129">
        <v>0</v>
      </c>
      <c r="I230" s="129">
        <v>0</v>
      </c>
      <c r="J230" s="129">
        <v>0</v>
      </c>
      <c r="K230" s="129">
        <v>0</v>
      </c>
      <c r="L230" s="129">
        <v>0</v>
      </c>
      <c r="M230" s="129">
        <v>0</v>
      </c>
      <c r="N230" s="129">
        <v>0</v>
      </c>
      <c r="O230" s="129">
        <v>0</v>
      </c>
      <c r="P230" s="129">
        <v>0</v>
      </c>
      <c r="Q230" s="129">
        <v>0</v>
      </c>
      <c r="R230" s="129">
        <v>0</v>
      </c>
      <c r="S230" s="129">
        <v>0</v>
      </c>
      <c r="T230" s="129">
        <v>0</v>
      </c>
      <c r="U230" s="129">
        <v>0</v>
      </c>
      <c r="V230" s="129">
        <v>0</v>
      </c>
      <c r="W230" s="129">
        <v>3</v>
      </c>
      <c r="X230" s="129">
        <v>0</v>
      </c>
      <c r="Y230" s="129">
        <v>0</v>
      </c>
      <c r="Z230" s="129">
        <v>0</v>
      </c>
      <c r="AA230" s="129">
        <v>3</v>
      </c>
      <c r="AB230" s="129">
        <v>1</v>
      </c>
      <c r="AC230" s="129">
        <v>0</v>
      </c>
      <c r="AD230" s="129">
        <v>0</v>
      </c>
      <c r="AE230" s="129">
        <v>0</v>
      </c>
      <c r="AF230" s="129">
        <v>1</v>
      </c>
      <c r="AG230" s="129">
        <v>0</v>
      </c>
      <c r="AH230" s="129">
        <v>0</v>
      </c>
      <c r="AI230" s="126">
        <v>0</v>
      </c>
      <c r="AJ230" s="131">
        <v>25</v>
      </c>
    </row>
    <row r="231" spans="1:36" x14ac:dyDescent="0.35">
      <c r="A231" s="127" t="s">
        <v>700</v>
      </c>
      <c r="B231" s="127" t="s">
        <v>701</v>
      </c>
      <c r="C231" s="129">
        <v>77</v>
      </c>
      <c r="D231" s="129">
        <v>25</v>
      </c>
      <c r="E231" s="129">
        <v>7</v>
      </c>
      <c r="F231" s="129">
        <v>1</v>
      </c>
      <c r="G231" s="129">
        <v>110</v>
      </c>
      <c r="H231" s="129">
        <v>5</v>
      </c>
      <c r="I231" s="129">
        <v>0</v>
      </c>
      <c r="J231" s="129">
        <v>0</v>
      </c>
      <c r="K231" s="129">
        <v>0</v>
      </c>
      <c r="L231" s="129">
        <v>5</v>
      </c>
      <c r="M231" s="129">
        <v>2</v>
      </c>
      <c r="N231" s="129">
        <v>0</v>
      </c>
      <c r="O231" s="129">
        <v>0</v>
      </c>
      <c r="P231" s="129">
        <v>0</v>
      </c>
      <c r="Q231" s="129">
        <v>2</v>
      </c>
      <c r="R231" s="129">
        <v>8</v>
      </c>
      <c r="S231" s="129">
        <v>3</v>
      </c>
      <c r="T231" s="129">
        <v>0</v>
      </c>
      <c r="U231" s="129">
        <v>0</v>
      </c>
      <c r="V231" s="129">
        <v>11</v>
      </c>
      <c r="W231" s="129">
        <v>16</v>
      </c>
      <c r="X231" s="129">
        <v>8</v>
      </c>
      <c r="Y231" s="129">
        <v>0</v>
      </c>
      <c r="Z231" s="129">
        <v>0</v>
      </c>
      <c r="AA231" s="129">
        <v>24</v>
      </c>
      <c r="AB231" s="129">
        <v>0</v>
      </c>
      <c r="AC231" s="129">
        <v>0</v>
      </c>
      <c r="AD231" s="129">
        <v>0</v>
      </c>
      <c r="AE231" s="129">
        <v>0</v>
      </c>
      <c r="AF231" s="129">
        <v>0</v>
      </c>
      <c r="AG231" s="129">
        <v>0</v>
      </c>
      <c r="AH231" s="129">
        <v>0</v>
      </c>
      <c r="AI231" s="126">
        <v>0</v>
      </c>
      <c r="AJ231" s="131">
        <v>152</v>
      </c>
    </row>
    <row r="232" spans="1:36" x14ac:dyDescent="0.35">
      <c r="A232" s="127" t="s">
        <v>702</v>
      </c>
      <c r="B232" s="127" t="s">
        <v>703</v>
      </c>
      <c r="C232" s="129">
        <v>564</v>
      </c>
      <c r="D232" s="129">
        <v>67</v>
      </c>
      <c r="E232" s="129">
        <v>9</v>
      </c>
      <c r="F232" s="129">
        <v>5</v>
      </c>
      <c r="G232" s="129">
        <v>645</v>
      </c>
      <c r="H232" s="129">
        <v>10</v>
      </c>
      <c r="I232" s="129">
        <v>1</v>
      </c>
      <c r="J232" s="129">
        <v>0</v>
      </c>
      <c r="K232" s="129">
        <v>0</v>
      </c>
      <c r="L232" s="129">
        <v>11</v>
      </c>
      <c r="M232" s="129">
        <v>8</v>
      </c>
      <c r="N232" s="129">
        <v>3</v>
      </c>
      <c r="O232" s="129">
        <v>0</v>
      </c>
      <c r="P232" s="129">
        <v>0</v>
      </c>
      <c r="Q232" s="129">
        <v>11</v>
      </c>
      <c r="R232" s="129">
        <v>18</v>
      </c>
      <c r="S232" s="129">
        <v>2</v>
      </c>
      <c r="T232" s="129">
        <v>0</v>
      </c>
      <c r="U232" s="129">
        <v>0</v>
      </c>
      <c r="V232" s="129">
        <v>20</v>
      </c>
      <c r="W232" s="129">
        <v>128</v>
      </c>
      <c r="X232" s="129">
        <v>5</v>
      </c>
      <c r="Y232" s="129">
        <v>0</v>
      </c>
      <c r="Z232" s="129">
        <v>0</v>
      </c>
      <c r="AA232" s="129">
        <v>133</v>
      </c>
      <c r="AB232" s="129">
        <v>11</v>
      </c>
      <c r="AC232" s="129">
        <v>0</v>
      </c>
      <c r="AD232" s="129">
        <v>0</v>
      </c>
      <c r="AE232" s="129">
        <v>0</v>
      </c>
      <c r="AF232" s="129">
        <v>11</v>
      </c>
      <c r="AG232" s="129">
        <v>0</v>
      </c>
      <c r="AH232" s="129">
        <v>0</v>
      </c>
      <c r="AI232" s="126">
        <v>0</v>
      </c>
      <c r="AJ232" s="131">
        <v>831</v>
      </c>
    </row>
    <row r="233" spans="1:36" x14ac:dyDescent="0.35">
      <c r="A233" s="127" t="s">
        <v>704</v>
      </c>
      <c r="B233" s="127" t="s">
        <v>705</v>
      </c>
      <c r="C233" s="129">
        <v>298</v>
      </c>
      <c r="D233" s="129">
        <v>28</v>
      </c>
      <c r="E233" s="129">
        <v>1</v>
      </c>
      <c r="F233" s="129">
        <v>1</v>
      </c>
      <c r="G233" s="129">
        <v>328</v>
      </c>
      <c r="H233" s="129">
        <v>2</v>
      </c>
      <c r="I233" s="129">
        <v>0</v>
      </c>
      <c r="J233" s="129">
        <v>0</v>
      </c>
      <c r="K233" s="129">
        <v>0</v>
      </c>
      <c r="L233" s="129">
        <v>2</v>
      </c>
      <c r="M233" s="129">
        <v>2</v>
      </c>
      <c r="N233" s="129">
        <v>0</v>
      </c>
      <c r="O233" s="129">
        <v>0</v>
      </c>
      <c r="P233" s="129">
        <v>0</v>
      </c>
      <c r="Q233" s="129">
        <v>2</v>
      </c>
      <c r="R233" s="129">
        <v>4</v>
      </c>
      <c r="S233" s="129">
        <v>0</v>
      </c>
      <c r="T233" s="129">
        <v>0</v>
      </c>
      <c r="U233" s="129">
        <v>0</v>
      </c>
      <c r="V233" s="129">
        <v>4</v>
      </c>
      <c r="W233" s="129">
        <v>65</v>
      </c>
      <c r="X233" s="129">
        <v>3</v>
      </c>
      <c r="Y233" s="129">
        <v>0</v>
      </c>
      <c r="Z233" s="129">
        <v>0</v>
      </c>
      <c r="AA233" s="129">
        <v>68</v>
      </c>
      <c r="AB233" s="129">
        <v>5</v>
      </c>
      <c r="AC233" s="129">
        <v>0</v>
      </c>
      <c r="AD233" s="129">
        <v>0</v>
      </c>
      <c r="AE233" s="129">
        <v>0</v>
      </c>
      <c r="AF233" s="129">
        <v>5</v>
      </c>
      <c r="AG233" s="129">
        <v>0</v>
      </c>
      <c r="AH233" s="129">
        <v>0</v>
      </c>
      <c r="AI233" s="126">
        <v>0</v>
      </c>
      <c r="AJ233" s="131">
        <v>409</v>
      </c>
    </row>
    <row r="234" spans="1:36" x14ac:dyDescent="0.35">
      <c r="A234" s="127" t="s">
        <v>706</v>
      </c>
      <c r="B234" s="127" t="s">
        <v>707</v>
      </c>
      <c r="C234" s="129">
        <v>129</v>
      </c>
      <c r="D234" s="129">
        <v>14</v>
      </c>
      <c r="E234" s="129">
        <v>1</v>
      </c>
      <c r="F234" s="129">
        <v>0</v>
      </c>
      <c r="G234" s="129">
        <v>144</v>
      </c>
      <c r="H234" s="129">
        <v>2</v>
      </c>
      <c r="I234" s="129">
        <v>0</v>
      </c>
      <c r="J234" s="129">
        <v>0</v>
      </c>
      <c r="K234" s="129">
        <v>0</v>
      </c>
      <c r="L234" s="129">
        <v>2</v>
      </c>
      <c r="M234" s="129">
        <v>1</v>
      </c>
      <c r="N234" s="129">
        <v>0</v>
      </c>
      <c r="O234" s="129">
        <v>0</v>
      </c>
      <c r="P234" s="129">
        <v>0</v>
      </c>
      <c r="Q234" s="129">
        <v>1</v>
      </c>
      <c r="R234" s="129">
        <v>0</v>
      </c>
      <c r="S234" s="129">
        <v>0</v>
      </c>
      <c r="T234" s="129">
        <v>0</v>
      </c>
      <c r="U234" s="129">
        <v>0</v>
      </c>
      <c r="V234" s="129">
        <v>0</v>
      </c>
      <c r="W234" s="129">
        <v>21</v>
      </c>
      <c r="X234" s="129">
        <v>0</v>
      </c>
      <c r="Y234" s="129">
        <v>0</v>
      </c>
      <c r="Z234" s="129">
        <v>0</v>
      </c>
      <c r="AA234" s="129">
        <v>21</v>
      </c>
      <c r="AB234" s="129">
        <v>2</v>
      </c>
      <c r="AC234" s="129">
        <v>0</v>
      </c>
      <c r="AD234" s="129">
        <v>0</v>
      </c>
      <c r="AE234" s="129">
        <v>0</v>
      </c>
      <c r="AF234" s="129">
        <v>2</v>
      </c>
      <c r="AG234" s="129">
        <v>0</v>
      </c>
      <c r="AH234" s="129">
        <v>0</v>
      </c>
      <c r="AI234" s="126">
        <v>0</v>
      </c>
      <c r="AJ234" s="131">
        <v>170</v>
      </c>
    </row>
    <row r="235" spans="1:36" x14ac:dyDescent="0.35">
      <c r="A235" s="127" t="s">
        <v>708</v>
      </c>
      <c r="B235" s="127" t="s">
        <v>709</v>
      </c>
      <c r="C235" s="129">
        <v>1114</v>
      </c>
      <c r="D235" s="129">
        <v>76</v>
      </c>
      <c r="E235" s="129">
        <v>2</v>
      </c>
      <c r="F235" s="129">
        <v>0</v>
      </c>
      <c r="G235" s="129">
        <v>1192</v>
      </c>
      <c r="H235" s="129">
        <v>14</v>
      </c>
      <c r="I235" s="129">
        <v>0</v>
      </c>
      <c r="J235" s="129">
        <v>0</v>
      </c>
      <c r="K235" s="129">
        <v>0</v>
      </c>
      <c r="L235" s="129">
        <v>14</v>
      </c>
      <c r="M235" s="129">
        <v>7</v>
      </c>
      <c r="N235" s="129">
        <v>0</v>
      </c>
      <c r="O235" s="129">
        <v>0</v>
      </c>
      <c r="P235" s="129">
        <v>0</v>
      </c>
      <c r="Q235" s="129">
        <v>7</v>
      </c>
      <c r="R235" s="129">
        <v>4</v>
      </c>
      <c r="S235" s="129">
        <v>1</v>
      </c>
      <c r="T235" s="129">
        <v>0</v>
      </c>
      <c r="U235" s="129">
        <v>0</v>
      </c>
      <c r="V235" s="129">
        <v>5</v>
      </c>
      <c r="W235" s="129">
        <v>209</v>
      </c>
      <c r="X235" s="129">
        <v>8</v>
      </c>
      <c r="Y235" s="129">
        <v>0</v>
      </c>
      <c r="Z235" s="129">
        <v>0</v>
      </c>
      <c r="AA235" s="129">
        <v>217</v>
      </c>
      <c r="AB235" s="129">
        <v>5</v>
      </c>
      <c r="AC235" s="129">
        <v>0</v>
      </c>
      <c r="AD235" s="129">
        <v>0</v>
      </c>
      <c r="AE235" s="129">
        <v>0</v>
      </c>
      <c r="AF235" s="129">
        <v>5</v>
      </c>
      <c r="AG235" s="129">
        <v>0</v>
      </c>
      <c r="AH235" s="129">
        <v>0</v>
      </c>
      <c r="AI235" s="126">
        <v>0</v>
      </c>
      <c r="AJ235" s="131">
        <v>1440</v>
      </c>
    </row>
    <row r="236" spans="1:36" x14ac:dyDescent="0.35">
      <c r="A236" s="127" t="s">
        <v>710</v>
      </c>
      <c r="B236" s="127" t="s">
        <v>711</v>
      </c>
      <c r="C236" s="129">
        <v>439</v>
      </c>
      <c r="D236" s="129">
        <v>83</v>
      </c>
      <c r="E236" s="129">
        <v>21</v>
      </c>
      <c r="F236" s="129">
        <v>3</v>
      </c>
      <c r="G236" s="129">
        <v>546</v>
      </c>
      <c r="H236" s="129">
        <v>6</v>
      </c>
      <c r="I236" s="129">
        <v>0</v>
      </c>
      <c r="J236" s="129">
        <v>0</v>
      </c>
      <c r="K236" s="129">
        <v>0</v>
      </c>
      <c r="L236" s="129">
        <v>6</v>
      </c>
      <c r="M236" s="129">
        <v>10</v>
      </c>
      <c r="N236" s="129">
        <v>3</v>
      </c>
      <c r="O236" s="129">
        <v>0</v>
      </c>
      <c r="P236" s="129">
        <v>0</v>
      </c>
      <c r="Q236" s="129">
        <v>13</v>
      </c>
      <c r="R236" s="129">
        <v>7</v>
      </c>
      <c r="S236" s="129">
        <v>0</v>
      </c>
      <c r="T236" s="129">
        <v>0</v>
      </c>
      <c r="U236" s="129">
        <v>0</v>
      </c>
      <c r="V236" s="129">
        <v>7</v>
      </c>
      <c r="W236" s="129">
        <v>71</v>
      </c>
      <c r="X236" s="129">
        <v>6</v>
      </c>
      <c r="Y236" s="129">
        <v>2</v>
      </c>
      <c r="Z236" s="129">
        <v>0</v>
      </c>
      <c r="AA236" s="129">
        <v>79</v>
      </c>
      <c r="AB236" s="129">
        <v>12</v>
      </c>
      <c r="AC236" s="129">
        <v>1</v>
      </c>
      <c r="AD236" s="129">
        <v>0</v>
      </c>
      <c r="AE236" s="129">
        <v>0</v>
      </c>
      <c r="AF236" s="129">
        <v>13</v>
      </c>
      <c r="AG236" s="129">
        <v>0</v>
      </c>
      <c r="AH236" s="129">
        <v>0</v>
      </c>
      <c r="AI236" s="126">
        <v>0</v>
      </c>
      <c r="AJ236" s="131">
        <v>664</v>
      </c>
    </row>
    <row r="237" spans="1:36" x14ac:dyDescent="0.35">
      <c r="A237" s="127" t="s">
        <v>712</v>
      </c>
      <c r="B237" s="127" t="s">
        <v>713</v>
      </c>
      <c r="C237" s="129">
        <v>68</v>
      </c>
      <c r="D237" s="129">
        <v>10</v>
      </c>
      <c r="E237" s="129">
        <v>8</v>
      </c>
      <c r="F237" s="129">
        <v>11</v>
      </c>
      <c r="G237" s="129">
        <v>97</v>
      </c>
      <c r="H237" s="129">
        <v>1</v>
      </c>
      <c r="I237" s="129">
        <v>1</v>
      </c>
      <c r="J237" s="129">
        <v>0</v>
      </c>
      <c r="K237" s="129">
        <v>0</v>
      </c>
      <c r="L237" s="129">
        <v>2</v>
      </c>
      <c r="M237" s="129">
        <v>0</v>
      </c>
      <c r="N237" s="129">
        <v>0</v>
      </c>
      <c r="O237" s="129">
        <v>0</v>
      </c>
      <c r="P237" s="129">
        <v>0</v>
      </c>
      <c r="Q237" s="129">
        <v>0</v>
      </c>
      <c r="R237" s="129">
        <v>0</v>
      </c>
      <c r="S237" s="129">
        <v>0</v>
      </c>
      <c r="T237" s="129">
        <v>0</v>
      </c>
      <c r="U237" s="129">
        <v>0</v>
      </c>
      <c r="V237" s="129">
        <v>0</v>
      </c>
      <c r="W237" s="129">
        <v>3</v>
      </c>
      <c r="X237" s="129">
        <v>0</v>
      </c>
      <c r="Y237" s="129">
        <v>0</v>
      </c>
      <c r="Z237" s="129">
        <v>0</v>
      </c>
      <c r="AA237" s="129">
        <v>3</v>
      </c>
      <c r="AB237" s="129">
        <v>0</v>
      </c>
      <c r="AC237" s="129">
        <v>0</v>
      </c>
      <c r="AD237" s="129">
        <v>0</v>
      </c>
      <c r="AE237" s="129">
        <v>0</v>
      </c>
      <c r="AF237" s="129">
        <v>0</v>
      </c>
      <c r="AG237" s="129">
        <v>0</v>
      </c>
      <c r="AH237" s="129">
        <v>0</v>
      </c>
      <c r="AI237" s="126">
        <v>0</v>
      </c>
      <c r="AJ237" s="131">
        <v>102</v>
      </c>
    </row>
    <row r="238" spans="1:36" x14ac:dyDescent="0.35">
      <c r="A238" s="127" t="s">
        <v>714</v>
      </c>
      <c r="B238" s="127" t="s">
        <v>715</v>
      </c>
      <c r="C238" s="129">
        <v>439</v>
      </c>
      <c r="D238" s="129">
        <v>15</v>
      </c>
      <c r="E238" s="129">
        <v>3</v>
      </c>
      <c r="F238" s="129">
        <v>0</v>
      </c>
      <c r="G238" s="129">
        <v>457</v>
      </c>
      <c r="H238" s="129">
        <v>5</v>
      </c>
      <c r="I238" s="129">
        <v>0</v>
      </c>
      <c r="J238" s="129">
        <v>0</v>
      </c>
      <c r="K238" s="129">
        <v>0</v>
      </c>
      <c r="L238" s="129">
        <v>5</v>
      </c>
      <c r="M238" s="129">
        <v>2</v>
      </c>
      <c r="N238" s="129">
        <v>0</v>
      </c>
      <c r="O238" s="129">
        <v>0</v>
      </c>
      <c r="P238" s="129">
        <v>0</v>
      </c>
      <c r="Q238" s="129">
        <v>2</v>
      </c>
      <c r="R238" s="129">
        <v>2</v>
      </c>
      <c r="S238" s="129">
        <v>0</v>
      </c>
      <c r="T238" s="129">
        <v>0</v>
      </c>
      <c r="U238" s="129">
        <v>0</v>
      </c>
      <c r="V238" s="129">
        <v>2</v>
      </c>
      <c r="W238" s="129">
        <v>20</v>
      </c>
      <c r="X238" s="129">
        <v>0</v>
      </c>
      <c r="Y238" s="129">
        <v>0</v>
      </c>
      <c r="Z238" s="129">
        <v>0</v>
      </c>
      <c r="AA238" s="129">
        <v>20</v>
      </c>
      <c r="AB238" s="129">
        <v>5</v>
      </c>
      <c r="AC238" s="129">
        <v>0</v>
      </c>
      <c r="AD238" s="129">
        <v>0</v>
      </c>
      <c r="AE238" s="129">
        <v>0</v>
      </c>
      <c r="AF238" s="129">
        <v>5</v>
      </c>
      <c r="AG238" s="129">
        <v>0</v>
      </c>
      <c r="AH238" s="129">
        <v>0</v>
      </c>
      <c r="AI238" s="126">
        <v>0</v>
      </c>
      <c r="AJ238" s="131">
        <v>491</v>
      </c>
    </row>
    <row r="239" spans="1:36" x14ac:dyDescent="0.35">
      <c r="A239" s="127" t="s">
        <v>716</v>
      </c>
      <c r="B239" s="127" t="s">
        <v>717</v>
      </c>
      <c r="C239" s="129">
        <v>1365</v>
      </c>
      <c r="D239" s="129">
        <v>53</v>
      </c>
      <c r="E239" s="129">
        <v>8</v>
      </c>
      <c r="F239" s="129">
        <v>0</v>
      </c>
      <c r="G239" s="129">
        <v>1426</v>
      </c>
      <c r="H239" s="129">
        <v>107</v>
      </c>
      <c r="I239" s="129">
        <v>0</v>
      </c>
      <c r="J239" s="129">
        <v>0</v>
      </c>
      <c r="K239" s="129">
        <v>0</v>
      </c>
      <c r="L239" s="129">
        <v>107</v>
      </c>
      <c r="M239" s="129">
        <v>89</v>
      </c>
      <c r="N239" s="129">
        <v>1</v>
      </c>
      <c r="O239" s="129">
        <v>0</v>
      </c>
      <c r="P239" s="129">
        <v>0</v>
      </c>
      <c r="Q239" s="129">
        <v>90</v>
      </c>
      <c r="R239" s="129">
        <v>91</v>
      </c>
      <c r="S239" s="129">
        <v>0</v>
      </c>
      <c r="T239" s="129">
        <v>0</v>
      </c>
      <c r="U239" s="129">
        <v>0</v>
      </c>
      <c r="V239" s="129">
        <v>91</v>
      </c>
      <c r="W239" s="129">
        <v>236</v>
      </c>
      <c r="X239" s="129">
        <v>1</v>
      </c>
      <c r="Y239" s="129">
        <v>2</v>
      </c>
      <c r="Z239" s="129">
        <v>0</v>
      </c>
      <c r="AA239" s="129">
        <v>239</v>
      </c>
      <c r="AB239" s="129">
        <v>42</v>
      </c>
      <c r="AC239" s="129">
        <v>0</v>
      </c>
      <c r="AD239" s="129">
        <v>0</v>
      </c>
      <c r="AE239" s="129">
        <v>0</v>
      </c>
      <c r="AF239" s="129">
        <v>42</v>
      </c>
      <c r="AG239" s="129">
        <v>0</v>
      </c>
      <c r="AH239" s="129">
        <v>0</v>
      </c>
      <c r="AI239" s="126">
        <v>0</v>
      </c>
      <c r="AJ239" s="131">
        <v>1995</v>
      </c>
    </row>
    <row r="240" spans="1:36" x14ac:dyDescent="0.35">
      <c r="A240" s="127" t="s">
        <v>718</v>
      </c>
      <c r="B240" s="127" t="s">
        <v>719</v>
      </c>
      <c r="C240" s="129">
        <v>1113</v>
      </c>
      <c r="D240" s="129">
        <v>214</v>
      </c>
      <c r="E240" s="129">
        <v>29</v>
      </c>
      <c r="F240" s="129">
        <v>10</v>
      </c>
      <c r="G240" s="129">
        <v>1366</v>
      </c>
      <c r="H240" s="129">
        <v>43</v>
      </c>
      <c r="I240" s="129">
        <v>0</v>
      </c>
      <c r="J240" s="129">
        <v>0</v>
      </c>
      <c r="K240" s="129">
        <v>0</v>
      </c>
      <c r="L240" s="129">
        <v>43</v>
      </c>
      <c r="M240" s="129">
        <v>49</v>
      </c>
      <c r="N240" s="129">
        <v>4</v>
      </c>
      <c r="O240" s="129">
        <v>0</v>
      </c>
      <c r="P240" s="129">
        <v>0</v>
      </c>
      <c r="Q240" s="129">
        <v>53</v>
      </c>
      <c r="R240" s="129">
        <v>48</v>
      </c>
      <c r="S240" s="129">
        <v>2</v>
      </c>
      <c r="T240" s="129">
        <v>0</v>
      </c>
      <c r="U240" s="129">
        <v>0</v>
      </c>
      <c r="V240" s="129">
        <v>50</v>
      </c>
      <c r="W240" s="129">
        <v>135</v>
      </c>
      <c r="X240" s="129">
        <v>14</v>
      </c>
      <c r="Y240" s="129">
        <v>1</v>
      </c>
      <c r="Z240" s="129">
        <v>1</v>
      </c>
      <c r="AA240" s="129">
        <v>151</v>
      </c>
      <c r="AB240" s="129">
        <v>36</v>
      </c>
      <c r="AC240" s="129">
        <v>0</v>
      </c>
      <c r="AD240" s="129">
        <v>0</v>
      </c>
      <c r="AE240" s="129">
        <v>0</v>
      </c>
      <c r="AF240" s="129">
        <v>36</v>
      </c>
      <c r="AG240" s="129">
        <v>0</v>
      </c>
      <c r="AH240" s="129">
        <v>0</v>
      </c>
      <c r="AI240" s="126">
        <v>0</v>
      </c>
      <c r="AJ240" s="131">
        <v>1699</v>
      </c>
    </row>
    <row r="241" spans="1:36" x14ac:dyDescent="0.35">
      <c r="A241" s="127" t="s">
        <v>720</v>
      </c>
      <c r="B241" s="127" t="s">
        <v>721</v>
      </c>
      <c r="C241" s="129">
        <v>468</v>
      </c>
      <c r="D241" s="129">
        <v>55</v>
      </c>
      <c r="E241" s="129">
        <v>10</v>
      </c>
      <c r="F241" s="129">
        <v>4</v>
      </c>
      <c r="G241" s="129">
        <v>537</v>
      </c>
      <c r="H241" s="129">
        <v>93</v>
      </c>
      <c r="I241" s="129">
        <v>1</v>
      </c>
      <c r="J241" s="129">
        <v>0</v>
      </c>
      <c r="K241" s="129">
        <v>0</v>
      </c>
      <c r="L241" s="129">
        <v>94</v>
      </c>
      <c r="M241" s="129">
        <v>33</v>
      </c>
      <c r="N241" s="129">
        <v>3</v>
      </c>
      <c r="O241" s="129">
        <v>0</v>
      </c>
      <c r="P241" s="129">
        <v>0</v>
      </c>
      <c r="Q241" s="129">
        <v>36</v>
      </c>
      <c r="R241" s="129">
        <v>30</v>
      </c>
      <c r="S241" s="129">
        <v>5</v>
      </c>
      <c r="T241" s="129">
        <v>3</v>
      </c>
      <c r="U241" s="129">
        <v>0</v>
      </c>
      <c r="V241" s="129">
        <v>38</v>
      </c>
      <c r="W241" s="129">
        <v>87</v>
      </c>
      <c r="X241" s="129">
        <v>6</v>
      </c>
      <c r="Y241" s="129">
        <v>1</v>
      </c>
      <c r="Z241" s="129">
        <v>0</v>
      </c>
      <c r="AA241" s="129">
        <v>94</v>
      </c>
      <c r="AB241" s="129">
        <v>19</v>
      </c>
      <c r="AC241" s="129">
        <v>0</v>
      </c>
      <c r="AD241" s="129">
        <v>0</v>
      </c>
      <c r="AE241" s="129">
        <v>0</v>
      </c>
      <c r="AF241" s="129">
        <v>19</v>
      </c>
      <c r="AG241" s="129">
        <v>0</v>
      </c>
      <c r="AH241" s="129">
        <v>0</v>
      </c>
      <c r="AI241" s="126">
        <v>0</v>
      </c>
      <c r="AJ241" s="131">
        <v>818</v>
      </c>
    </row>
    <row r="242" spans="1:36" x14ac:dyDescent="0.35">
      <c r="A242" s="127" t="s">
        <v>722</v>
      </c>
      <c r="B242" s="127" t="s">
        <v>723</v>
      </c>
      <c r="C242" s="129">
        <v>400</v>
      </c>
      <c r="D242" s="129">
        <v>7</v>
      </c>
      <c r="E242" s="129">
        <v>1</v>
      </c>
      <c r="F242" s="129">
        <v>0</v>
      </c>
      <c r="G242" s="129">
        <v>408</v>
      </c>
      <c r="H242" s="129">
        <v>102</v>
      </c>
      <c r="I242" s="129">
        <v>0</v>
      </c>
      <c r="J242" s="129">
        <v>0</v>
      </c>
      <c r="K242" s="129">
        <v>0</v>
      </c>
      <c r="L242" s="129">
        <v>102</v>
      </c>
      <c r="M242" s="129">
        <v>73</v>
      </c>
      <c r="N242" s="129">
        <v>0</v>
      </c>
      <c r="O242" s="129">
        <v>0</v>
      </c>
      <c r="P242" s="129">
        <v>0</v>
      </c>
      <c r="Q242" s="129">
        <v>73</v>
      </c>
      <c r="R242" s="129">
        <v>31</v>
      </c>
      <c r="S242" s="129">
        <v>0</v>
      </c>
      <c r="T242" s="129">
        <v>0</v>
      </c>
      <c r="U242" s="129">
        <v>0</v>
      </c>
      <c r="V242" s="129">
        <v>31</v>
      </c>
      <c r="W242" s="129">
        <v>98</v>
      </c>
      <c r="X242" s="129">
        <v>0</v>
      </c>
      <c r="Y242" s="129">
        <v>0</v>
      </c>
      <c r="Z242" s="129">
        <v>0</v>
      </c>
      <c r="AA242" s="129">
        <v>98</v>
      </c>
      <c r="AB242" s="129">
        <v>60</v>
      </c>
      <c r="AC242" s="129">
        <v>0</v>
      </c>
      <c r="AD242" s="129">
        <v>0</v>
      </c>
      <c r="AE242" s="129">
        <v>0</v>
      </c>
      <c r="AF242" s="129">
        <v>60</v>
      </c>
      <c r="AG242" s="129">
        <v>0</v>
      </c>
      <c r="AH242" s="129">
        <v>0</v>
      </c>
      <c r="AI242" s="126">
        <v>0</v>
      </c>
      <c r="AJ242" s="131">
        <v>772</v>
      </c>
    </row>
    <row r="243" spans="1:36" x14ac:dyDescent="0.35">
      <c r="A243" s="127" t="s">
        <v>724</v>
      </c>
      <c r="B243" s="127" t="s">
        <v>725</v>
      </c>
      <c r="C243" s="129">
        <v>205</v>
      </c>
      <c r="D243" s="129">
        <v>39</v>
      </c>
      <c r="E243" s="129">
        <v>4</v>
      </c>
      <c r="F243" s="129">
        <v>2</v>
      </c>
      <c r="G243" s="129">
        <v>250</v>
      </c>
      <c r="H243" s="129">
        <v>9</v>
      </c>
      <c r="I243" s="129">
        <v>1</v>
      </c>
      <c r="J243" s="129">
        <v>0</v>
      </c>
      <c r="K243" s="129">
        <v>0</v>
      </c>
      <c r="L243" s="129">
        <v>10</v>
      </c>
      <c r="M243" s="129">
        <v>5</v>
      </c>
      <c r="N243" s="129">
        <v>0</v>
      </c>
      <c r="O243" s="129">
        <v>0</v>
      </c>
      <c r="P243" s="129">
        <v>0</v>
      </c>
      <c r="Q243" s="129">
        <v>5</v>
      </c>
      <c r="R243" s="129">
        <v>1</v>
      </c>
      <c r="S243" s="129">
        <v>0</v>
      </c>
      <c r="T243" s="129">
        <v>0</v>
      </c>
      <c r="U243" s="129">
        <v>0</v>
      </c>
      <c r="V243" s="129">
        <v>1</v>
      </c>
      <c r="W243" s="129">
        <v>20</v>
      </c>
      <c r="X243" s="129">
        <v>0</v>
      </c>
      <c r="Y243" s="129">
        <v>0</v>
      </c>
      <c r="Z243" s="129">
        <v>0</v>
      </c>
      <c r="AA243" s="129">
        <v>20</v>
      </c>
      <c r="AB243" s="129">
        <v>3</v>
      </c>
      <c r="AC243" s="129">
        <v>1</v>
      </c>
      <c r="AD243" s="129">
        <v>0</v>
      </c>
      <c r="AE243" s="129">
        <v>0</v>
      </c>
      <c r="AF243" s="129">
        <v>4</v>
      </c>
      <c r="AG243" s="129">
        <v>0</v>
      </c>
      <c r="AH243" s="129">
        <v>0</v>
      </c>
      <c r="AI243" s="126">
        <v>0</v>
      </c>
      <c r="AJ243" s="131">
        <v>290</v>
      </c>
    </row>
    <row r="244" spans="1:36" x14ac:dyDescent="0.35">
      <c r="A244" s="127" t="s">
        <v>726</v>
      </c>
      <c r="B244" s="127" t="s">
        <v>1378</v>
      </c>
      <c r="C244" s="129">
        <v>215</v>
      </c>
      <c r="D244" s="129">
        <v>42</v>
      </c>
      <c r="E244" s="129">
        <v>10</v>
      </c>
      <c r="F244" s="129">
        <v>5</v>
      </c>
      <c r="G244" s="129">
        <v>272</v>
      </c>
      <c r="H244" s="129">
        <v>118</v>
      </c>
      <c r="I244" s="129">
        <v>5</v>
      </c>
      <c r="J244" s="129">
        <v>1</v>
      </c>
      <c r="K244" s="129">
        <v>1</v>
      </c>
      <c r="L244" s="129">
        <v>125</v>
      </c>
      <c r="M244" s="129">
        <v>41</v>
      </c>
      <c r="N244" s="129">
        <v>6</v>
      </c>
      <c r="O244" s="129">
        <v>2</v>
      </c>
      <c r="P244" s="129">
        <v>0</v>
      </c>
      <c r="Q244" s="129">
        <v>49</v>
      </c>
      <c r="R244" s="129">
        <v>15</v>
      </c>
      <c r="S244" s="129">
        <v>5</v>
      </c>
      <c r="T244" s="129">
        <v>1</v>
      </c>
      <c r="U244" s="129">
        <v>0</v>
      </c>
      <c r="V244" s="129">
        <v>21</v>
      </c>
      <c r="W244" s="129">
        <v>22</v>
      </c>
      <c r="X244" s="129">
        <v>6</v>
      </c>
      <c r="Y244" s="129">
        <v>4</v>
      </c>
      <c r="Z244" s="129">
        <v>0</v>
      </c>
      <c r="AA244" s="129">
        <v>32</v>
      </c>
      <c r="AB244" s="129">
        <v>18</v>
      </c>
      <c r="AC244" s="129">
        <v>1</v>
      </c>
      <c r="AD244" s="129">
        <v>0</v>
      </c>
      <c r="AE244" s="129">
        <v>0</v>
      </c>
      <c r="AF244" s="129">
        <v>19</v>
      </c>
      <c r="AG244" s="129">
        <v>0</v>
      </c>
      <c r="AH244" s="129">
        <v>0</v>
      </c>
      <c r="AI244" s="126">
        <v>0</v>
      </c>
      <c r="AJ244" s="131">
        <v>518</v>
      </c>
    </row>
    <row r="245" spans="1:36" x14ac:dyDescent="0.35">
      <c r="A245" s="127" t="s">
        <v>727</v>
      </c>
      <c r="B245" s="127" t="s">
        <v>728</v>
      </c>
      <c r="C245" s="129">
        <v>529</v>
      </c>
      <c r="D245" s="129">
        <v>61</v>
      </c>
      <c r="E245" s="129">
        <v>15</v>
      </c>
      <c r="F245" s="129">
        <v>4</v>
      </c>
      <c r="G245" s="129">
        <v>609</v>
      </c>
      <c r="H245" s="129">
        <v>41</v>
      </c>
      <c r="I245" s="129">
        <v>4</v>
      </c>
      <c r="J245" s="129">
        <v>0</v>
      </c>
      <c r="K245" s="129">
        <v>1</v>
      </c>
      <c r="L245" s="129">
        <v>46</v>
      </c>
      <c r="M245" s="129">
        <v>22</v>
      </c>
      <c r="N245" s="129">
        <v>5</v>
      </c>
      <c r="O245" s="129">
        <v>1</v>
      </c>
      <c r="P245" s="129">
        <v>0</v>
      </c>
      <c r="Q245" s="129">
        <v>28</v>
      </c>
      <c r="R245" s="129">
        <v>24</v>
      </c>
      <c r="S245" s="129">
        <v>4</v>
      </c>
      <c r="T245" s="129">
        <v>1</v>
      </c>
      <c r="U245" s="129">
        <v>0</v>
      </c>
      <c r="V245" s="129">
        <v>29</v>
      </c>
      <c r="W245" s="129">
        <v>54</v>
      </c>
      <c r="X245" s="129">
        <v>4</v>
      </c>
      <c r="Y245" s="129">
        <v>3</v>
      </c>
      <c r="Z245" s="129">
        <v>0</v>
      </c>
      <c r="AA245" s="129">
        <v>61</v>
      </c>
      <c r="AB245" s="129">
        <v>16</v>
      </c>
      <c r="AC245" s="129">
        <v>0</v>
      </c>
      <c r="AD245" s="129">
        <v>0</v>
      </c>
      <c r="AE245" s="129">
        <v>0</v>
      </c>
      <c r="AF245" s="129">
        <v>16</v>
      </c>
      <c r="AG245" s="129">
        <v>0</v>
      </c>
      <c r="AH245" s="129">
        <v>0</v>
      </c>
      <c r="AI245" s="126">
        <v>0</v>
      </c>
      <c r="AJ245" s="131">
        <v>789</v>
      </c>
    </row>
    <row r="246" spans="1:36" x14ac:dyDescent="0.35">
      <c r="A246" s="127" t="s">
        <v>729</v>
      </c>
      <c r="B246" s="127" t="s">
        <v>730</v>
      </c>
      <c r="C246" s="129">
        <v>111</v>
      </c>
      <c r="D246" s="129">
        <v>21</v>
      </c>
      <c r="E246" s="129">
        <v>4</v>
      </c>
      <c r="F246" s="129">
        <v>5</v>
      </c>
      <c r="G246" s="129">
        <v>141</v>
      </c>
      <c r="H246" s="129">
        <v>14</v>
      </c>
      <c r="I246" s="129">
        <v>0</v>
      </c>
      <c r="J246" s="129">
        <v>0</v>
      </c>
      <c r="K246" s="129">
        <v>0</v>
      </c>
      <c r="L246" s="129">
        <v>14</v>
      </c>
      <c r="M246" s="129">
        <v>4</v>
      </c>
      <c r="N246" s="129">
        <v>1</v>
      </c>
      <c r="O246" s="129">
        <v>0</v>
      </c>
      <c r="P246" s="129">
        <v>0</v>
      </c>
      <c r="Q246" s="129">
        <v>5</v>
      </c>
      <c r="R246" s="129">
        <v>4</v>
      </c>
      <c r="S246" s="129">
        <v>0</v>
      </c>
      <c r="T246" s="129">
        <v>0</v>
      </c>
      <c r="U246" s="129">
        <v>0</v>
      </c>
      <c r="V246" s="129">
        <v>4</v>
      </c>
      <c r="W246" s="129">
        <v>14</v>
      </c>
      <c r="X246" s="129">
        <v>2</v>
      </c>
      <c r="Y246" s="129">
        <v>0</v>
      </c>
      <c r="Z246" s="129">
        <v>0</v>
      </c>
      <c r="AA246" s="129">
        <v>16</v>
      </c>
      <c r="AB246" s="129">
        <v>7</v>
      </c>
      <c r="AC246" s="129">
        <v>1</v>
      </c>
      <c r="AD246" s="129">
        <v>0</v>
      </c>
      <c r="AE246" s="129">
        <v>0</v>
      </c>
      <c r="AF246" s="129">
        <v>8</v>
      </c>
      <c r="AG246" s="129">
        <v>0</v>
      </c>
      <c r="AH246" s="129">
        <v>0</v>
      </c>
      <c r="AI246" s="126">
        <v>0</v>
      </c>
      <c r="AJ246" s="131">
        <v>188</v>
      </c>
    </row>
    <row r="247" spans="1:36" x14ac:dyDescent="0.35">
      <c r="A247" s="127" t="s">
        <v>731</v>
      </c>
      <c r="B247" s="127" t="s">
        <v>732</v>
      </c>
      <c r="C247" s="129">
        <v>227</v>
      </c>
      <c r="D247" s="129">
        <v>49</v>
      </c>
      <c r="E247" s="129">
        <v>13</v>
      </c>
      <c r="F247" s="129">
        <v>3</v>
      </c>
      <c r="G247" s="129">
        <v>292</v>
      </c>
      <c r="H247" s="129">
        <v>1</v>
      </c>
      <c r="I247" s="129">
        <v>0</v>
      </c>
      <c r="J247" s="129">
        <v>0</v>
      </c>
      <c r="K247" s="129">
        <v>0</v>
      </c>
      <c r="L247" s="129">
        <v>1</v>
      </c>
      <c r="M247" s="129">
        <v>1</v>
      </c>
      <c r="N247" s="129">
        <v>0</v>
      </c>
      <c r="O247" s="129">
        <v>0</v>
      </c>
      <c r="P247" s="129">
        <v>0</v>
      </c>
      <c r="Q247" s="129">
        <v>1</v>
      </c>
      <c r="R247" s="129">
        <v>1</v>
      </c>
      <c r="S247" s="129">
        <v>0</v>
      </c>
      <c r="T247" s="129">
        <v>0</v>
      </c>
      <c r="U247" s="129">
        <v>0</v>
      </c>
      <c r="V247" s="129">
        <v>1</v>
      </c>
      <c r="W247" s="129">
        <v>7</v>
      </c>
      <c r="X247" s="129">
        <v>1</v>
      </c>
      <c r="Y247" s="129">
        <v>1</v>
      </c>
      <c r="Z247" s="129">
        <v>1</v>
      </c>
      <c r="AA247" s="129">
        <v>10</v>
      </c>
      <c r="AB247" s="129">
        <v>1</v>
      </c>
      <c r="AC247" s="129">
        <v>0</v>
      </c>
      <c r="AD247" s="129">
        <v>0</v>
      </c>
      <c r="AE247" s="129">
        <v>0</v>
      </c>
      <c r="AF247" s="129">
        <v>1</v>
      </c>
      <c r="AG247" s="129">
        <v>0</v>
      </c>
      <c r="AH247" s="129">
        <v>0</v>
      </c>
      <c r="AI247" s="126">
        <v>0</v>
      </c>
      <c r="AJ247" s="131">
        <v>306</v>
      </c>
    </row>
    <row r="248" spans="1:36" x14ac:dyDescent="0.35">
      <c r="A248" s="127" t="s">
        <v>733</v>
      </c>
      <c r="B248" s="127" t="s">
        <v>734</v>
      </c>
      <c r="C248" s="129">
        <v>373</v>
      </c>
      <c r="D248" s="129">
        <v>32</v>
      </c>
      <c r="E248" s="129">
        <v>2</v>
      </c>
      <c r="F248" s="129">
        <v>2</v>
      </c>
      <c r="G248" s="129">
        <v>409</v>
      </c>
      <c r="H248" s="129">
        <v>3</v>
      </c>
      <c r="I248" s="129">
        <v>0</v>
      </c>
      <c r="J248" s="129">
        <v>0</v>
      </c>
      <c r="K248" s="129">
        <v>0</v>
      </c>
      <c r="L248" s="129">
        <v>3</v>
      </c>
      <c r="M248" s="129">
        <v>4</v>
      </c>
      <c r="N248" s="129">
        <v>0</v>
      </c>
      <c r="O248" s="129">
        <v>0</v>
      </c>
      <c r="P248" s="129">
        <v>0</v>
      </c>
      <c r="Q248" s="129">
        <v>4</v>
      </c>
      <c r="R248" s="129">
        <v>0</v>
      </c>
      <c r="S248" s="129">
        <v>0</v>
      </c>
      <c r="T248" s="129">
        <v>0</v>
      </c>
      <c r="U248" s="129">
        <v>0</v>
      </c>
      <c r="V248" s="129">
        <v>0</v>
      </c>
      <c r="W248" s="129">
        <v>30</v>
      </c>
      <c r="X248" s="129">
        <v>0</v>
      </c>
      <c r="Y248" s="129">
        <v>0</v>
      </c>
      <c r="Z248" s="129">
        <v>0</v>
      </c>
      <c r="AA248" s="129">
        <v>30</v>
      </c>
      <c r="AB248" s="129">
        <v>2</v>
      </c>
      <c r="AC248" s="129">
        <v>1</v>
      </c>
      <c r="AD248" s="129">
        <v>0</v>
      </c>
      <c r="AE248" s="129">
        <v>0</v>
      </c>
      <c r="AF248" s="129">
        <v>3</v>
      </c>
      <c r="AG248" s="129">
        <v>0</v>
      </c>
      <c r="AH248" s="129">
        <v>0</v>
      </c>
      <c r="AI248" s="126">
        <v>0</v>
      </c>
      <c r="AJ248" s="131">
        <v>449</v>
      </c>
    </row>
    <row r="249" spans="1:36" x14ac:dyDescent="0.35">
      <c r="A249" s="127" t="s">
        <v>735</v>
      </c>
      <c r="B249" s="127" t="s">
        <v>736</v>
      </c>
      <c r="C249" s="129">
        <v>72</v>
      </c>
      <c r="D249" s="129">
        <v>17</v>
      </c>
      <c r="E249" s="129">
        <v>3</v>
      </c>
      <c r="F249" s="129">
        <v>2</v>
      </c>
      <c r="G249" s="129">
        <v>94</v>
      </c>
      <c r="H249" s="129">
        <v>0</v>
      </c>
      <c r="I249" s="129">
        <v>0</v>
      </c>
      <c r="J249" s="129">
        <v>0</v>
      </c>
      <c r="K249" s="129">
        <v>0</v>
      </c>
      <c r="L249" s="129">
        <v>0</v>
      </c>
      <c r="M249" s="129">
        <v>0</v>
      </c>
      <c r="N249" s="129">
        <v>0</v>
      </c>
      <c r="O249" s="129">
        <v>0</v>
      </c>
      <c r="P249" s="129">
        <v>0</v>
      </c>
      <c r="Q249" s="129">
        <v>0</v>
      </c>
      <c r="R249" s="129">
        <v>0</v>
      </c>
      <c r="S249" s="129">
        <v>0</v>
      </c>
      <c r="T249" s="129">
        <v>0</v>
      </c>
      <c r="U249" s="129">
        <v>0</v>
      </c>
      <c r="V249" s="129">
        <v>0</v>
      </c>
      <c r="W249" s="129">
        <v>3</v>
      </c>
      <c r="X249" s="129">
        <v>0</v>
      </c>
      <c r="Y249" s="129">
        <v>0</v>
      </c>
      <c r="Z249" s="129">
        <v>0</v>
      </c>
      <c r="AA249" s="129">
        <v>3</v>
      </c>
      <c r="AB249" s="129">
        <v>0</v>
      </c>
      <c r="AC249" s="129">
        <v>0</v>
      </c>
      <c r="AD249" s="129">
        <v>0</v>
      </c>
      <c r="AE249" s="129">
        <v>0</v>
      </c>
      <c r="AF249" s="129">
        <v>0</v>
      </c>
      <c r="AG249" s="129">
        <v>0</v>
      </c>
      <c r="AH249" s="129">
        <v>0</v>
      </c>
      <c r="AI249" s="126">
        <v>0</v>
      </c>
      <c r="AJ249" s="131">
        <v>97</v>
      </c>
    </row>
    <row r="250" spans="1:36" x14ac:dyDescent="0.35">
      <c r="A250" s="127" t="s">
        <v>737</v>
      </c>
      <c r="B250" s="127" t="s">
        <v>738</v>
      </c>
      <c r="C250" s="129">
        <v>74</v>
      </c>
      <c r="D250" s="129">
        <v>11</v>
      </c>
      <c r="E250" s="129">
        <v>1</v>
      </c>
      <c r="F250" s="129">
        <v>1</v>
      </c>
      <c r="G250" s="129">
        <v>87</v>
      </c>
      <c r="H250" s="129">
        <v>0</v>
      </c>
      <c r="I250" s="129">
        <v>0</v>
      </c>
      <c r="J250" s="129">
        <v>0</v>
      </c>
      <c r="K250" s="129">
        <v>0</v>
      </c>
      <c r="L250" s="129">
        <v>0</v>
      </c>
      <c r="M250" s="129">
        <v>2</v>
      </c>
      <c r="N250" s="129">
        <v>0</v>
      </c>
      <c r="O250" s="129">
        <v>0</v>
      </c>
      <c r="P250" s="129">
        <v>0</v>
      </c>
      <c r="Q250" s="129">
        <v>2</v>
      </c>
      <c r="R250" s="129">
        <v>2</v>
      </c>
      <c r="S250" s="129">
        <v>0</v>
      </c>
      <c r="T250" s="129">
        <v>0</v>
      </c>
      <c r="U250" s="129">
        <v>0</v>
      </c>
      <c r="V250" s="129">
        <v>2</v>
      </c>
      <c r="W250" s="129">
        <v>8</v>
      </c>
      <c r="X250" s="129">
        <v>2</v>
      </c>
      <c r="Y250" s="129">
        <v>0</v>
      </c>
      <c r="Z250" s="129">
        <v>1</v>
      </c>
      <c r="AA250" s="129">
        <v>11</v>
      </c>
      <c r="AB250" s="129">
        <v>0</v>
      </c>
      <c r="AC250" s="129">
        <v>0</v>
      </c>
      <c r="AD250" s="129">
        <v>0</v>
      </c>
      <c r="AE250" s="129">
        <v>0</v>
      </c>
      <c r="AF250" s="129">
        <v>0</v>
      </c>
      <c r="AG250" s="129">
        <v>0</v>
      </c>
      <c r="AH250" s="129">
        <v>0</v>
      </c>
      <c r="AI250" s="126">
        <v>0</v>
      </c>
      <c r="AJ250" s="131">
        <v>102</v>
      </c>
    </row>
    <row r="251" spans="1:36" x14ac:dyDescent="0.35">
      <c r="A251" s="127" t="s">
        <v>739</v>
      </c>
      <c r="B251" s="127" t="s">
        <v>740</v>
      </c>
      <c r="C251" s="129">
        <v>528</v>
      </c>
      <c r="D251" s="129">
        <v>116</v>
      </c>
      <c r="E251" s="129">
        <v>39</v>
      </c>
      <c r="F251" s="129">
        <v>9</v>
      </c>
      <c r="G251" s="129">
        <v>692</v>
      </c>
      <c r="H251" s="129">
        <v>6</v>
      </c>
      <c r="I251" s="129">
        <v>0</v>
      </c>
      <c r="J251" s="129">
        <v>0</v>
      </c>
      <c r="K251" s="129">
        <v>0</v>
      </c>
      <c r="L251" s="129">
        <v>6</v>
      </c>
      <c r="M251" s="129">
        <v>6</v>
      </c>
      <c r="N251" s="129">
        <v>0</v>
      </c>
      <c r="O251" s="129">
        <v>0</v>
      </c>
      <c r="P251" s="129">
        <v>0</v>
      </c>
      <c r="Q251" s="129">
        <v>6</v>
      </c>
      <c r="R251" s="129">
        <v>8</v>
      </c>
      <c r="S251" s="129">
        <v>1</v>
      </c>
      <c r="T251" s="129">
        <v>0</v>
      </c>
      <c r="U251" s="129">
        <v>0</v>
      </c>
      <c r="V251" s="129">
        <v>9</v>
      </c>
      <c r="W251" s="129">
        <v>35</v>
      </c>
      <c r="X251" s="129">
        <v>2</v>
      </c>
      <c r="Y251" s="129">
        <v>0</v>
      </c>
      <c r="Z251" s="129">
        <v>0</v>
      </c>
      <c r="AA251" s="129">
        <v>37</v>
      </c>
      <c r="AB251" s="129">
        <v>1</v>
      </c>
      <c r="AC251" s="129">
        <v>0</v>
      </c>
      <c r="AD251" s="129">
        <v>0</v>
      </c>
      <c r="AE251" s="129">
        <v>0</v>
      </c>
      <c r="AF251" s="129">
        <v>1</v>
      </c>
      <c r="AG251" s="129">
        <v>0</v>
      </c>
      <c r="AH251" s="129">
        <v>0</v>
      </c>
      <c r="AI251" s="126">
        <v>0</v>
      </c>
      <c r="AJ251" s="131">
        <v>751</v>
      </c>
    </row>
    <row r="252" spans="1:36" x14ac:dyDescent="0.35">
      <c r="A252" s="127" t="s">
        <v>741</v>
      </c>
      <c r="B252" s="127" t="s">
        <v>742</v>
      </c>
      <c r="C252" s="129">
        <v>181</v>
      </c>
      <c r="D252" s="129">
        <v>42</v>
      </c>
      <c r="E252" s="129">
        <v>5</v>
      </c>
      <c r="F252" s="129">
        <v>2</v>
      </c>
      <c r="G252" s="129">
        <v>230</v>
      </c>
      <c r="H252" s="129">
        <v>0</v>
      </c>
      <c r="I252" s="129">
        <v>0</v>
      </c>
      <c r="J252" s="129">
        <v>0</v>
      </c>
      <c r="K252" s="129">
        <v>0</v>
      </c>
      <c r="L252" s="129">
        <v>0</v>
      </c>
      <c r="M252" s="129">
        <v>0</v>
      </c>
      <c r="N252" s="129">
        <v>0</v>
      </c>
      <c r="O252" s="129">
        <v>0</v>
      </c>
      <c r="P252" s="129">
        <v>0</v>
      </c>
      <c r="Q252" s="129">
        <v>0</v>
      </c>
      <c r="R252" s="129">
        <v>3</v>
      </c>
      <c r="S252" s="129">
        <v>0</v>
      </c>
      <c r="T252" s="129">
        <v>0</v>
      </c>
      <c r="U252" s="129">
        <v>0</v>
      </c>
      <c r="V252" s="129">
        <v>3</v>
      </c>
      <c r="W252" s="129">
        <v>11</v>
      </c>
      <c r="X252" s="129">
        <v>1</v>
      </c>
      <c r="Y252" s="129">
        <v>0</v>
      </c>
      <c r="Z252" s="129">
        <v>0</v>
      </c>
      <c r="AA252" s="129">
        <v>12</v>
      </c>
      <c r="AB252" s="129">
        <v>0</v>
      </c>
      <c r="AC252" s="129">
        <v>0</v>
      </c>
      <c r="AD252" s="129">
        <v>0</v>
      </c>
      <c r="AE252" s="129">
        <v>0</v>
      </c>
      <c r="AF252" s="129">
        <v>0</v>
      </c>
      <c r="AG252" s="129">
        <v>0</v>
      </c>
      <c r="AH252" s="129">
        <v>0</v>
      </c>
      <c r="AI252" s="126">
        <v>0</v>
      </c>
      <c r="AJ252" s="131">
        <v>245</v>
      </c>
    </row>
    <row r="253" spans="1:36" x14ac:dyDescent="0.35">
      <c r="A253" s="127" t="s">
        <v>743</v>
      </c>
      <c r="B253" s="127" t="s">
        <v>744</v>
      </c>
      <c r="C253" s="129">
        <v>72</v>
      </c>
      <c r="D253" s="129">
        <v>21</v>
      </c>
      <c r="E253" s="129">
        <v>7</v>
      </c>
      <c r="F253" s="129">
        <v>1</v>
      </c>
      <c r="G253" s="129">
        <v>101</v>
      </c>
      <c r="H253" s="129">
        <v>1</v>
      </c>
      <c r="I253" s="129">
        <v>0</v>
      </c>
      <c r="J253" s="129">
        <v>0</v>
      </c>
      <c r="K253" s="129">
        <v>0</v>
      </c>
      <c r="L253" s="129">
        <v>1</v>
      </c>
      <c r="M253" s="129">
        <v>1</v>
      </c>
      <c r="N253" s="129">
        <v>0</v>
      </c>
      <c r="O253" s="129">
        <v>0</v>
      </c>
      <c r="P253" s="129">
        <v>0</v>
      </c>
      <c r="Q253" s="129">
        <v>1</v>
      </c>
      <c r="R253" s="129">
        <v>3</v>
      </c>
      <c r="S253" s="129">
        <v>1</v>
      </c>
      <c r="T253" s="129">
        <v>0</v>
      </c>
      <c r="U253" s="129">
        <v>0</v>
      </c>
      <c r="V253" s="129">
        <v>4</v>
      </c>
      <c r="W253" s="129">
        <v>3</v>
      </c>
      <c r="X253" s="129">
        <v>1</v>
      </c>
      <c r="Y253" s="129">
        <v>0</v>
      </c>
      <c r="Z253" s="129">
        <v>0</v>
      </c>
      <c r="AA253" s="129">
        <v>4</v>
      </c>
      <c r="AB253" s="129">
        <v>0</v>
      </c>
      <c r="AC253" s="129">
        <v>0</v>
      </c>
      <c r="AD253" s="129">
        <v>0</v>
      </c>
      <c r="AE253" s="129">
        <v>0</v>
      </c>
      <c r="AF253" s="129">
        <v>0</v>
      </c>
      <c r="AG253" s="129">
        <v>0</v>
      </c>
      <c r="AH253" s="129">
        <v>0</v>
      </c>
      <c r="AI253" s="126">
        <v>0</v>
      </c>
      <c r="AJ253" s="131">
        <v>111</v>
      </c>
    </row>
    <row r="254" spans="1:36" x14ac:dyDescent="0.35">
      <c r="A254" s="127" t="s">
        <v>745</v>
      </c>
      <c r="B254" s="127" t="s">
        <v>746</v>
      </c>
      <c r="C254" s="129">
        <v>177</v>
      </c>
      <c r="D254" s="129">
        <v>44</v>
      </c>
      <c r="E254" s="129">
        <v>10</v>
      </c>
      <c r="F254" s="129">
        <v>0</v>
      </c>
      <c r="G254" s="129">
        <v>231</v>
      </c>
      <c r="H254" s="129">
        <v>2</v>
      </c>
      <c r="I254" s="129">
        <v>0</v>
      </c>
      <c r="J254" s="129">
        <v>0</v>
      </c>
      <c r="K254" s="129">
        <v>0</v>
      </c>
      <c r="L254" s="129">
        <v>2</v>
      </c>
      <c r="M254" s="129">
        <v>1</v>
      </c>
      <c r="N254" s="129">
        <v>1</v>
      </c>
      <c r="O254" s="129">
        <v>1</v>
      </c>
      <c r="P254" s="129">
        <v>0</v>
      </c>
      <c r="Q254" s="129">
        <v>3</v>
      </c>
      <c r="R254" s="129">
        <v>4</v>
      </c>
      <c r="S254" s="129">
        <v>0</v>
      </c>
      <c r="T254" s="129">
        <v>0</v>
      </c>
      <c r="U254" s="129">
        <v>0</v>
      </c>
      <c r="V254" s="129">
        <v>4</v>
      </c>
      <c r="W254" s="129">
        <v>18</v>
      </c>
      <c r="X254" s="129">
        <v>1</v>
      </c>
      <c r="Y254" s="129">
        <v>1</v>
      </c>
      <c r="Z254" s="129">
        <v>0</v>
      </c>
      <c r="AA254" s="129">
        <v>20</v>
      </c>
      <c r="AB254" s="129">
        <v>0</v>
      </c>
      <c r="AC254" s="129">
        <v>0</v>
      </c>
      <c r="AD254" s="129">
        <v>0</v>
      </c>
      <c r="AE254" s="129">
        <v>0</v>
      </c>
      <c r="AF254" s="129">
        <v>0</v>
      </c>
      <c r="AG254" s="129">
        <v>0</v>
      </c>
      <c r="AH254" s="129">
        <v>0</v>
      </c>
      <c r="AI254" s="126">
        <v>0</v>
      </c>
      <c r="AJ254" s="131">
        <v>260</v>
      </c>
    </row>
    <row r="255" spans="1:36" x14ac:dyDescent="0.35">
      <c r="A255" s="127" t="s">
        <v>747</v>
      </c>
      <c r="B255" s="127" t="s">
        <v>748</v>
      </c>
      <c r="C255" s="129">
        <v>44</v>
      </c>
      <c r="D255" s="129">
        <v>14</v>
      </c>
      <c r="E255" s="129">
        <v>1</v>
      </c>
      <c r="F255" s="129">
        <v>0</v>
      </c>
      <c r="G255" s="129">
        <v>59</v>
      </c>
      <c r="H255" s="129">
        <v>3</v>
      </c>
      <c r="I255" s="129">
        <v>1</v>
      </c>
      <c r="J255" s="129">
        <v>0</v>
      </c>
      <c r="K255" s="129">
        <v>0</v>
      </c>
      <c r="L255" s="129">
        <v>4</v>
      </c>
      <c r="M255" s="129">
        <v>9</v>
      </c>
      <c r="N255" s="129">
        <v>2</v>
      </c>
      <c r="O255" s="129">
        <v>0</v>
      </c>
      <c r="P255" s="129">
        <v>0</v>
      </c>
      <c r="Q255" s="129">
        <v>11</v>
      </c>
      <c r="R255" s="129">
        <v>7</v>
      </c>
      <c r="S255" s="129">
        <v>1</v>
      </c>
      <c r="T255" s="129">
        <v>0</v>
      </c>
      <c r="U255" s="129">
        <v>0</v>
      </c>
      <c r="V255" s="129">
        <v>8</v>
      </c>
      <c r="W255" s="129">
        <v>3</v>
      </c>
      <c r="X255" s="129">
        <v>1</v>
      </c>
      <c r="Y255" s="129">
        <v>0</v>
      </c>
      <c r="Z255" s="129">
        <v>0</v>
      </c>
      <c r="AA255" s="129">
        <v>4</v>
      </c>
      <c r="AB255" s="129">
        <v>2</v>
      </c>
      <c r="AC255" s="129">
        <v>1</v>
      </c>
      <c r="AD255" s="129">
        <v>0</v>
      </c>
      <c r="AE255" s="129">
        <v>0</v>
      </c>
      <c r="AF255" s="129">
        <v>3</v>
      </c>
      <c r="AG255" s="129">
        <v>0</v>
      </c>
      <c r="AH255" s="129">
        <v>0</v>
      </c>
      <c r="AI255" s="126">
        <v>0</v>
      </c>
      <c r="AJ255" s="131">
        <v>89</v>
      </c>
    </row>
    <row r="256" spans="1:36" x14ac:dyDescent="0.35">
      <c r="A256" s="127" t="s">
        <v>749</v>
      </c>
      <c r="B256" s="127" t="s">
        <v>750</v>
      </c>
      <c r="C256" s="129">
        <v>316</v>
      </c>
      <c r="D256" s="129">
        <v>122</v>
      </c>
      <c r="E256" s="129">
        <v>29</v>
      </c>
      <c r="F256" s="129">
        <v>4</v>
      </c>
      <c r="G256" s="129">
        <v>471</v>
      </c>
      <c r="H256" s="129">
        <v>2</v>
      </c>
      <c r="I256" s="129">
        <v>0</v>
      </c>
      <c r="J256" s="129">
        <v>0</v>
      </c>
      <c r="K256" s="129">
        <v>0</v>
      </c>
      <c r="L256" s="129">
        <v>2</v>
      </c>
      <c r="M256" s="129">
        <v>0</v>
      </c>
      <c r="N256" s="129">
        <v>0</v>
      </c>
      <c r="O256" s="129">
        <v>0</v>
      </c>
      <c r="P256" s="129">
        <v>0</v>
      </c>
      <c r="Q256" s="129">
        <v>0</v>
      </c>
      <c r="R256" s="129">
        <v>10</v>
      </c>
      <c r="S256" s="129">
        <v>3</v>
      </c>
      <c r="T256" s="129">
        <v>0</v>
      </c>
      <c r="U256" s="129">
        <v>0</v>
      </c>
      <c r="V256" s="129">
        <v>13</v>
      </c>
      <c r="W256" s="129">
        <v>21</v>
      </c>
      <c r="X256" s="129">
        <v>6</v>
      </c>
      <c r="Y256" s="129">
        <v>2</v>
      </c>
      <c r="Z256" s="129">
        <v>1</v>
      </c>
      <c r="AA256" s="129">
        <v>30</v>
      </c>
      <c r="AB256" s="129">
        <v>2</v>
      </c>
      <c r="AC256" s="129">
        <v>0</v>
      </c>
      <c r="AD256" s="129">
        <v>0</v>
      </c>
      <c r="AE256" s="129">
        <v>0</v>
      </c>
      <c r="AF256" s="129">
        <v>2</v>
      </c>
      <c r="AG256" s="129">
        <v>0</v>
      </c>
      <c r="AH256" s="129">
        <v>0</v>
      </c>
      <c r="AI256" s="126">
        <v>0</v>
      </c>
      <c r="AJ256" s="131">
        <v>518</v>
      </c>
    </row>
    <row r="257" spans="1:36" x14ac:dyDescent="0.35">
      <c r="A257" s="127" t="s">
        <v>751</v>
      </c>
      <c r="B257" s="127" t="s">
        <v>752</v>
      </c>
      <c r="C257" s="129">
        <v>43</v>
      </c>
      <c r="D257" s="129">
        <v>13</v>
      </c>
      <c r="E257" s="129">
        <v>5</v>
      </c>
      <c r="F257" s="129">
        <v>1</v>
      </c>
      <c r="G257" s="129">
        <v>62</v>
      </c>
      <c r="H257" s="129">
        <v>69</v>
      </c>
      <c r="I257" s="129">
        <v>7</v>
      </c>
      <c r="J257" s="129">
        <v>0</v>
      </c>
      <c r="K257" s="129">
        <v>0</v>
      </c>
      <c r="L257" s="129">
        <v>76</v>
      </c>
      <c r="M257" s="129">
        <v>4</v>
      </c>
      <c r="N257" s="129">
        <v>1</v>
      </c>
      <c r="O257" s="129">
        <v>2</v>
      </c>
      <c r="P257" s="129">
        <v>0</v>
      </c>
      <c r="Q257" s="129">
        <v>7</v>
      </c>
      <c r="R257" s="129">
        <v>8</v>
      </c>
      <c r="S257" s="129">
        <v>0</v>
      </c>
      <c r="T257" s="129">
        <v>0</v>
      </c>
      <c r="U257" s="129">
        <v>0</v>
      </c>
      <c r="V257" s="129">
        <v>8</v>
      </c>
      <c r="W257" s="129">
        <v>10</v>
      </c>
      <c r="X257" s="129">
        <v>4</v>
      </c>
      <c r="Y257" s="129">
        <v>1</v>
      </c>
      <c r="Z257" s="129">
        <v>1</v>
      </c>
      <c r="AA257" s="129">
        <v>16</v>
      </c>
      <c r="AB257" s="129">
        <v>3</v>
      </c>
      <c r="AC257" s="129">
        <v>0</v>
      </c>
      <c r="AD257" s="129">
        <v>0</v>
      </c>
      <c r="AE257" s="129">
        <v>0</v>
      </c>
      <c r="AF257" s="129">
        <v>3</v>
      </c>
      <c r="AG257" s="129">
        <v>0</v>
      </c>
      <c r="AH257" s="129">
        <v>0</v>
      </c>
      <c r="AI257" s="126">
        <v>0</v>
      </c>
      <c r="AJ257" s="131">
        <v>172</v>
      </c>
    </row>
    <row r="258" spans="1:36" x14ac:dyDescent="0.35">
      <c r="A258" s="127" t="s">
        <v>753</v>
      </c>
      <c r="B258" s="127" t="s">
        <v>754</v>
      </c>
      <c r="C258" s="129">
        <v>132</v>
      </c>
      <c r="D258" s="129">
        <v>76</v>
      </c>
      <c r="E258" s="129">
        <v>13</v>
      </c>
      <c r="F258" s="129">
        <v>0</v>
      </c>
      <c r="G258" s="129">
        <v>221</v>
      </c>
      <c r="H258" s="129">
        <v>5</v>
      </c>
      <c r="I258" s="129">
        <v>0</v>
      </c>
      <c r="J258" s="129">
        <v>0</v>
      </c>
      <c r="K258" s="129">
        <v>0</v>
      </c>
      <c r="L258" s="129">
        <v>5</v>
      </c>
      <c r="M258" s="129">
        <v>2</v>
      </c>
      <c r="N258" s="129">
        <v>1</v>
      </c>
      <c r="O258" s="129">
        <v>0</v>
      </c>
      <c r="P258" s="129">
        <v>0</v>
      </c>
      <c r="Q258" s="129">
        <v>3</v>
      </c>
      <c r="R258" s="129">
        <v>88</v>
      </c>
      <c r="S258" s="129">
        <v>30</v>
      </c>
      <c r="T258" s="129">
        <v>0</v>
      </c>
      <c r="U258" s="129">
        <v>0</v>
      </c>
      <c r="V258" s="129">
        <v>118</v>
      </c>
      <c r="W258" s="129">
        <v>13</v>
      </c>
      <c r="X258" s="129">
        <v>3</v>
      </c>
      <c r="Y258" s="129">
        <v>0</v>
      </c>
      <c r="Z258" s="129">
        <v>0</v>
      </c>
      <c r="AA258" s="129">
        <v>16</v>
      </c>
      <c r="AB258" s="129">
        <v>9</v>
      </c>
      <c r="AC258" s="129">
        <v>0</v>
      </c>
      <c r="AD258" s="129">
        <v>0</v>
      </c>
      <c r="AE258" s="129">
        <v>0</v>
      </c>
      <c r="AF258" s="129">
        <v>9</v>
      </c>
      <c r="AG258" s="129">
        <v>0</v>
      </c>
      <c r="AH258" s="129">
        <v>0</v>
      </c>
      <c r="AI258" s="126">
        <v>0</v>
      </c>
      <c r="AJ258" s="131">
        <v>372</v>
      </c>
    </row>
    <row r="259" spans="1:36" x14ac:dyDescent="0.35">
      <c r="A259" s="127" t="s">
        <v>755</v>
      </c>
      <c r="B259" s="127" t="s">
        <v>756</v>
      </c>
      <c r="C259" s="129">
        <v>467</v>
      </c>
      <c r="D259" s="129">
        <v>139</v>
      </c>
      <c r="E259" s="129">
        <v>31</v>
      </c>
      <c r="F259" s="129">
        <v>4</v>
      </c>
      <c r="G259" s="129">
        <v>641</v>
      </c>
      <c r="H259" s="129">
        <v>22</v>
      </c>
      <c r="I259" s="129">
        <v>7</v>
      </c>
      <c r="J259" s="129">
        <v>1</v>
      </c>
      <c r="K259" s="129">
        <v>0</v>
      </c>
      <c r="L259" s="129">
        <v>30</v>
      </c>
      <c r="M259" s="129">
        <v>11</v>
      </c>
      <c r="N259" s="129">
        <v>6</v>
      </c>
      <c r="O259" s="129">
        <v>1</v>
      </c>
      <c r="P259" s="129">
        <v>0</v>
      </c>
      <c r="Q259" s="129">
        <v>18</v>
      </c>
      <c r="R259" s="129">
        <v>23</v>
      </c>
      <c r="S259" s="129">
        <v>3</v>
      </c>
      <c r="T259" s="129">
        <v>1</v>
      </c>
      <c r="U259" s="129">
        <v>0</v>
      </c>
      <c r="V259" s="129">
        <v>27</v>
      </c>
      <c r="W259" s="129">
        <v>58</v>
      </c>
      <c r="X259" s="129">
        <v>8</v>
      </c>
      <c r="Y259" s="129">
        <v>3</v>
      </c>
      <c r="Z259" s="129">
        <v>1</v>
      </c>
      <c r="AA259" s="129">
        <v>70</v>
      </c>
      <c r="AB259" s="129">
        <v>22</v>
      </c>
      <c r="AC259" s="129">
        <v>4</v>
      </c>
      <c r="AD259" s="129">
        <v>0</v>
      </c>
      <c r="AE259" s="129">
        <v>0</v>
      </c>
      <c r="AF259" s="129">
        <v>26</v>
      </c>
      <c r="AG259" s="129">
        <v>0</v>
      </c>
      <c r="AH259" s="129">
        <v>0</v>
      </c>
      <c r="AI259" s="126">
        <v>0</v>
      </c>
      <c r="AJ259" s="131">
        <v>812</v>
      </c>
    </row>
    <row r="260" spans="1:36" x14ac:dyDescent="0.35">
      <c r="A260" s="127" t="s">
        <v>757</v>
      </c>
      <c r="B260" s="127" t="s">
        <v>758</v>
      </c>
      <c r="C260" s="129">
        <v>111</v>
      </c>
      <c r="D260" s="129">
        <v>31</v>
      </c>
      <c r="E260" s="129">
        <v>10</v>
      </c>
      <c r="F260" s="129">
        <v>4</v>
      </c>
      <c r="G260" s="129">
        <v>156</v>
      </c>
      <c r="H260" s="129">
        <v>14</v>
      </c>
      <c r="I260" s="129">
        <v>2</v>
      </c>
      <c r="J260" s="129">
        <v>0</v>
      </c>
      <c r="K260" s="129">
        <v>0</v>
      </c>
      <c r="L260" s="129">
        <v>16</v>
      </c>
      <c r="M260" s="129">
        <v>7</v>
      </c>
      <c r="N260" s="129">
        <v>2</v>
      </c>
      <c r="O260" s="129">
        <v>1</v>
      </c>
      <c r="P260" s="129">
        <v>1</v>
      </c>
      <c r="Q260" s="129">
        <v>11</v>
      </c>
      <c r="R260" s="129">
        <v>3</v>
      </c>
      <c r="S260" s="129">
        <v>0</v>
      </c>
      <c r="T260" s="129">
        <v>2</v>
      </c>
      <c r="U260" s="129">
        <v>0</v>
      </c>
      <c r="V260" s="129">
        <v>5</v>
      </c>
      <c r="W260" s="129">
        <v>13</v>
      </c>
      <c r="X260" s="129">
        <v>4</v>
      </c>
      <c r="Y260" s="129">
        <v>0</v>
      </c>
      <c r="Z260" s="129">
        <v>0</v>
      </c>
      <c r="AA260" s="129">
        <v>17</v>
      </c>
      <c r="AB260" s="129">
        <v>11</v>
      </c>
      <c r="AC260" s="129">
        <v>0</v>
      </c>
      <c r="AD260" s="129">
        <v>0</v>
      </c>
      <c r="AE260" s="129">
        <v>0</v>
      </c>
      <c r="AF260" s="129">
        <v>11</v>
      </c>
      <c r="AG260" s="129">
        <v>0</v>
      </c>
      <c r="AH260" s="129">
        <v>0</v>
      </c>
      <c r="AI260" s="126">
        <v>0</v>
      </c>
      <c r="AJ260" s="131">
        <v>216</v>
      </c>
    </row>
    <row r="261" spans="1:36" x14ac:dyDescent="0.35">
      <c r="A261" s="127" t="s">
        <v>759</v>
      </c>
      <c r="B261" s="127" t="s">
        <v>760</v>
      </c>
      <c r="C261" s="129">
        <v>134</v>
      </c>
      <c r="D261" s="129">
        <v>13</v>
      </c>
      <c r="E261" s="129">
        <v>3</v>
      </c>
      <c r="F261" s="129">
        <v>1</v>
      </c>
      <c r="G261" s="129">
        <v>151</v>
      </c>
      <c r="H261" s="129">
        <v>5</v>
      </c>
      <c r="I261" s="129">
        <v>0</v>
      </c>
      <c r="J261" s="129">
        <v>0</v>
      </c>
      <c r="K261" s="129">
        <v>0</v>
      </c>
      <c r="L261" s="129">
        <v>5</v>
      </c>
      <c r="M261" s="129">
        <v>2</v>
      </c>
      <c r="N261" s="129">
        <v>0</v>
      </c>
      <c r="O261" s="129">
        <v>0</v>
      </c>
      <c r="P261" s="129">
        <v>0</v>
      </c>
      <c r="Q261" s="129">
        <v>2</v>
      </c>
      <c r="R261" s="129">
        <v>4</v>
      </c>
      <c r="S261" s="129">
        <v>1</v>
      </c>
      <c r="T261" s="129">
        <v>1</v>
      </c>
      <c r="U261" s="129">
        <v>0</v>
      </c>
      <c r="V261" s="129">
        <v>6</v>
      </c>
      <c r="W261" s="129">
        <v>25</v>
      </c>
      <c r="X261" s="129">
        <v>3</v>
      </c>
      <c r="Y261" s="129">
        <v>0</v>
      </c>
      <c r="Z261" s="129">
        <v>0</v>
      </c>
      <c r="AA261" s="129">
        <v>28</v>
      </c>
      <c r="AB261" s="129">
        <v>3</v>
      </c>
      <c r="AC261" s="129">
        <v>0</v>
      </c>
      <c r="AD261" s="129">
        <v>0</v>
      </c>
      <c r="AE261" s="129">
        <v>0</v>
      </c>
      <c r="AF261" s="129">
        <v>3</v>
      </c>
      <c r="AG261" s="129">
        <v>0</v>
      </c>
      <c r="AH261" s="129">
        <v>0</v>
      </c>
      <c r="AI261" s="126">
        <v>0</v>
      </c>
      <c r="AJ261" s="131">
        <v>195</v>
      </c>
    </row>
    <row r="262" spans="1:36" x14ac:dyDescent="0.35">
      <c r="A262" s="127" t="s">
        <v>761</v>
      </c>
      <c r="B262" s="127" t="s">
        <v>762</v>
      </c>
      <c r="C262" s="129">
        <v>315</v>
      </c>
      <c r="D262" s="129">
        <v>61</v>
      </c>
      <c r="E262" s="129">
        <v>11</v>
      </c>
      <c r="F262" s="129">
        <v>3</v>
      </c>
      <c r="G262" s="129">
        <v>390</v>
      </c>
      <c r="H262" s="129">
        <v>2</v>
      </c>
      <c r="I262" s="129">
        <v>0</v>
      </c>
      <c r="J262" s="129">
        <v>0</v>
      </c>
      <c r="K262" s="129">
        <v>0</v>
      </c>
      <c r="L262" s="129">
        <v>2</v>
      </c>
      <c r="M262" s="129">
        <v>4</v>
      </c>
      <c r="N262" s="129">
        <v>0</v>
      </c>
      <c r="O262" s="129">
        <v>0</v>
      </c>
      <c r="P262" s="129">
        <v>0</v>
      </c>
      <c r="Q262" s="129">
        <v>4</v>
      </c>
      <c r="R262" s="129">
        <v>4</v>
      </c>
      <c r="S262" s="129">
        <v>1</v>
      </c>
      <c r="T262" s="129">
        <v>0</v>
      </c>
      <c r="U262" s="129">
        <v>0</v>
      </c>
      <c r="V262" s="129">
        <v>5</v>
      </c>
      <c r="W262" s="129">
        <v>23</v>
      </c>
      <c r="X262" s="129">
        <v>5</v>
      </c>
      <c r="Y262" s="129">
        <v>2</v>
      </c>
      <c r="Z262" s="129">
        <v>0</v>
      </c>
      <c r="AA262" s="129">
        <v>30</v>
      </c>
      <c r="AB262" s="129">
        <v>0</v>
      </c>
      <c r="AC262" s="129">
        <v>0</v>
      </c>
      <c r="AD262" s="129">
        <v>1</v>
      </c>
      <c r="AE262" s="129">
        <v>0</v>
      </c>
      <c r="AF262" s="129">
        <v>1</v>
      </c>
      <c r="AG262" s="129">
        <v>0</v>
      </c>
      <c r="AH262" s="129">
        <v>0</v>
      </c>
      <c r="AI262" s="126">
        <v>0</v>
      </c>
      <c r="AJ262" s="131">
        <v>432</v>
      </c>
    </row>
    <row r="263" spans="1:36" x14ac:dyDescent="0.35">
      <c r="A263" s="127" t="s">
        <v>763</v>
      </c>
      <c r="B263" s="127" t="s">
        <v>764</v>
      </c>
      <c r="C263" s="129">
        <v>618</v>
      </c>
      <c r="D263" s="129">
        <v>169</v>
      </c>
      <c r="E263" s="129">
        <v>46</v>
      </c>
      <c r="F263" s="129">
        <v>8</v>
      </c>
      <c r="G263" s="129">
        <v>841</v>
      </c>
      <c r="H263" s="129">
        <v>5</v>
      </c>
      <c r="I263" s="129">
        <v>0</v>
      </c>
      <c r="J263" s="129">
        <v>0</v>
      </c>
      <c r="K263" s="129">
        <v>0</v>
      </c>
      <c r="L263" s="129">
        <v>5</v>
      </c>
      <c r="M263" s="129">
        <v>7</v>
      </c>
      <c r="N263" s="129">
        <v>1</v>
      </c>
      <c r="O263" s="129">
        <v>0</v>
      </c>
      <c r="P263" s="129">
        <v>0</v>
      </c>
      <c r="Q263" s="129">
        <v>8</v>
      </c>
      <c r="R263" s="129">
        <v>8</v>
      </c>
      <c r="S263" s="129">
        <v>1</v>
      </c>
      <c r="T263" s="129">
        <v>1</v>
      </c>
      <c r="U263" s="129">
        <v>0</v>
      </c>
      <c r="V263" s="129">
        <v>10</v>
      </c>
      <c r="W263" s="129">
        <v>50</v>
      </c>
      <c r="X263" s="129">
        <v>8</v>
      </c>
      <c r="Y263" s="129">
        <v>2</v>
      </c>
      <c r="Z263" s="129">
        <v>0</v>
      </c>
      <c r="AA263" s="129">
        <v>60</v>
      </c>
      <c r="AB263" s="129">
        <v>4</v>
      </c>
      <c r="AC263" s="129">
        <v>0</v>
      </c>
      <c r="AD263" s="129">
        <v>0</v>
      </c>
      <c r="AE263" s="129">
        <v>0</v>
      </c>
      <c r="AF263" s="129">
        <v>4</v>
      </c>
      <c r="AG263" s="129">
        <v>0</v>
      </c>
      <c r="AH263" s="129">
        <v>0</v>
      </c>
      <c r="AI263" s="126">
        <v>0</v>
      </c>
      <c r="AJ263" s="131">
        <v>928</v>
      </c>
    </row>
    <row r="264" spans="1:36" x14ac:dyDescent="0.35">
      <c r="A264" s="127" t="s">
        <v>765</v>
      </c>
      <c r="B264" s="127" t="s">
        <v>1229</v>
      </c>
      <c r="C264" s="129">
        <v>4870</v>
      </c>
      <c r="D264" s="129">
        <v>49</v>
      </c>
      <c r="E264" s="129">
        <v>5</v>
      </c>
      <c r="F264" s="129">
        <v>1</v>
      </c>
      <c r="G264" s="129">
        <v>4925</v>
      </c>
      <c r="H264" s="129">
        <v>1098</v>
      </c>
      <c r="I264" s="129">
        <v>11</v>
      </c>
      <c r="J264" s="129">
        <v>2</v>
      </c>
      <c r="K264" s="129">
        <v>0</v>
      </c>
      <c r="L264" s="129">
        <v>1111</v>
      </c>
      <c r="M264" s="129">
        <v>648</v>
      </c>
      <c r="N264" s="129">
        <v>4</v>
      </c>
      <c r="O264" s="129">
        <v>1</v>
      </c>
      <c r="P264" s="129">
        <v>0</v>
      </c>
      <c r="Q264" s="129">
        <v>653</v>
      </c>
      <c r="R264" s="129">
        <v>275</v>
      </c>
      <c r="S264" s="129">
        <v>2</v>
      </c>
      <c r="T264" s="129">
        <v>0</v>
      </c>
      <c r="U264" s="129">
        <v>0</v>
      </c>
      <c r="V264" s="129">
        <v>277</v>
      </c>
      <c r="W264" s="129">
        <v>1482</v>
      </c>
      <c r="X264" s="129">
        <v>11</v>
      </c>
      <c r="Y264" s="129">
        <v>2</v>
      </c>
      <c r="Z264" s="129">
        <v>1</v>
      </c>
      <c r="AA264" s="129">
        <v>1496</v>
      </c>
      <c r="AB264" s="129">
        <v>516</v>
      </c>
      <c r="AC264" s="129">
        <v>3</v>
      </c>
      <c r="AD264" s="129">
        <v>0</v>
      </c>
      <c r="AE264" s="129">
        <v>0</v>
      </c>
      <c r="AF264" s="129">
        <v>519</v>
      </c>
      <c r="AG264" s="129">
        <v>0</v>
      </c>
      <c r="AH264" s="129">
        <v>0</v>
      </c>
      <c r="AI264" s="126">
        <v>0</v>
      </c>
      <c r="AJ264" s="131">
        <v>8981</v>
      </c>
    </row>
    <row r="265" spans="1:36" x14ac:dyDescent="0.35">
      <c r="A265" s="127" t="s">
        <v>766</v>
      </c>
      <c r="B265" s="127" t="s">
        <v>1230</v>
      </c>
      <c r="C265" s="129">
        <v>2238</v>
      </c>
      <c r="D265" s="129">
        <v>78</v>
      </c>
      <c r="E265" s="129">
        <v>9</v>
      </c>
      <c r="F265" s="129">
        <v>1</v>
      </c>
      <c r="G265" s="129">
        <v>2326</v>
      </c>
      <c r="H265" s="129">
        <v>359</v>
      </c>
      <c r="I265" s="129">
        <v>3</v>
      </c>
      <c r="J265" s="129">
        <v>0</v>
      </c>
      <c r="K265" s="129">
        <v>0</v>
      </c>
      <c r="L265" s="129">
        <v>362</v>
      </c>
      <c r="M265" s="129">
        <v>304</v>
      </c>
      <c r="N265" s="129">
        <v>0</v>
      </c>
      <c r="O265" s="129">
        <v>0</v>
      </c>
      <c r="P265" s="129">
        <v>0</v>
      </c>
      <c r="Q265" s="129">
        <v>304</v>
      </c>
      <c r="R265" s="129">
        <v>104</v>
      </c>
      <c r="S265" s="129">
        <v>0</v>
      </c>
      <c r="T265" s="129">
        <v>0</v>
      </c>
      <c r="U265" s="129">
        <v>0</v>
      </c>
      <c r="V265" s="129">
        <v>104</v>
      </c>
      <c r="W265" s="129">
        <v>513</v>
      </c>
      <c r="X265" s="129">
        <v>1</v>
      </c>
      <c r="Y265" s="129">
        <v>0</v>
      </c>
      <c r="Z265" s="129">
        <v>0</v>
      </c>
      <c r="AA265" s="129">
        <v>514</v>
      </c>
      <c r="AB265" s="129">
        <v>240</v>
      </c>
      <c r="AC265" s="129">
        <v>0</v>
      </c>
      <c r="AD265" s="129">
        <v>0</v>
      </c>
      <c r="AE265" s="129">
        <v>0</v>
      </c>
      <c r="AF265" s="129">
        <v>240</v>
      </c>
      <c r="AG265" s="129">
        <v>0</v>
      </c>
      <c r="AH265" s="129">
        <v>0</v>
      </c>
      <c r="AI265" s="126">
        <v>0</v>
      </c>
      <c r="AJ265" s="131">
        <v>3850</v>
      </c>
    </row>
    <row r="266" spans="1:36" x14ac:dyDescent="0.35">
      <c r="A266" s="127" t="s">
        <v>767</v>
      </c>
      <c r="B266" s="127" t="s">
        <v>768</v>
      </c>
      <c r="C266" s="129">
        <v>534</v>
      </c>
      <c r="D266" s="129">
        <v>13</v>
      </c>
      <c r="E266" s="129">
        <v>0</v>
      </c>
      <c r="F266" s="129">
        <v>0</v>
      </c>
      <c r="G266" s="129">
        <v>547</v>
      </c>
      <c r="H266" s="129">
        <v>130</v>
      </c>
      <c r="I266" s="129">
        <v>1</v>
      </c>
      <c r="J266" s="129">
        <v>1</v>
      </c>
      <c r="K266" s="129">
        <v>0</v>
      </c>
      <c r="L266" s="129">
        <v>132</v>
      </c>
      <c r="M266" s="129">
        <v>81</v>
      </c>
      <c r="N266" s="129">
        <v>3</v>
      </c>
      <c r="O266" s="129">
        <v>1</v>
      </c>
      <c r="P266" s="129">
        <v>0</v>
      </c>
      <c r="Q266" s="129">
        <v>85</v>
      </c>
      <c r="R266" s="129">
        <v>27</v>
      </c>
      <c r="S266" s="129">
        <v>0</v>
      </c>
      <c r="T266" s="129">
        <v>0</v>
      </c>
      <c r="U266" s="129">
        <v>0</v>
      </c>
      <c r="V266" s="129">
        <v>27</v>
      </c>
      <c r="W266" s="129">
        <v>174</v>
      </c>
      <c r="X266" s="129">
        <v>4</v>
      </c>
      <c r="Y266" s="129">
        <v>0</v>
      </c>
      <c r="Z266" s="129">
        <v>0</v>
      </c>
      <c r="AA266" s="129">
        <v>178</v>
      </c>
      <c r="AB266" s="129">
        <v>71</v>
      </c>
      <c r="AC266" s="129">
        <v>0</v>
      </c>
      <c r="AD266" s="129">
        <v>0</v>
      </c>
      <c r="AE266" s="129">
        <v>0</v>
      </c>
      <c r="AF266" s="129">
        <v>71</v>
      </c>
      <c r="AG266" s="129">
        <v>0</v>
      </c>
      <c r="AH266" s="129">
        <v>0</v>
      </c>
      <c r="AI266" s="126">
        <v>0</v>
      </c>
      <c r="AJ266" s="131">
        <v>1040</v>
      </c>
    </row>
    <row r="267" spans="1:36" x14ac:dyDescent="0.35">
      <c r="A267" s="127" t="s">
        <v>769</v>
      </c>
      <c r="B267" s="127" t="s">
        <v>770</v>
      </c>
      <c r="C267" s="129">
        <v>232</v>
      </c>
      <c r="D267" s="129">
        <v>16</v>
      </c>
      <c r="E267" s="129">
        <v>1</v>
      </c>
      <c r="F267" s="129">
        <v>1</v>
      </c>
      <c r="G267" s="129">
        <v>250</v>
      </c>
      <c r="H267" s="129">
        <v>13</v>
      </c>
      <c r="I267" s="129">
        <v>0</v>
      </c>
      <c r="J267" s="129">
        <v>0</v>
      </c>
      <c r="K267" s="129">
        <v>0</v>
      </c>
      <c r="L267" s="129">
        <v>13</v>
      </c>
      <c r="M267" s="129">
        <v>16</v>
      </c>
      <c r="N267" s="129">
        <v>1</v>
      </c>
      <c r="O267" s="129">
        <v>0</v>
      </c>
      <c r="P267" s="129">
        <v>0</v>
      </c>
      <c r="Q267" s="129">
        <v>17</v>
      </c>
      <c r="R267" s="129">
        <v>9</v>
      </c>
      <c r="S267" s="129">
        <v>0</v>
      </c>
      <c r="T267" s="129">
        <v>0</v>
      </c>
      <c r="U267" s="129">
        <v>0</v>
      </c>
      <c r="V267" s="129">
        <v>9</v>
      </c>
      <c r="W267" s="129">
        <v>49</v>
      </c>
      <c r="X267" s="129">
        <v>4</v>
      </c>
      <c r="Y267" s="129">
        <v>0</v>
      </c>
      <c r="Z267" s="129">
        <v>0</v>
      </c>
      <c r="AA267" s="129">
        <v>53</v>
      </c>
      <c r="AB267" s="129">
        <v>6</v>
      </c>
      <c r="AC267" s="129">
        <v>1</v>
      </c>
      <c r="AD267" s="129">
        <v>0</v>
      </c>
      <c r="AE267" s="129">
        <v>0</v>
      </c>
      <c r="AF267" s="129">
        <v>7</v>
      </c>
      <c r="AG267" s="129">
        <v>0</v>
      </c>
      <c r="AH267" s="129">
        <v>0</v>
      </c>
      <c r="AI267" s="126">
        <v>0</v>
      </c>
      <c r="AJ267" s="131">
        <v>349</v>
      </c>
    </row>
    <row r="268" spans="1:36" x14ac:dyDescent="0.35">
      <c r="A268" s="127" t="s">
        <v>771</v>
      </c>
      <c r="B268" s="127" t="s">
        <v>772</v>
      </c>
      <c r="C268" s="129">
        <v>740</v>
      </c>
      <c r="D268" s="129">
        <v>36</v>
      </c>
      <c r="E268" s="129">
        <v>3</v>
      </c>
      <c r="F268" s="129">
        <v>1</v>
      </c>
      <c r="G268" s="129">
        <v>780</v>
      </c>
      <c r="H268" s="129">
        <v>201</v>
      </c>
      <c r="I268" s="129">
        <v>1</v>
      </c>
      <c r="J268" s="129">
        <v>0</v>
      </c>
      <c r="K268" s="129">
        <v>0</v>
      </c>
      <c r="L268" s="129">
        <v>202</v>
      </c>
      <c r="M268" s="129">
        <v>82</v>
      </c>
      <c r="N268" s="129">
        <v>1</v>
      </c>
      <c r="O268" s="129">
        <v>0</v>
      </c>
      <c r="P268" s="129">
        <v>0</v>
      </c>
      <c r="Q268" s="129">
        <v>83</v>
      </c>
      <c r="R268" s="129">
        <v>78</v>
      </c>
      <c r="S268" s="129">
        <v>1</v>
      </c>
      <c r="T268" s="129">
        <v>0</v>
      </c>
      <c r="U268" s="129">
        <v>0</v>
      </c>
      <c r="V268" s="129">
        <v>79</v>
      </c>
      <c r="W268" s="129">
        <v>188</v>
      </c>
      <c r="X268" s="129">
        <v>2</v>
      </c>
      <c r="Y268" s="129">
        <v>0</v>
      </c>
      <c r="Z268" s="129">
        <v>0</v>
      </c>
      <c r="AA268" s="129">
        <v>190</v>
      </c>
      <c r="AB268" s="129">
        <v>103</v>
      </c>
      <c r="AC268" s="129">
        <v>0</v>
      </c>
      <c r="AD268" s="129">
        <v>0</v>
      </c>
      <c r="AE268" s="129">
        <v>0</v>
      </c>
      <c r="AF268" s="129">
        <v>103</v>
      </c>
      <c r="AG268" s="129">
        <v>0</v>
      </c>
      <c r="AH268" s="129">
        <v>0</v>
      </c>
      <c r="AI268" s="126">
        <v>0</v>
      </c>
      <c r="AJ268" s="131">
        <v>1437</v>
      </c>
    </row>
    <row r="269" spans="1:36" x14ac:dyDescent="0.35">
      <c r="A269" s="127" t="s">
        <v>773</v>
      </c>
      <c r="B269" s="127" t="s">
        <v>774</v>
      </c>
      <c r="C269" s="129">
        <v>785</v>
      </c>
      <c r="D269" s="129">
        <v>6</v>
      </c>
      <c r="E269" s="129">
        <v>0</v>
      </c>
      <c r="F269" s="129">
        <v>0</v>
      </c>
      <c r="G269" s="129">
        <v>791</v>
      </c>
      <c r="H269" s="129">
        <v>115</v>
      </c>
      <c r="I269" s="129">
        <v>0</v>
      </c>
      <c r="J269" s="129">
        <v>0</v>
      </c>
      <c r="K269" s="129">
        <v>0</v>
      </c>
      <c r="L269" s="129">
        <v>115</v>
      </c>
      <c r="M269" s="129">
        <v>63</v>
      </c>
      <c r="N269" s="129">
        <v>1</v>
      </c>
      <c r="O269" s="129">
        <v>0</v>
      </c>
      <c r="P269" s="129">
        <v>0</v>
      </c>
      <c r="Q269" s="129">
        <v>64</v>
      </c>
      <c r="R269" s="129">
        <v>42</v>
      </c>
      <c r="S269" s="129">
        <v>0</v>
      </c>
      <c r="T269" s="129">
        <v>0</v>
      </c>
      <c r="U269" s="129">
        <v>0</v>
      </c>
      <c r="V269" s="129">
        <v>42</v>
      </c>
      <c r="W269" s="129">
        <v>237</v>
      </c>
      <c r="X269" s="129">
        <v>1</v>
      </c>
      <c r="Y269" s="129">
        <v>0</v>
      </c>
      <c r="Z269" s="129">
        <v>0</v>
      </c>
      <c r="AA269" s="129">
        <v>238</v>
      </c>
      <c r="AB269" s="129">
        <v>86</v>
      </c>
      <c r="AC269" s="129">
        <v>1</v>
      </c>
      <c r="AD269" s="129">
        <v>0</v>
      </c>
      <c r="AE269" s="129">
        <v>0</v>
      </c>
      <c r="AF269" s="129">
        <v>87</v>
      </c>
      <c r="AG269" s="129">
        <v>0</v>
      </c>
      <c r="AH269" s="129">
        <v>0</v>
      </c>
      <c r="AI269" s="126">
        <v>0</v>
      </c>
      <c r="AJ269" s="131">
        <v>1337</v>
      </c>
    </row>
    <row r="270" spans="1:36" x14ac:dyDescent="0.35">
      <c r="A270" s="127" t="s">
        <v>775</v>
      </c>
      <c r="B270" s="127" t="s">
        <v>776</v>
      </c>
      <c r="C270" s="129">
        <v>639</v>
      </c>
      <c r="D270" s="129">
        <v>27</v>
      </c>
      <c r="E270" s="129">
        <v>2</v>
      </c>
      <c r="F270" s="129">
        <v>0</v>
      </c>
      <c r="G270" s="129">
        <v>668</v>
      </c>
      <c r="H270" s="129">
        <v>98</v>
      </c>
      <c r="I270" s="129">
        <v>1</v>
      </c>
      <c r="J270" s="129">
        <v>0</v>
      </c>
      <c r="K270" s="129">
        <v>0</v>
      </c>
      <c r="L270" s="129">
        <v>99</v>
      </c>
      <c r="M270" s="129">
        <v>33</v>
      </c>
      <c r="N270" s="129">
        <v>2</v>
      </c>
      <c r="O270" s="129">
        <v>0</v>
      </c>
      <c r="P270" s="129">
        <v>0</v>
      </c>
      <c r="Q270" s="129">
        <v>35</v>
      </c>
      <c r="R270" s="129">
        <v>19</v>
      </c>
      <c r="S270" s="129">
        <v>0</v>
      </c>
      <c r="T270" s="129">
        <v>0</v>
      </c>
      <c r="U270" s="129">
        <v>0</v>
      </c>
      <c r="V270" s="129">
        <v>19</v>
      </c>
      <c r="W270" s="129">
        <v>124</v>
      </c>
      <c r="X270" s="129">
        <v>2</v>
      </c>
      <c r="Y270" s="129">
        <v>0</v>
      </c>
      <c r="Z270" s="129">
        <v>0</v>
      </c>
      <c r="AA270" s="129">
        <v>126</v>
      </c>
      <c r="AB270" s="129">
        <v>84</v>
      </c>
      <c r="AC270" s="129">
        <v>0</v>
      </c>
      <c r="AD270" s="129">
        <v>0</v>
      </c>
      <c r="AE270" s="129">
        <v>0</v>
      </c>
      <c r="AF270" s="129">
        <v>84</v>
      </c>
      <c r="AG270" s="129">
        <v>0</v>
      </c>
      <c r="AH270" s="129">
        <v>0</v>
      </c>
      <c r="AI270" s="126">
        <v>0</v>
      </c>
      <c r="AJ270" s="131">
        <v>1031</v>
      </c>
    </row>
    <row r="271" spans="1:36" x14ac:dyDescent="0.35">
      <c r="A271" s="127" t="s">
        <v>777</v>
      </c>
      <c r="B271" s="127" t="s">
        <v>778</v>
      </c>
      <c r="C271" s="129">
        <v>45</v>
      </c>
      <c r="D271" s="129">
        <v>58</v>
      </c>
      <c r="E271" s="129">
        <v>27</v>
      </c>
      <c r="F271" s="129">
        <v>3</v>
      </c>
      <c r="G271" s="129">
        <v>133</v>
      </c>
      <c r="H271" s="129">
        <v>21</v>
      </c>
      <c r="I271" s="129">
        <v>16</v>
      </c>
      <c r="J271" s="129">
        <v>0</v>
      </c>
      <c r="K271" s="129">
        <v>0</v>
      </c>
      <c r="L271" s="129">
        <v>37</v>
      </c>
      <c r="M271" s="129">
        <v>20</v>
      </c>
      <c r="N271" s="129">
        <v>7</v>
      </c>
      <c r="O271" s="129">
        <v>1</v>
      </c>
      <c r="P271" s="129">
        <v>0</v>
      </c>
      <c r="Q271" s="129">
        <v>28</v>
      </c>
      <c r="R271" s="129">
        <v>17</v>
      </c>
      <c r="S271" s="129">
        <v>5</v>
      </c>
      <c r="T271" s="129">
        <v>0</v>
      </c>
      <c r="U271" s="129">
        <v>1</v>
      </c>
      <c r="V271" s="129">
        <v>23</v>
      </c>
      <c r="W271" s="129">
        <v>6</v>
      </c>
      <c r="X271" s="129">
        <v>13</v>
      </c>
      <c r="Y271" s="129">
        <v>7</v>
      </c>
      <c r="Z271" s="129">
        <v>0</v>
      </c>
      <c r="AA271" s="129">
        <v>26</v>
      </c>
      <c r="AB271" s="129">
        <v>30</v>
      </c>
      <c r="AC271" s="129">
        <v>3</v>
      </c>
      <c r="AD271" s="129">
        <v>0</v>
      </c>
      <c r="AE271" s="129">
        <v>0</v>
      </c>
      <c r="AF271" s="129">
        <v>33</v>
      </c>
      <c r="AG271" s="129">
        <v>0</v>
      </c>
      <c r="AH271" s="129">
        <v>0</v>
      </c>
      <c r="AI271" s="126">
        <v>0</v>
      </c>
      <c r="AJ271" s="131">
        <v>280</v>
      </c>
    </row>
    <row r="272" spans="1:36" x14ac:dyDescent="0.35">
      <c r="A272" s="127" t="s">
        <v>779</v>
      </c>
      <c r="B272" s="127" t="s">
        <v>780</v>
      </c>
      <c r="C272" s="129">
        <v>157</v>
      </c>
      <c r="D272" s="129">
        <v>17</v>
      </c>
      <c r="E272" s="129">
        <v>4</v>
      </c>
      <c r="F272" s="129">
        <v>0</v>
      </c>
      <c r="G272" s="129">
        <v>178</v>
      </c>
      <c r="H272" s="129">
        <v>8</v>
      </c>
      <c r="I272" s="129">
        <v>1</v>
      </c>
      <c r="J272" s="129">
        <v>0</v>
      </c>
      <c r="K272" s="129">
        <v>0</v>
      </c>
      <c r="L272" s="129">
        <v>9</v>
      </c>
      <c r="M272" s="129">
        <v>11</v>
      </c>
      <c r="N272" s="129">
        <v>0</v>
      </c>
      <c r="O272" s="129">
        <v>0</v>
      </c>
      <c r="P272" s="129">
        <v>0</v>
      </c>
      <c r="Q272" s="129">
        <v>11</v>
      </c>
      <c r="R272" s="129">
        <v>19</v>
      </c>
      <c r="S272" s="129">
        <v>2</v>
      </c>
      <c r="T272" s="129">
        <v>0</v>
      </c>
      <c r="U272" s="129">
        <v>0</v>
      </c>
      <c r="V272" s="129">
        <v>21</v>
      </c>
      <c r="W272" s="129">
        <v>22</v>
      </c>
      <c r="X272" s="129">
        <v>2</v>
      </c>
      <c r="Y272" s="129">
        <v>0</v>
      </c>
      <c r="Z272" s="129">
        <v>0</v>
      </c>
      <c r="AA272" s="129">
        <v>24</v>
      </c>
      <c r="AB272" s="129">
        <v>2</v>
      </c>
      <c r="AC272" s="129">
        <v>0</v>
      </c>
      <c r="AD272" s="129">
        <v>0</v>
      </c>
      <c r="AE272" s="129">
        <v>0</v>
      </c>
      <c r="AF272" s="129">
        <v>2</v>
      </c>
      <c r="AG272" s="129">
        <v>0</v>
      </c>
      <c r="AH272" s="129">
        <v>0</v>
      </c>
      <c r="AI272" s="126">
        <v>0</v>
      </c>
      <c r="AJ272" s="131">
        <v>245</v>
      </c>
    </row>
    <row r="273" spans="1:36" x14ac:dyDescent="0.35">
      <c r="A273" s="127" t="s">
        <v>781</v>
      </c>
      <c r="B273" s="127" t="s">
        <v>782</v>
      </c>
      <c r="C273" s="129">
        <v>1215</v>
      </c>
      <c r="D273" s="129">
        <v>72</v>
      </c>
      <c r="E273" s="129">
        <v>14</v>
      </c>
      <c r="F273" s="129">
        <v>0</v>
      </c>
      <c r="G273" s="129">
        <v>1301</v>
      </c>
      <c r="H273" s="129">
        <v>103</v>
      </c>
      <c r="I273" s="129">
        <v>0</v>
      </c>
      <c r="J273" s="129">
        <v>0</v>
      </c>
      <c r="K273" s="129">
        <v>0</v>
      </c>
      <c r="L273" s="129">
        <v>103</v>
      </c>
      <c r="M273" s="129">
        <v>77</v>
      </c>
      <c r="N273" s="129">
        <v>0</v>
      </c>
      <c r="O273" s="129">
        <v>0</v>
      </c>
      <c r="P273" s="129">
        <v>0</v>
      </c>
      <c r="Q273" s="129">
        <v>77</v>
      </c>
      <c r="R273" s="129">
        <v>61</v>
      </c>
      <c r="S273" s="129">
        <v>0</v>
      </c>
      <c r="T273" s="129">
        <v>0</v>
      </c>
      <c r="U273" s="129">
        <v>0</v>
      </c>
      <c r="V273" s="129">
        <v>61</v>
      </c>
      <c r="W273" s="129">
        <v>162</v>
      </c>
      <c r="X273" s="129">
        <v>2</v>
      </c>
      <c r="Y273" s="129">
        <v>0</v>
      </c>
      <c r="Z273" s="129">
        <v>0</v>
      </c>
      <c r="AA273" s="129">
        <v>164</v>
      </c>
      <c r="AB273" s="129">
        <v>42</v>
      </c>
      <c r="AC273" s="129">
        <v>0</v>
      </c>
      <c r="AD273" s="129">
        <v>0</v>
      </c>
      <c r="AE273" s="129">
        <v>0</v>
      </c>
      <c r="AF273" s="129">
        <v>42</v>
      </c>
      <c r="AG273" s="129">
        <v>0</v>
      </c>
      <c r="AH273" s="129">
        <v>0</v>
      </c>
      <c r="AI273" s="126">
        <v>0</v>
      </c>
      <c r="AJ273" s="131">
        <v>1748</v>
      </c>
    </row>
    <row r="274" spans="1:36" x14ac:dyDescent="0.35">
      <c r="A274" s="127" t="s">
        <v>783</v>
      </c>
      <c r="B274" s="127" t="s">
        <v>784</v>
      </c>
      <c r="C274" s="129">
        <v>98</v>
      </c>
      <c r="D274" s="129">
        <v>9</v>
      </c>
      <c r="E274" s="129">
        <v>1</v>
      </c>
      <c r="F274" s="129">
        <v>0</v>
      </c>
      <c r="G274" s="129">
        <v>108</v>
      </c>
      <c r="H274" s="129">
        <v>1</v>
      </c>
      <c r="I274" s="129">
        <v>0</v>
      </c>
      <c r="J274" s="129">
        <v>0</v>
      </c>
      <c r="K274" s="129">
        <v>0</v>
      </c>
      <c r="L274" s="129">
        <v>1</v>
      </c>
      <c r="M274" s="129">
        <v>2</v>
      </c>
      <c r="N274" s="129">
        <v>0</v>
      </c>
      <c r="O274" s="129">
        <v>0</v>
      </c>
      <c r="P274" s="129">
        <v>0</v>
      </c>
      <c r="Q274" s="129">
        <v>2</v>
      </c>
      <c r="R274" s="129">
        <v>4</v>
      </c>
      <c r="S274" s="129">
        <v>0</v>
      </c>
      <c r="T274" s="129">
        <v>0</v>
      </c>
      <c r="U274" s="129">
        <v>0</v>
      </c>
      <c r="V274" s="129">
        <v>4</v>
      </c>
      <c r="W274" s="129">
        <v>5</v>
      </c>
      <c r="X274" s="129">
        <v>0</v>
      </c>
      <c r="Y274" s="129">
        <v>0</v>
      </c>
      <c r="Z274" s="129">
        <v>0</v>
      </c>
      <c r="AA274" s="129">
        <v>5</v>
      </c>
      <c r="AB274" s="129">
        <v>0</v>
      </c>
      <c r="AC274" s="129">
        <v>0</v>
      </c>
      <c r="AD274" s="129">
        <v>0</v>
      </c>
      <c r="AE274" s="129">
        <v>0</v>
      </c>
      <c r="AF274" s="129">
        <v>0</v>
      </c>
      <c r="AG274" s="129">
        <v>0</v>
      </c>
      <c r="AH274" s="129">
        <v>0</v>
      </c>
      <c r="AI274" s="126">
        <v>0</v>
      </c>
      <c r="AJ274" s="131">
        <v>120</v>
      </c>
    </row>
    <row r="275" spans="1:36" x14ac:dyDescent="0.35">
      <c r="A275" s="127" t="s">
        <v>785</v>
      </c>
      <c r="B275" s="127" t="s">
        <v>786</v>
      </c>
      <c r="C275" s="129">
        <v>386</v>
      </c>
      <c r="D275" s="129">
        <v>32</v>
      </c>
      <c r="E275" s="129">
        <v>5</v>
      </c>
      <c r="F275" s="129">
        <v>0</v>
      </c>
      <c r="G275" s="129">
        <v>423</v>
      </c>
      <c r="H275" s="129">
        <v>15</v>
      </c>
      <c r="I275" s="129">
        <v>0</v>
      </c>
      <c r="J275" s="129">
        <v>0</v>
      </c>
      <c r="K275" s="129">
        <v>0</v>
      </c>
      <c r="L275" s="129">
        <v>15</v>
      </c>
      <c r="M275" s="129">
        <v>7</v>
      </c>
      <c r="N275" s="129">
        <v>0</v>
      </c>
      <c r="O275" s="129">
        <v>0</v>
      </c>
      <c r="P275" s="129">
        <v>0</v>
      </c>
      <c r="Q275" s="129">
        <v>7</v>
      </c>
      <c r="R275" s="129">
        <v>13</v>
      </c>
      <c r="S275" s="129">
        <v>0</v>
      </c>
      <c r="T275" s="129">
        <v>0</v>
      </c>
      <c r="U275" s="129">
        <v>0</v>
      </c>
      <c r="V275" s="129">
        <v>13</v>
      </c>
      <c r="W275" s="129">
        <v>48</v>
      </c>
      <c r="X275" s="129">
        <v>0</v>
      </c>
      <c r="Y275" s="129">
        <v>1</v>
      </c>
      <c r="Z275" s="129">
        <v>0</v>
      </c>
      <c r="AA275" s="129">
        <v>49</v>
      </c>
      <c r="AB275" s="129">
        <v>3</v>
      </c>
      <c r="AC275" s="129">
        <v>0</v>
      </c>
      <c r="AD275" s="129">
        <v>0</v>
      </c>
      <c r="AE275" s="129">
        <v>0</v>
      </c>
      <c r="AF275" s="129">
        <v>3</v>
      </c>
      <c r="AG275" s="129">
        <v>0</v>
      </c>
      <c r="AH275" s="129">
        <v>0</v>
      </c>
      <c r="AI275" s="126">
        <v>0</v>
      </c>
      <c r="AJ275" s="131">
        <v>510</v>
      </c>
    </row>
    <row r="276" spans="1:36" x14ac:dyDescent="0.35">
      <c r="A276" s="127" t="s">
        <v>787</v>
      </c>
      <c r="B276" s="127" t="s">
        <v>788</v>
      </c>
      <c r="C276" s="129">
        <v>1396</v>
      </c>
      <c r="D276" s="129">
        <v>129</v>
      </c>
      <c r="E276" s="129">
        <v>22</v>
      </c>
      <c r="F276" s="129">
        <v>1</v>
      </c>
      <c r="G276" s="129">
        <v>1548</v>
      </c>
      <c r="H276" s="129">
        <v>147</v>
      </c>
      <c r="I276" s="129">
        <v>7</v>
      </c>
      <c r="J276" s="129">
        <v>2</v>
      </c>
      <c r="K276" s="129">
        <v>0</v>
      </c>
      <c r="L276" s="129">
        <v>156</v>
      </c>
      <c r="M276" s="129">
        <v>99</v>
      </c>
      <c r="N276" s="129">
        <v>8</v>
      </c>
      <c r="O276" s="129">
        <v>0</v>
      </c>
      <c r="P276" s="129">
        <v>0</v>
      </c>
      <c r="Q276" s="129">
        <v>107</v>
      </c>
      <c r="R276" s="129">
        <v>77</v>
      </c>
      <c r="S276" s="129">
        <v>5</v>
      </c>
      <c r="T276" s="129">
        <v>0</v>
      </c>
      <c r="U276" s="129">
        <v>0</v>
      </c>
      <c r="V276" s="129">
        <v>82</v>
      </c>
      <c r="W276" s="129">
        <v>342</v>
      </c>
      <c r="X276" s="129">
        <v>8</v>
      </c>
      <c r="Y276" s="129">
        <v>0</v>
      </c>
      <c r="Z276" s="129">
        <v>0</v>
      </c>
      <c r="AA276" s="129">
        <v>350</v>
      </c>
      <c r="AB276" s="129">
        <v>97</v>
      </c>
      <c r="AC276" s="129">
        <v>8</v>
      </c>
      <c r="AD276" s="129">
        <v>1</v>
      </c>
      <c r="AE276" s="129">
        <v>0</v>
      </c>
      <c r="AF276" s="129">
        <v>106</v>
      </c>
      <c r="AG276" s="129">
        <v>0</v>
      </c>
      <c r="AH276" s="129">
        <v>0</v>
      </c>
      <c r="AI276" s="126">
        <v>0</v>
      </c>
      <c r="AJ276" s="131">
        <v>2349</v>
      </c>
    </row>
    <row r="277" spans="1:36" x14ac:dyDescent="0.35">
      <c r="A277" s="127" t="s">
        <v>789</v>
      </c>
      <c r="B277" s="127" t="s">
        <v>1231</v>
      </c>
      <c r="C277" s="129">
        <v>37</v>
      </c>
      <c r="D277" s="129">
        <v>3</v>
      </c>
      <c r="E277" s="129">
        <v>0</v>
      </c>
      <c r="F277" s="129">
        <v>0</v>
      </c>
      <c r="G277" s="129">
        <v>40</v>
      </c>
      <c r="H277" s="129">
        <v>0</v>
      </c>
      <c r="I277" s="129">
        <v>0</v>
      </c>
      <c r="J277" s="129">
        <v>0</v>
      </c>
      <c r="K277" s="129">
        <v>0</v>
      </c>
      <c r="L277" s="129">
        <v>0</v>
      </c>
      <c r="M277" s="129">
        <v>0</v>
      </c>
      <c r="N277" s="129">
        <v>0</v>
      </c>
      <c r="O277" s="129">
        <v>0</v>
      </c>
      <c r="P277" s="129">
        <v>0</v>
      </c>
      <c r="Q277" s="129">
        <v>0</v>
      </c>
      <c r="R277" s="129">
        <v>0</v>
      </c>
      <c r="S277" s="129">
        <v>0</v>
      </c>
      <c r="T277" s="129">
        <v>0</v>
      </c>
      <c r="U277" s="129">
        <v>0</v>
      </c>
      <c r="V277" s="129">
        <v>0</v>
      </c>
      <c r="W277" s="129">
        <v>3</v>
      </c>
      <c r="X277" s="129">
        <v>0</v>
      </c>
      <c r="Y277" s="129">
        <v>0</v>
      </c>
      <c r="Z277" s="129">
        <v>0</v>
      </c>
      <c r="AA277" s="129">
        <v>3</v>
      </c>
      <c r="AB277" s="129">
        <v>0</v>
      </c>
      <c r="AC277" s="129">
        <v>0</v>
      </c>
      <c r="AD277" s="129">
        <v>0</v>
      </c>
      <c r="AE277" s="129">
        <v>0</v>
      </c>
      <c r="AF277" s="129">
        <v>0</v>
      </c>
      <c r="AG277" s="129">
        <v>0</v>
      </c>
      <c r="AH277" s="129">
        <v>0</v>
      </c>
      <c r="AI277" s="126">
        <v>0</v>
      </c>
      <c r="AJ277" s="131">
        <v>43</v>
      </c>
    </row>
    <row r="278" spans="1:36" x14ac:dyDescent="0.35">
      <c r="A278" s="127" t="s">
        <v>790</v>
      </c>
      <c r="B278" s="127" t="s">
        <v>1232</v>
      </c>
      <c r="C278" s="129">
        <v>301</v>
      </c>
      <c r="D278" s="129">
        <v>20</v>
      </c>
      <c r="E278" s="129">
        <v>11</v>
      </c>
      <c r="F278" s="129">
        <v>2</v>
      </c>
      <c r="G278" s="129">
        <v>334</v>
      </c>
      <c r="H278" s="129">
        <v>42</v>
      </c>
      <c r="I278" s="129">
        <v>3</v>
      </c>
      <c r="J278" s="129">
        <v>0</v>
      </c>
      <c r="K278" s="129">
        <v>0</v>
      </c>
      <c r="L278" s="129">
        <v>45</v>
      </c>
      <c r="M278" s="129">
        <v>20</v>
      </c>
      <c r="N278" s="129">
        <v>0</v>
      </c>
      <c r="O278" s="129">
        <v>1</v>
      </c>
      <c r="P278" s="129">
        <v>0</v>
      </c>
      <c r="Q278" s="129">
        <v>21</v>
      </c>
      <c r="R278" s="129">
        <v>34</v>
      </c>
      <c r="S278" s="129">
        <v>2</v>
      </c>
      <c r="T278" s="129">
        <v>0</v>
      </c>
      <c r="U278" s="129">
        <v>0</v>
      </c>
      <c r="V278" s="129">
        <v>36</v>
      </c>
      <c r="W278" s="129">
        <v>62</v>
      </c>
      <c r="X278" s="129">
        <v>0</v>
      </c>
      <c r="Y278" s="129">
        <v>1</v>
      </c>
      <c r="Z278" s="129">
        <v>0</v>
      </c>
      <c r="AA278" s="129">
        <v>63</v>
      </c>
      <c r="AB278" s="129">
        <v>20</v>
      </c>
      <c r="AC278" s="129">
        <v>0</v>
      </c>
      <c r="AD278" s="129">
        <v>0</v>
      </c>
      <c r="AE278" s="129">
        <v>0</v>
      </c>
      <c r="AF278" s="129">
        <v>20</v>
      </c>
      <c r="AG278" s="129">
        <v>0</v>
      </c>
      <c r="AH278" s="129">
        <v>0</v>
      </c>
      <c r="AI278" s="126">
        <v>0</v>
      </c>
      <c r="AJ278" s="131">
        <v>519</v>
      </c>
    </row>
    <row r="279" spans="1:36" x14ac:dyDescent="0.35">
      <c r="A279" s="127" t="s">
        <v>791</v>
      </c>
      <c r="B279" s="127" t="s">
        <v>1233</v>
      </c>
      <c r="C279" s="129">
        <v>386</v>
      </c>
      <c r="D279" s="129">
        <v>12</v>
      </c>
      <c r="E279" s="129">
        <v>2</v>
      </c>
      <c r="F279" s="129">
        <v>1</v>
      </c>
      <c r="G279" s="129">
        <v>401</v>
      </c>
      <c r="H279" s="129">
        <v>23</v>
      </c>
      <c r="I279" s="129">
        <v>0</v>
      </c>
      <c r="J279" s="129">
        <v>0</v>
      </c>
      <c r="K279" s="129">
        <v>0</v>
      </c>
      <c r="L279" s="129">
        <v>23</v>
      </c>
      <c r="M279" s="129">
        <v>20</v>
      </c>
      <c r="N279" s="129">
        <v>0</v>
      </c>
      <c r="O279" s="129">
        <v>0</v>
      </c>
      <c r="P279" s="129">
        <v>0</v>
      </c>
      <c r="Q279" s="129">
        <v>20</v>
      </c>
      <c r="R279" s="129">
        <v>14</v>
      </c>
      <c r="S279" s="129">
        <v>0</v>
      </c>
      <c r="T279" s="129">
        <v>0</v>
      </c>
      <c r="U279" s="129">
        <v>0</v>
      </c>
      <c r="V279" s="129">
        <v>14</v>
      </c>
      <c r="W279" s="129">
        <v>54</v>
      </c>
      <c r="X279" s="129">
        <v>0</v>
      </c>
      <c r="Y279" s="129">
        <v>0</v>
      </c>
      <c r="Z279" s="129">
        <v>0</v>
      </c>
      <c r="AA279" s="129">
        <v>54</v>
      </c>
      <c r="AB279" s="129">
        <v>5</v>
      </c>
      <c r="AC279" s="129">
        <v>0</v>
      </c>
      <c r="AD279" s="129">
        <v>0</v>
      </c>
      <c r="AE279" s="129">
        <v>0</v>
      </c>
      <c r="AF279" s="129">
        <v>5</v>
      </c>
      <c r="AG279" s="129">
        <v>0</v>
      </c>
      <c r="AH279" s="129">
        <v>0</v>
      </c>
      <c r="AI279" s="126">
        <v>0</v>
      </c>
      <c r="AJ279" s="131">
        <v>517</v>
      </c>
    </row>
    <row r="280" spans="1:36" x14ac:dyDescent="0.35">
      <c r="A280" s="127" t="s">
        <v>792</v>
      </c>
      <c r="B280" s="127" t="s">
        <v>793</v>
      </c>
      <c r="C280" s="129">
        <v>1043</v>
      </c>
      <c r="D280" s="129">
        <v>42</v>
      </c>
      <c r="E280" s="129">
        <v>2</v>
      </c>
      <c r="F280" s="129">
        <v>0</v>
      </c>
      <c r="G280" s="129">
        <v>1087</v>
      </c>
      <c r="H280" s="129">
        <v>143</v>
      </c>
      <c r="I280" s="129">
        <v>0</v>
      </c>
      <c r="J280" s="129">
        <v>0</v>
      </c>
      <c r="K280" s="129">
        <v>0</v>
      </c>
      <c r="L280" s="129">
        <v>143</v>
      </c>
      <c r="M280" s="129">
        <v>86</v>
      </c>
      <c r="N280" s="129">
        <v>1</v>
      </c>
      <c r="O280" s="129">
        <v>0</v>
      </c>
      <c r="P280" s="129">
        <v>0</v>
      </c>
      <c r="Q280" s="129">
        <v>87</v>
      </c>
      <c r="R280" s="129">
        <v>17</v>
      </c>
      <c r="S280" s="129">
        <v>0</v>
      </c>
      <c r="T280" s="129">
        <v>0</v>
      </c>
      <c r="U280" s="129">
        <v>0</v>
      </c>
      <c r="V280" s="129">
        <v>17</v>
      </c>
      <c r="W280" s="129">
        <v>227</v>
      </c>
      <c r="X280" s="129">
        <v>4</v>
      </c>
      <c r="Y280" s="129">
        <v>0</v>
      </c>
      <c r="Z280" s="129">
        <v>0</v>
      </c>
      <c r="AA280" s="129">
        <v>231</v>
      </c>
      <c r="AB280" s="129">
        <v>88</v>
      </c>
      <c r="AC280" s="129">
        <v>2</v>
      </c>
      <c r="AD280" s="129">
        <v>0</v>
      </c>
      <c r="AE280" s="129">
        <v>0</v>
      </c>
      <c r="AF280" s="129">
        <v>90</v>
      </c>
      <c r="AG280" s="129">
        <v>0</v>
      </c>
      <c r="AH280" s="129">
        <v>0</v>
      </c>
      <c r="AI280" s="126">
        <v>0</v>
      </c>
      <c r="AJ280" s="131">
        <v>1655</v>
      </c>
    </row>
    <row r="281" spans="1:36" x14ac:dyDescent="0.35">
      <c r="A281" s="127" t="s">
        <v>794</v>
      </c>
      <c r="B281" s="127" t="s">
        <v>795</v>
      </c>
      <c r="C281" s="129">
        <v>922</v>
      </c>
      <c r="D281" s="129">
        <v>29</v>
      </c>
      <c r="E281" s="129">
        <v>8</v>
      </c>
      <c r="F281" s="129">
        <v>0</v>
      </c>
      <c r="G281" s="129">
        <v>959</v>
      </c>
      <c r="H281" s="129">
        <v>109</v>
      </c>
      <c r="I281" s="129">
        <v>0</v>
      </c>
      <c r="J281" s="129">
        <v>0</v>
      </c>
      <c r="K281" s="129">
        <v>0</v>
      </c>
      <c r="L281" s="129">
        <v>109</v>
      </c>
      <c r="M281" s="129">
        <v>96</v>
      </c>
      <c r="N281" s="129">
        <v>0</v>
      </c>
      <c r="O281" s="129">
        <v>0</v>
      </c>
      <c r="P281" s="129">
        <v>0</v>
      </c>
      <c r="Q281" s="129">
        <v>96</v>
      </c>
      <c r="R281" s="129">
        <v>57</v>
      </c>
      <c r="S281" s="129">
        <v>1</v>
      </c>
      <c r="T281" s="129">
        <v>0</v>
      </c>
      <c r="U281" s="129">
        <v>0</v>
      </c>
      <c r="V281" s="129">
        <v>58</v>
      </c>
      <c r="W281" s="129">
        <v>216</v>
      </c>
      <c r="X281" s="129">
        <v>2</v>
      </c>
      <c r="Y281" s="129">
        <v>0</v>
      </c>
      <c r="Z281" s="129">
        <v>0</v>
      </c>
      <c r="AA281" s="129">
        <v>218</v>
      </c>
      <c r="AB281" s="129">
        <v>68</v>
      </c>
      <c r="AC281" s="129">
        <v>0</v>
      </c>
      <c r="AD281" s="129">
        <v>0</v>
      </c>
      <c r="AE281" s="129">
        <v>0</v>
      </c>
      <c r="AF281" s="129">
        <v>68</v>
      </c>
      <c r="AG281" s="129">
        <v>1</v>
      </c>
      <c r="AH281" s="129">
        <v>0</v>
      </c>
      <c r="AI281" s="126">
        <v>1</v>
      </c>
      <c r="AJ281" s="131">
        <v>1509</v>
      </c>
    </row>
    <row r="282" spans="1:36" x14ac:dyDescent="0.35">
      <c r="A282" s="127" t="s">
        <v>796</v>
      </c>
      <c r="B282" s="127" t="s">
        <v>1234</v>
      </c>
      <c r="C282" s="129">
        <v>169</v>
      </c>
      <c r="D282" s="129">
        <v>25</v>
      </c>
      <c r="E282" s="129">
        <v>3</v>
      </c>
      <c r="F282" s="129">
        <v>0</v>
      </c>
      <c r="G282" s="129">
        <v>197</v>
      </c>
      <c r="H282" s="129">
        <v>17</v>
      </c>
      <c r="I282" s="129">
        <v>0</v>
      </c>
      <c r="J282" s="129">
        <v>0</v>
      </c>
      <c r="K282" s="129">
        <v>0</v>
      </c>
      <c r="L282" s="129">
        <v>17</v>
      </c>
      <c r="M282" s="129">
        <v>12</v>
      </c>
      <c r="N282" s="129">
        <v>0</v>
      </c>
      <c r="O282" s="129">
        <v>0</v>
      </c>
      <c r="P282" s="129">
        <v>0</v>
      </c>
      <c r="Q282" s="129">
        <v>12</v>
      </c>
      <c r="R282" s="129">
        <v>10</v>
      </c>
      <c r="S282" s="129">
        <v>0</v>
      </c>
      <c r="T282" s="129">
        <v>0</v>
      </c>
      <c r="U282" s="129">
        <v>0</v>
      </c>
      <c r="V282" s="129">
        <v>10</v>
      </c>
      <c r="W282" s="129">
        <v>17</v>
      </c>
      <c r="X282" s="129">
        <v>0</v>
      </c>
      <c r="Y282" s="129">
        <v>0</v>
      </c>
      <c r="Z282" s="129">
        <v>0</v>
      </c>
      <c r="AA282" s="129">
        <v>17</v>
      </c>
      <c r="AB282" s="129">
        <v>2</v>
      </c>
      <c r="AC282" s="129">
        <v>0</v>
      </c>
      <c r="AD282" s="129">
        <v>0</v>
      </c>
      <c r="AE282" s="129">
        <v>0</v>
      </c>
      <c r="AF282" s="129">
        <v>2</v>
      </c>
      <c r="AG282" s="129">
        <v>0</v>
      </c>
      <c r="AH282" s="129">
        <v>0</v>
      </c>
      <c r="AI282" s="126">
        <v>0</v>
      </c>
      <c r="AJ282" s="131">
        <v>255</v>
      </c>
    </row>
    <row r="283" spans="1:36" x14ac:dyDescent="0.35">
      <c r="A283" s="127" t="s">
        <v>797</v>
      </c>
      <c r="B283" s="127" t="s">
        <v>798</v>
      </c>
      <c r="C283" s="129">
        <v>114</v>
      </c>
      <c r="D283" s="129">
        <v>5</v>
      </c>
      <c r="E283" s="129">
        <v>1</v>
      </c>
      <c r="F283" s="129">
        <v>0</v>
      </c>
      <c r="G283" s="129">
        <v>120</v>
      </c>
      <c r="H283" s="129">
        <v>11</v>
      </c>
      <c r="I283" s="129">
        <v>0</v>
      </c>
      <c r="J283" s="129">
        <v>0</v>
      </c>
      <c r="K283" s="129">
        <v>0</v>
      </c>
      <c r="L283" s="129">
        <v>11</v>
      </c>
      <c r="M283" s="129">
        <v>5</v>
      </c>
      <c r="N283" s="129">
        <v>0</v>
      </c>
      <c r="O283" s="129">
        <v>0</v>
      </c>
      <c r="P283" s="129">
        <v>0</v>
      </c>
      <c r="Q283" s="129">
        <v>5</v>
      </c>
      <c r="R283" s="129">
        <v>7</v>
      </c>
      <c r="S283" s="129">
        <v>0</v>
      </c>
      <c r="T283" s="129">
        <v>0</v>
      </c>
      <c r="U283" s="129">
        <v>0</v>
      </c>
      <c r="V283" s="129">
        <v>7</v>
      </c>
      <c r="W283" s="129">
        <v>19</v>
      </c>
      <c r="X283" s="129">
        <v>1</v>
      </c>
      <c r="Y283" s="129">
        <v>0</v>
      </c>
      <c r="Z283" s="129">
        <v>0</v>
      </c>
      <c r="AA283" s="129">
        <v>20</v>
      </c>
      <c r="AB283" s="129">
        <v>0</v>
      </c>
      <c r="AC283" s="129">
        <v>0</v>
      </c>
      <c r="AD283" s="129">
        <v>0</v>
      </c>
      <c r="AE283" s="129">
        <v>0</v>
      </c>
      <c r="AF283" s="129">
        <v>0</v>
      </c>
      <c r="AG283" s="129">
        <v>0</v>
      </c>
      <c r="AH283" s="129">
        <v>0</v>
      </c>
      <c r="AI283" s="126">
        <v>0</v>
      </c>
      <c r="AJ283" s="131">
        <v>163</v>
      </c>
    </row>
    <row r="284" spans="1:36" x14ac:dyDescent="0.35">
      <c r="A284" s="127" t="s">
        <v>799</v>
      </c>
      <c r="B284" s="127" t="s">
        <v>800</v>
      </c>
      <c r="C284" s="129">
        <v>3137</v>
      </c>
      <c r="D284" s="129">
        <v>103</v>
      </c>
      <c r="E284" s="129">
        <v>12</v>
      </c>
      <c r="F284" s="129">
        <v>6</v>
      </c>
      <c r="G284" s="129">
        <v>3258</v>
      </c>
      <c r="H284" s="129">
        <v>446</v>
      </c>
      <c r="I284" s="129">
        <v>0</v>
      </c>
      <c r="J284" s="129">
        <v>0</v>
      </c>
      <c r="K284" s="129">
        <v>0</v>
      </c>
      <c r="L284" s="129">
        <v>446</v>
      </c>
      <c r="M284" s="129">
        <v>329</v>
      </c>
      <c r="N284" s="129">
        <v>0</v>
      </c>
      <c r="O284" s="129">
        <v>0</v>
      </c>
      <c r="P284" s="129">
        <v>0</v>
      </c>
      <c r="Q284" s="129">
        <v>329</v>
      </c>
      <c r="R284" s="129">
        <v>194</v>
      </c>
      <c r="S284" s="129">
        <v>1</v>
      </c>
      <c r="T284" s="129">
        <v>0</v>
      </c>
      <c r="U284" s="129">
        <v>0</v>
      </c>
      <c r="V284" s="129">
        <v>195</v>
      </c>
      <c r="W284" s="129">
        <v>498</v>
      </c>
      <c r="X284" s="129">
        <v>3</v>
      </c>
      <c r="Y284" s="129">
        <v>1</v>
      </c>
      <c r="Z284" s="129">
        <v>0</v>
      </c>
      <c r="AA284" s="129">
        <v>502</v>
      </c>
      <c r="AB284" s="129">
        <v>174</v>
      </c>
      <c r="AC284" s="129">
        <v>0</v>
      </c>
      <c r="AD284" s="129">
        <v>0</v>
      </c>
      <c r="AE284" s="129">
        <v>0</v>
      </c>
      <c r="AF284" s="129">
        <v>174</v>
      </c>
      <c r="AG284" s="129">
        <v>0</v>
      </c>
      <c r="AH284" s="129">
        <v>0</v>
      </c>
      <c r="AI284" s="126">
        <v>0</v>
      </c>
      <c r="AJ284" s="131">
        <v>4904</v>
      </c>
    </row>
    <row r="285" spans="1:36" x14ac:dyDescent="0.35">
      <c r="A285" s="127" t="s">
        <v>801</v>
      </c>
      <c r="B285" s="127" t="s">
        <v>1235</v>
      </c>
      <c r="C285" s="129">
        <v>597</v>
      </c>
      <c r="D285" s="129">
        <v>29</v>
      </c>
      <c r="E285" s="129">
        <v>5</v>
      </c>
      <c r="F285" s="129">
        <v>2</v>
      </c>
      <c r="G285" s="129">
        <v>633</v>
      </c>
      <c r="H285" s="129">
        <v>54</v>
      </c>
      <c r="I285" s="129">
        <v>0</v>
      </c>
      <c r="J285" s="129">
        <v>0</v>
      </c>
      <c r="K285" s="129">
        <v>0</v>
      </c>
      <c r="L285" s="129">
        <v>54</v>
      </c>
      <c r="M285" s="129">
        <v>28</v>
      </c>
      <c r="N285" s="129">
        <v>0</v>
      </c>
      <c r="O285" s="129">
        <v>0</v>
      </c>
      <c r="P285" s="129">
        <v>0</v>
      </c>
      <c r="Q285" s="129">
        <v>28</v>
      </c>
      <c r="R285" s="129">
        <v>42</v>
      </c>
      <c r="S285" s="129">
        <v>0</v>
      </c>
      <c r="T285" s="129">
        <v>0</v>
      </c>
      <c r="U285" s="129">
        <v>0</v>
      </c>
      <c r="V285" s="129">
        <v>42</v>
      </c>
      <c r="W285" s="129">
        <v>81</v>
      </c>
      <c r="X285" s="129">
        <v>4</v>
      </c>
      <c r="Y285" s="129">
        <v>0</v>
      </c>
      <c r="Z285" s="129">
        <v>0</v>
      </c>
      <c r="AA285" s="129">
        <v>85</v>
      </c>
      <c r="AB285" s="129">
        <v>14</v>
      </c>
      <c r="AC285" s="129">
        <v>1</v>
      </c>
      <c r="AD285" s="129">
        <v>0</v>
      </c>
      <c r="AE285" s="129">
        <v>0</v>
      </c>
      <c r="AF285" s="129">
        <v>15</v>
      </c>
      <c r="AG285" s="129">
        <v>0</v>
      </c>
      <c r="AH285" s="129">
        <v>0</v>
      </c>
      <c r="AI285" s="126">
        <v>0</v>
      </c>
      <c r="AJ285" s="131">
        <v>857</v>
      </c>
    </row>
    <row r="286" spans="1:36" x14ac:dyDescent="0.35">
      <c r="A286" s="127" t="s">
        <v>802</v>
      </c>
      <c r="B286" s="127" t="s">
        <v>803</v>
      </c>
      <c r="C286" s="129">
        <v>2348</v>
      </c>
      <c r="D286" s="129">
        <v>106</v>
      </c>
      <c r="E286" s="129">
        <v>10</v>
      </c>
      <c r="F286" s="129">
        <v>6</v>
      </c>
      <c r="G286" s="129">
        <v>2470</v>
      </c>
      <c r="H286" s="129">
        <v>216</v>
      </c>
      <c r="I286" s="129">
        <v>3</v>
      </c>
      <c r="J286" s="129">
        <v>0</v>
      </c>
      <c r="K286" s="129">
        <v>0</v>
      </c>
      <c r="L286" s="129">
        <v>219</v>
      </c>
      <c r="M286" s="129">
        <v>165</v>
      </c>
      <c r="N286" s="129">
        <v>2</v>
      </c>
      <c r="O286" s="129">
        <v>0</v>
      </c>
      <c r="P286" s="129">
        <v>0</v>
      </c>
      <c r="Q286" s="129">
        <v>167</v>
      </c>
      <c r="R286" s="129">
        <v>164</v>
      </c>
      <c r="S286" s="129">
        <v>1</v>
      </c>
      <c r="T286" s="129">
        <v>0</v>
      </c>
      <c r="U286" s="129">
        <v>0</v>
      </c>
      <c r="V286" s="129">
        <v>165</v>
      </c>
      <c r="W286" s="129">
        <v>494</v>
      </c>
      <c r="X286" s="129">
        <v>6</v>
      </c>
      <c r="Y286" s="129">
        <v>0</v>
      </c>
      <c r="Z286" s="129">
        <v>0</v>
      </c>
      <c r="AA286" s="129">
        <v>500</v>
      </c>
      <c r="AB286" s="129">
        <v>118</v>
      </c>
      <c r="AC286" s="129">
        <v>2</v>
      </c>
      <c r="AD286" s="129">
        <v>0</v>
      </c>
      <c r="AE286" s="129">
        <v>0</v>
      </c>
      <c r="AF286" s="129">
        <v>120</v>
      </c>
      <c r="AG286" s="129">
        <v>0</v>
      </c>
      <c r="AH286" s="129">
        <v>0</v>
      </c>
      <c r="AI286" s="126">
        <v>0</v>
      </c>
      <c r="AJ286" s="131">
        <v>3641</v>
      </c>
    </row>
    <row r="287" spans="1:36" x14ac:dyDescent="0.35">
      <c r="A287" s="127" t="s">
        <v>804</v>
      </c>
      <c r="B287" s="127" t="s">
        <v>805</v>
      </c>
      <c r="C287" s="129">
        <v>1195</v>
      </c>
      <c r="D287" s="129">
        <v>100</v>
      </c>
      <c r="E287" s="129">
        <v>7</v>
      </c>
      <c r="F287" s="129">
        <v>3</v>
      </c>
      <c r="G287" s="129">
        <v>1305</v>
      </c>
      <c r="H287" s="129">
        <v>55</v>
      </c>
      <c r="I287" s="129">
        <v>0</v>
      </c>
      <c r="J287" s="129">
        <v>0</v>
      </c>
      <c r="K287" s="129">
        <v>0</v>
      </c>
      <c r="L287" s="129">
        <v>55</v>
      </c>
      <c r="M287" s="129">
        <v>38</v>
      </c>
      <c r="N287" s="129">
        <v>1</v>
      </c>
      <c r="O287" s="129">
        <v>1</v>
      </c>
      <c r="P287" s="129">
        <v>0</v>
      </c>
      <c r="Q287" s="129">
        <v>40</v>
      </c>
      <c r="R287" s="129">
        <v>21</v>
      </c>
      <c r="S287" s="129">
        <v>0</v>
      </c>
      <c r="T287" s="129">
        <v>0</v>
      </c>
      <c r="U287" s="129">
        <v>0</v>
      </c>
      <c r="V287" s="129">
        <v>21</v>
      </c>
      <c r="W287" s="129">
        <v>111</v>
      </c>
      <c r="X287" s="129">
        <v>0</v>
      </c>
      <c r="Y287" s="129">
        <v>0</v>
      </c>
      <c r="Z287" s="129">
        <v>0</v>
      </c>
      <c r="AA287" s="129">
        <v>111</v>
      </c>
      <c r="AB287" s="129">
        <v>11</v>
      </c>
      <c r="AC287" s="129">
        <v>0</v>
      </c>
      <c r="AD287" s="129">
        <v>0</v>
      </c>
      <c r="AE287" s="129">
        <v>0</v>
      </c>
      <c r="AF287" s="129">
        <v>11</v>
      </c>
      <c r="AG287" s="129">
        <v>0</v>
      </c>
      <c r="AH287" s="129">
        <v>0</v>
      </c>
      <c r="AI287" s="126">
        <v>0</v>
      </c>
      <c r="AJ287" s="131">
        <v>1543</v>
      </c>
    </row>
    <row r="288" spans="1:36" x14ac:dyDescent="0.35">
      <c r="A288" s="127" t="s">
        <v>806</v>
      </c>
      <c r="B288" s="127" t="s">
        <v>807</v>
      </c>
      <c r="C288" s="129">
        <v>217</v>
      </c>
      <c r="D288" s="129">
        <v>8</v>
      </c>
      <c r="E288" s="129">
        <v>1</v>
      </c>
      <c r="F288" s="129">
        <v>0</v>
      </c>
      <c r="G288" s="129">
        <v>226</v>
      </c>
      <c r="H288" s="129">
        <v>32</v>
      </c>
      <c r="I288" s="129">
        <v>0</v>
      </c>
      <c r="J288" s="129">
        <v>0</v>
      </c>
      <c r="K288" s="129">
        <v>0</v>
      </c>
      <c r="L288" s="129">
        <v>32</v>
      </c>
      <c r="M288" s="129">
        <v>13</v>
      </c>
      <c r="N288" s="129">
        <v>0</v>
      </c>
      <c r="O288" s="129">
        <v>0</v>
      </c>
      <c r="P288" s="129">
        <v>0</v>
      </c>
      <c r="Q288" s="129">
        <v>13</v>
      </c>
      <c r="R288" s="129">
        <v>21</v>
      </c>
      <c r="S288" s="129">
        <v>1</v>
      </c>
      <c r="T288" s="129">
        <v>0</v>
      </c>
      <c r="U288" s="129">
        <v>0</v>
      </c>
      <c r="V288" s="129">
        <v>22</v>
      </c>
      <c r="W288" s="129">
        <v>21</v>
      </c>
      <c r="X288" s="129">
        <v>2</v>
      </c>
      <c r="Y288" s="129">
        <v>0</v>
      </c>
      <c r="Z288" s="129">
        <v>0</v>
      </c>
      <c r="AA288" s="129">
        <v>23</v>
      </c>
      <c r="AB288" s="129">
        <v>24</v>
      </c>
      <c r="AC288" s="129">
        <v>0</v>
      </c>
      <c r="AD288" s="129">
        <v>0</v>
      </c>
      <c r="AE288" s="129">
        <v>0</v>
      </c>
      <c r="AF288" s="129">
        <v>24</v>
      </c>
      <c r="AG288" s="129">
        <v>0</v>
      </c>
      <c r="AH288" s="129">
        <v>0</v>
      </c>
      <c r="AI288" s="126">
        <v>0</v>
      </c>
      <c r="AJ288" s="131">
        <v>340</v>
      </c>
    </row>
    <row r="289" spans="1:36" x14ac:dyDescent="0.35">
      <c r="A289" s="127" t="s">
        <v>808</v>
      </c>
      <c r="B289" s="127" t="s">
        <v>809</v>
      </c>
      <c r="C289" s="129">
        <v>58</v>
      </c>
      <c r="D289" s="129">
        <v>1</v>
      </c>
      <c r="E289" s="129">
        <v>0</v>
      </c>
      <c r="F289" s="129">
        <v>0</v>
      </c>
      <c r="G289" s="129">
        <v>59</v>
      </c>
      <c r="H289" s="129">
        <v>4</v>
      </c>
      <c r="I289" s="129">
        <v>0</v>
      </c>
      <c r="J289" s="129">
        <v>0</v>
      </c>
      <c r="K289" s="129">
        <v>0</v>
      </c>
      <c r="L289" s="129">
        <v>4</v>
      </c>
      <c r="M289" s="129">
        <v>2</v>
      </c>
      <c r="N289" s="129">
        <v>0</v>
      </c>
      <c r="O289" s="129">
        <v>0</v>
      </c>
      <c r="P289" s="129">
        <v>0</v>
      </c>
      <c r="Q289" s="129">
        <v>2</v>
      </c>
      <c r="R289" s="129">
        <v>3</v>
      </c>
      <c r="S289" s="129">
        <v>0</v>
      </c>
      <c r="T289" s="129">
        <v>0</v>
      </c>
      <c r="U289" s="129">
        <v>0</v>
      </c>
      <c r="V289" s="129">
        <v>3</v>
      </c>
      <c r="W289" s="129">
        <v>6</v>
      </c>
      <c r="X289" s="129">
        <v>0</v>
      </c>
      <c r="Y289" s="129">
        <v>0</v>
      </c>
      <c r="Z289" s="129">
        <v>0</v>
      </c>
      <c r="AA289" s="129">
        <v>6</v>
      </c>
      <c r="AB289" s="129">
        <v>4</v>
      </c>
      <c r="AC289" s="129">
        <v>0</v>
      </c>
      <c r="AD289" s="129">
        <v>0</v>
      </c>
      <c r="AE289" s="129">
        <v>0</v>
      </c>
      <c r="AF289" s="129">
        <v>4</v>
      </c>
      <c r="AG289" s="129">
        <v>0</v>
      </c>
      <c r="AH289" s="129">
        <v>0</v>
      </c>
      <c r="AI289" s="126">
        <v>0</v>
      </c>
      <c r="AJ289" s="131">
        <v>78</v>
      </c>
    </row>
    <row r="290" spans="1:36" x14ac:dyDescent="0.35">
      <c r="A290" s="127" t="s">
        <v>810</v>
      </c>
      <c r="B290" s="127" t="s">
        <v>811</v>
      </c>
      <c r="C290" s="129">
        <v>150</v>
      </c>
      <c r="D290" s="129">
        <v>1</v>
      </c>
      <c r="E290" s="129">
        <v>0</v>
      </c>
      <c r="F290" s="129">
        <v>0</v>
      </c>
      <c r="G290" s="129">
        <v>151</v>
      </c>
      <c r="H290" s="129">
        <v>9</v>
      </c>
      <c r="I290" s="129">
        <v>0</v>
      </c>
      <c r="J290" s="129">
        <v>0</v>
      </c>
      <c r="K290" s="129">
        <v>0</v>
      </c>
      <c r="L290" s="129">
        <v>9</v>
      </c>
      <c r="M290" s="129">
        <v>2</v>
      </c>
      <c r="N290" s="129">
        <v>0</v>
      </c>
      <c r="O290" s="129">
        <v>0</v>
      </c>
      <c r="P290" s="129">
        <v>0</v>
      </c>
      <c r="Q290" s="129">
        <v>2</v>
      </c>
      <c r="R290" s="129">
        <v>7</v>
      </c>
      <c r="S290" s="129">
        <v>0</v>
      </c>
      <c r="T290" s="129">
        <v>0</v>
      </c>
      <c r="U290" s="129">
        <v>0</v>
      </c>
      <c r="V290" s="129">
        <v>7</v>
      </c>
      <c r="W290" s="129">
        <v>22</v>
      </c>
      <c r="X290" s="129">
        <v>0</v>
      </c>
      <c r="Y290" s="129">
        <v>0</v>
      </c>
      <c r="Z290" s="129">
        <v>0</v>
      </c>
      <c r="AA290" s="129">
        <v>22</v>
      </c>
      <c r="AB290" s="129">
        <v>2</v>
      </c>
      <c r="AC290" s="129">
        <v>0</v>
      </c>
      <c r="AD290" s="129">
        <v>0</v>
      </c>
      <c r="AE290" s="129">
        <v>0</v>
      </c>
      <c r="AF290" s="129">
        <v>2</v>
      </c>
      <c r="AG290" s="129">
        <v>0</v>
      </c>
      <c r="AH290" s="129">
        <v>0</v>
      </c>
      <c r="AI290" s="126">
        <v>0</v>
      </c>
      <c r="AJ290" s="131">
        <v>193</v>
      </c>
    </row>
    <row r="291" spans="1:36" x14ac:dyDescent="0.35">
      <c r="A291" s="127" t="s">
        <v>812</v>
      </c>
      <c r="B291" s="127" t="s">
        <v>813</v>
      </c>
      <c r="C291" s="129">
        <v>35</v>
      </c>
      <c r="D291" s="129">
        <v>0</v>
      </c>
      <c r="E291" s="129">
        <v>0</v>
      </c>
      <c r="F291" s="129">
        <v>0</v>
      </c>
      <c r="G291" s="129">
        <v>35</v>
      </c>
      <c r="H291" s="129">
        <v>4</v>
      </c>
      <c r="I291" s="129">
        <v>0</v>
      </c>
      <c r="J291" s="129">
        <v>0</v>
      </c>
      <c r="K291" s="129">
        <v>0</v>
      </c>
      <c r="L291" s="129">
        <v>4</v>
      </c>
      <c r="M291" s="129">
        <v>0</v>
      </c>
      <c r="N291" s="129">
        <v>0</v>
      </c>
      <c r="O291" s="129">
        <v>0</v>
      </c>
      <c r="P291" s="129">
        <v>0</v>
      </c>
      <c r="Q291" s="129">
        <v>0</v>
      </c>
      <c r="R291" s="129">
        <v>2</v>
      </c>
      <c r="S291" s="129">
        <v>0</v>
      </c>
      <c r="T291" s="129">
        <v>0</v>
      </c>
      <c r="U291" s="129">
        <v>0</v>
      </c>
      <c r="V291" s="129">
        <v>2</v>
      </c>
      <c r="W291" s="129">
        <v>5</v>
      </c>
      <c r="X291" s="129">
        <v>0</v>
      </c>
      <c r="Y291" s="129">
        <v>0</v>
      </c>
      <c r="Z291" s="129">
        <v>0</v>
      </c>
      <c r="AA291" s="129">
        <v>5</v>
      </c>
      <c r="AB291" s="129">
        <v>1</v>
      </c>
      <c r="AC291" s="129">
        <v>0</v>
      </c>
      <c r="AD291" s="129">
        <v>0</v>
      </c>
      <c r="AE291" s="129">
        <v>0</v>
      </c>
      <c r="AF291" s="129">
        <v>1</v>
      </c>
      <c r="AG291" s="129">
        <v>0</v>
      </c>
      <c r="AH291" s="129">
        <v>0</v>
      </c>
      <c r="AI291" s="126">
        <v>0</v>
      </c>
      <c r="AJ291" s="131">
        <v>47</v>
      </c>
    </row>
    <row r="292" spans="1:36" x14ac:dyDescent="0.35">
      <c r="A292" s="127" t="s">
        <v>814</v>
      </c>
      <c r="B292" s="127" t="s">
        <v>1236</v>
      </c>
      <c r="C292" s="129">
        <v>1215</v>
      </c>
      <c r="D292" s="129">
        <v>25</v>
      </c>
      <c r="E292" s="129">
        <v>5</v>
      </c>
      <c r="F292" s="129">
        <v>0</v>
      </c>
      <c r="G292" s="129">
        <v>1245</v>
      </c>
      <c r="H292" s="129">
        <v>10</v>
      </c>
      <c r="I292" s="129">
        <v>0</v>
      </c>
      <c r="J292" s="129">
        <v>0</v>
      </c>
      <c r="K292" s="129">
        <v>0</v>
      </c>
      <c r="L292" s="129">
        <v>10</v>
      </c>
      <c r="M292" s="129">
        <v>1</v>
      </c>
      <c r="N292" s="129">
        <v>0</v>
      </c>
      <c r="O292" s="129">
        <v>0</v>
      </c>
      <c r="P292" s="129">
        <v>0</v>
      </c>
      <c r="Q292" s="129">
        <v>1</v>
      </c>
      <c r="R292" s="129">
        <v>9</v>
      </c>
      <c r="S292" s="129">
        <v>0</v>
      </c>
      <c r="T292" s="129">
        <v>0</v>
      </c>
      <c r="U292" s="129">
        <v>0</v>
      </c>
      <c r="V292" s="129">
        <v>9</v>
      </c>
      <c r="W292" s="129">
        <v>185</v>
      </c>
      <c r="X292" s="129">
        <v>1</v>
      </c>
      <c r="Y292" s="129">
        <v>0</v>
      </c>
      <c r="Z292" s="129">
        <v>0</v>
      </c>
      <c r="AA292" s="129">
        <v>186</v>
      </c>
      <c r="AB292" s="129">
        <v>5</v>
      </c>
      <c r="AC292" s="129">
        <v>0</v>
      </c>
      <c r="AD292" s="129">
        <v>1</v>
      </c>
      <c r="AE292" s="129">
        <v>0</v>
      </c>
      <c r="AF292" s="129">
        <v>6</v>
      </c>
      <c r="AG292" s="129">
        <v>0</v>
      </c>
      <c r="AH292" s="129">
        <v>0</v>
      </c>
      <c r="AI292" s="126">
        <v>0</v>
      </c>
      <c r="AJ292" s="131">
        <v>1457</v>
      </c>
    </row>
    <row r="293" spans="1:36" x14ac:dyDescent="0.35">
      <c r="A293" s="127" t="s">
        <v>815</v>
      </c>
      <c r="B293" s="127" t="s">
        <v>816</v>
      </c>
      <c r="C293" s="129">
        <v>29</v>
      </c>
      <c r="D293" s="129">
        <v>0</v>
      </c>
      <c r="E293" s="129">
        <v>0</v>
      </c>
      <c r="F293" s="129">
        <v>0</v>
      </c>
      <c r="G293" s="129">
        <v>29</v>
      </c>
      <c r="H293" s="129">
        <v>1</v>
      </c>
      <c r="I293" s="129">
        <v>0</v>
      </c>
      <c r="J293" s="129">
        <v>0</v>
      </c>
      <c r="K293" s="129">
        <v>0</v>
      </c>
      <c r="L293" s="129">
        <v>1</v>
      </c>
      <c r="M293" s="129">
        <v>1</v>
      </c>
      <c r="N293" s="129">
        <v>0</v>
      </c>
      <c r="O293" s="129">
        <v>0</v>
      </c>
      <c r="P293" s="129">
        <v>0</v>
      </c>
      <c r="Q293" s="129">
        <v>1</v>
      </c>
      <c r="R293" s="129">
        <v>0</v>
      </c>
      <c r="S293" s="129">
        <v>0</v>
      </c>
      <c r="T293" s="129">
        <v>0</v>
      </c>
      <c r="U293" s="129">
        <v>0</v>
      </c>
      <c r="V293" s="129">
        <v>0</v>
      </c>
      <c r="W293" s="129">
        <v>2</v>
      </c>
      <c r="X293" s="129">
        <v>0</v>
      </c>
      <c r="Y293" s="129">
        <v>0</v>
      </c>
      <c r="Z293" s="129">
        <v>0</v>
      </c>
      <c r="AA293" s="129">
        <v>2</v>
      </c>
      <c r="AB293" s="129">
        <v>0</v>
      </c>
      <c r="AC293" s="129">
        <v>0</v>
      </c>
      <c r="AD293" s="129">
        <v>0</v>
      </c>
      <c r="AE293" s="129">
        <v>0</v>
      </c>
      <c r="AF293" s="129">
        <v>0</v>
      </c>
      <c r="AG293" s="129">
        <v>0</v>
      </c>
      <c r="AH293" s="129">
        <v>0</v>
      </c>
      <c r="AI293" s="126">
        <v>0</v>
      </c>
      <c r="AJ293" s="131">
        <v>33</v>
      </c>
    </row>
    <row r="294" spans="1:36" x14ac:dyDescent="0.35">
      <c r="A294" s="127" t="s">
        <v>817</v>
      </c>
      <c r="B294" s="127" t="s">
        <v>1237</v>
      </c>
      <c r="C294" s="129">
        <v>799</v>
      </c>
      <c r="D294" s="129">
        <v>36</v>
      </c>
      <c r="E294" s="129">
        <v>6</v>
      </c>
      <c r="F294" s="129">
        <v>1</v>
      </c>
      <c r="G294" s="129">
        <v>842</v>
      </c>
      <c r="H294" s="129">
        <v>18</v>
      </c>
      <c r="I294" s="129">
        <v>0</v>
      </c>
      <c r="J294" s="129">
        <v>0</v>
      </c>
      <c r="K294" s="129">
        <v>0</v>
      </c>
      <c r="L294" s="129">
        <v>18</v>
      </c>
      <c r="M294" s="129">
        <v>17</v>
      </c>
      <c r="N294" s="129">
        <v>0</v>
      </c>
      <c r="O294" s="129">
        <v>0</v>
      </c>
      <c r="P294" s="129">
        <v>0</v>
      </c>
      <c r="Q294" s="129">
        <v>17</v>
      </c>
      <c r="R294" s="129">
        <v>31</v>
      </c>
      <c r="S294" s="129">
        <v>0</v>
      </c>
      <c r="T294" s="129">
        <v>0</v>
      </c>
      <c r="U294" s="129">
        <v>0</v>
      </c>
      <c r="V294" s="129">
        <v>31</v>
      </c>
      <c r="W294" s="129">
        <v>132</v>
      </c>
      <c r="X294" s="129">
        <v>2</v>
      </c>
      <c r="Y294" s="129">
        <v>0</v>
      </c>
      <c r="Z294" s="129">
        <v>0</v>
      </c>
      <c r="AA294" s="129">
        <v>134</v>
      </c>
      <c r="AB294" s="129">
        <v>10</v>
      </c>
      <c r="AC294" s="129">
        <v>1</v>
      </c>
      <c r="AD294" s="129">
        <v>0</v>
      </c>
      <c r="AE294" s="129">
        <v>0</v>
      </c>
      <c r="AF294" s="129">
        <v>11</v>
      </c>
      <c r="AG294" s="129">
        <v>0</v>
      </c>
      <c r="AH294" s="129">
        <v>0</v>
      </c>
      <c r="AI294" s="126">
        <v>0</v>
      </c>
      <c r="AJ294" s="131">
        <v>1053</v>
      </c>
    </row>
    <row r="295" spans="1:36" x14ac:dyDescent="0.35">
      <c r="A295" s="127" t="s">
        <v>818</v>
      </c>
      <c r="B295" s="127" t="s">
        <v>819</v>
      </c>
      <c r="C295" s="129">
        <v>0</v>
      </c>
      <c r="D295" s="129">
        <v>1</v>
      </c>
      <c r="E295" s="129">
        <v>0</v>
      </c>
      <c r="F295" s="129">
        <v>0</v>
      </c>
      <c r="G295" s="129">
        <v>1</v>
      </c>
      <c r="H295" s="129">
        <v>0</v>
      </c>
      <c r="I295" s="129">
        <v>0</v>
      </c>
      <c r="J295" s="129">
        <v>0</v>
      </c>
      <c r="K295" s="129">
        <v>0</v>
      </c>
      <c r="L295" s="129">
        <v>0</v>
      </c>
      <c r="M295" s="129">
        <v>0</v>
      </c>
      <c r="N295" s="129">
        <v>0</v>
      </c>
      <c r="O295" s="129">
        <v>0</v>
      </c>
      <c r="P295" s="129">
        <v>0</v>
      </c>
      <c r="Q295" s="129">
        <v>0</v>
      </c>
      <c r="R295" s="129">
        <v>0</v>
      </c>
      <c r="S295" s="129">
        <v>0</v>
      </c>
      <c r="T295" s="129">
        <v>0</v>
      </c>
      <c r="U295" s="129">
        <v>0</v>
      </c>
      <c r="V295" s="129">
        <v>0</v>
      </c>
      <c r="W295" s="129">
        <v>0</v>
      </c>
      <c r="X295" s="129">
        <v>0</v>
      </c>
      <c r="Y295" s="129">
        <v>0</v>
      </c>
      <c r="Z295" s="129">
        <v>1</v>
      </c>
      <c r="AA295" s="129">
        <v>1</v>
      </c>
      <c r="AB295" s="129">
        <v>0</v>
      </c>
      <c r="AC295" s="129">
        <v>0</v>
      </c>
      <c r="AD295" s="129">
        <v>0</v>
      </c>
      <c r="AE295" s="129">
        <v>0</v>
      </c>
      <c r="AF295" s="129">
        <v>0</v>
      </c>
      <c r="AG295" s="129">
        <v>0</v>
      </c>
      <c r="AH295" s="129">
        <v>0</v>
      </c>
      <c r="AI295" s="126">
        <v>0</v>
      </c>
      <c r="AJ295" s="131">
        <v>2</v>
      </c>
    </row>
    <row r="296" spans="1:36" x14ac:dyDescent="0.35">
      <c r="A296" s="127" t="s">
        <v>820</v>
      </c>
      <c r="B296" s="127" t="s">
        <v>1238</v>
      </c>
      <c r="C296" s="129">
        <v>2</v>
      </c>
      <c r="D296" s="129">
        <v>1</v>
      </c>
      <c r="E296" s="129">
        <v>1</v>
      </c>
      <c r="F296" s="129">
        <v>0</v>
      </c>
      <c r="G296" s="129">
        <v>4</v>
      </c>
      <c r="H296" s="129">
        <v>0</v>
      </c>
      <c r="I296" s="129">
        <v>0</v>
      </c>
      <c r="J296" s="129">
        <v>0</v>
      </c>
      <c r="K296" s="129">
        <v>0</v>
      </c>
      <c r="L296" s="129">
        <v>0</v>
      </c>
      <c r="M296" s="129">
        <v>0</v>
      </c>
      <c r="N296" s="129">
        <v>0</v>
      </c>
      <c r="O296" s="129">
        <v>0</v>
      </c>
      <c r="P296" s="129">
        <v>0</v>
      </c>
      <c r="Q296" s="129">
        <v>0</v>
      </c>
      <c r="R296" s="129">
        <v>0</v>
      </c>
      <c r="S296" s="129">
        <v>0</v>
      </c>
      <c r="T296" s="129">
        <v>0</v>
      </c>
      <c r="U296" s="129">
        <v>0</v>
      </c>
      <c r="V296" s="129">
        <v>0</v>
      </c>
      <c r="W296" s="129">
        <v>0</v>
      </c>
      <c r="X296" s="129">
        <v>0</v>
      </c>
      <c r="Y296" s="129">
        <v>0</v>
      </c>
      <c r="Z296" s="129">
        <v>0</v>
      </c>
      <c r="AA296" s="129">
        <v>0</v>
      </c>
      <c r="AB296" s="129">
        <v>0</v>
      </c>
      <c r="AC296" s="129">
        <v>0</v>
      </c>
      <c r="AD296" s="129">
        <v>0</v>
      </c>
      <c r="AE296" s="129">
        <v>0</v>
      </c>
      <c r="AF296" s="129">
        <v>0</v>
      </c>
      <c r="AG296" s="129">
        <v>0</v>
      </c>
      <c r="AH296" s="129">
        <v>0</v>
      </c>
      <c r="AI296" s="126">
        <v>0</v>
      </c>
      <c r="AJ296" s="131">
        <v>4</v>
      </c>
    </row>
    <row r="297" spans="1:36" x14ac:dyDescent="0.35">
      <c r="A297" s="127" t="s">
        <v>821</v>
      </c>
      <c r="B297" s="127" t="s">
        <v>822</v>
      </c>
      <c r="C297" s="129">
        <v>300</v>
      </c>
      <c r="D297" s="129">
        <v>101</v>
      </c>
      <c r="E297" s="129">
        <v>21</v>
      </c>
      <c r="F297" s="129">
        <v>2</v>
      </c>
      <c r="G297" s="129">
        <v>424</v>
      </c>
      <c r="H297" s="129">
        <v>26</v>
      </c>
      <c r="I297" s="129">
        <v>4</v>
      </c>
      <c r="J297" s="129">
        <v>0</v>
      </c>
      <c r="K297" s="129">
        <v>0</v>
      </c>
      <c r="L297" s="129">
        <v>30</v>
      </c>
      <c r="M297" s="129">
        <v>12</v>
      </c>
      <c r="N297" s="129">
        <v>3</v>
      </c>
      <c r="O297" s="129">
        <v>0</v>
      </c>
      <c r="P297" s="129">
        <v>0</v>
      </c>
      <c r="Q297" s="129">
        <v>15</v>
      </c>
      <c r="R297" s="129">
        <v>8</v>
      </c>
      <c r="S297" s="129">
        <v>0</v>
      </c>
      <c r="T297" s="129">
        <v>0</v>
      </c>
      <c r="U297" s="129">
        <v>0</v>
      </c>
      <c r="V297" s="129">
        <v>8</v>
      </c>
      <c r="W297" s="129">
        <v>36</v>
      </c>
      <c r="X297" s="129">
        <v>4</v>
      </c>
      <c r="Y297" s="129">
        <v>3</v>
      </c>
      <c r="Z297" s="129">
        <v>0</v>
      </c>
      <c r="AA297" s="129">
        <v>43</v>
      </c>
      <c r="AB297" s="129">
        <v>13</v>
      </c>
      <c r="AC297" s="129">
        <v>1</v>
      </c>
      <c r="AD297" s="129">
        <v>0</v>
      </c>
      <c r="AE297" s="129">
        <v>0</v>
      </c>
      <c r="AF297" s="129">
        <v>14</v>
      </c>
      <c r="AG297" s="129">
        <v>0</v>
      </c>
      <c r="AH297" s="129">
        <v>0</v>
      </c>
      <c r="AI297" s="126">
        <v>0</v>
      </c>
      <c r="AJ297" s="131">
        <v>534</v>
      </c>
    </row>
    <row r="298" spans="1:36" x14ac:dyDescent="0.35">
      <c r="A298" s="127" t="s">
        <v>823</v>
      </c>
      <c r="B298" s="127" t="s">
        <v>824</v>
      </c>
      <c r="C298" s="129">
        <v>61</v>
      </c>
      <c r="D298" s="129">
        <v>8</v>
      </c>
      <c r="E298" s="129">
        <v>0</v>
      </c>
      <c r="F298" s="129">
        <v>0</v>
      </c>
      <c r="G298" s="129">
        <v>69</v>
      </c>
      <c r="H298" s="129">
        <v>9</v>
      </c>
      <c r="I298" s="129">
        <v>0</v>
      </c>
      <c r="J298" s="129">
        <v>0</v>
      </c>
      <c r="K298" s="129">
        <v>0</v>
      </c>
      <c r="L298" s="129">
        <v>9</v>
      </c>
      <c r="M298" s="129">
        <v>3</v>
      </c>
      <c r="N298" s="129">
        <v>0</v>
      </c>
      <c r="O298" s="129">
        <v>0</v>
      </c>
      <c r="P298" s="129">
        <v>0</v>
      </c>
      <c r="Q298" s="129">
        <v>3</v>
      </c>
      <c r="R298" s="129">
        <v>3</v>
      </c>
      <c r="S298" s="129">
        <v>1</v>
      </c>
      <c r="T298" s="129">
        <v>0</v>
      </c>
      <c r="U298" s="129">
        <v>0</v>
      </c>
      <c r="V298" s="129">
        <v>4</v>
      </c>
      <c r="W298" s="129">
        <v>15</v>
      </c>
      <c r="X298" s="129">
        <v>1</v>
      </c>
      <c r="Y298" s="129">
        <v>0</v>
      </c>
      <c r="Z298" s="129">
        <v>0</v>
      </c>
      <c r="AA298" s="129">
        <v>16</v>
      </c>
      <c r="AB298" s="129">
        <v>5</v>
      </c>
      <c r="AC298" s="129">
        <v>0</v>
      </c>
      <c r="AD298" s="129">
        <v>0</v>
      </c>
      <c r="AE298" s="129">
        <v>0</v>
      </c>
      <c r="AF298" s="129">
        <v>5</v>
      </c>
      <c r="AG298" s="129">
        <v>0</v>
      </c>
      <c r="AH298" s="129">
        <v>0</v>
      </c>
      <c r="AI298" s="126">
        <v>0</v>
      </c>
      <c r="AJ298" s="131">
        <v>106</v>
      </c>
    </row>
    <row r="299" spans="1:36" x14ac:dyDescent="0.35">
      <c r="A299" s="127" t="s">
        <v>825</v>
      </c>
      <c r="B299" s="127" t="s">
        <v>826</v>
      </c>
      <c r="C299" s="129">
        <v>734</v>
      </c>
      <c r="D299" s="129">
        <v>195</v>
      </c>
      <c r="E299" s="129">
        <v>37</v>
      </c>
      <c r="F299" s="129">
        <v>7</v>
      </c>
      <c r="G299" s="129">
        <v>973</v>
      </c>
      <c r="H299" s="129">
        <v>44</v>
      </c>
      <c r="I299" s="129">
        <v>5</v>
      </c>
      <c r="J299" s="129">
        <v>2</v>
      </c>
      <c r="K299" s="129">
        <v>0</v>
      </c>
      <c r="L299" s="129">
        <v>51</v>
      </c>
      <c r="M299" s="129">
        <v>50</v>
      </c>
      <c r="N299" s="129">
        <v>15</v>
      </c>
      <c r="O299" s="129">
        <v>2</v>
      </c>
      <c r="P299" s="129">
        <v>0</v>
      </c>
      <c r="Q299" s="129">
        <v>67</v>
      </c>
      <c r="R299" s="129">
        <v>16</v>
      </c>
      <c r="S299" s="129">
        <v>0</v>
      </c>
      <c r="T299" s="129">
        <v>0</v>
      </c>
      <c r="U299" s="129">
        <v>0</v>
      </c>
      <c r="V299" s="129">
        <v>16</v>
      </c>
      <c r="W299" s="129">
        <v>144</v>
      </c>
      <c r="X299" s="129">
        <v>32</v>
      </c>
      <c r="Y299" s="129">
        <v>7</v>
      </c>
      <c r="Z299" s="129">
        <v>1</v>
      </c>
      <c r="AA299" s="129">
        <v>184</v>
      </c>
      <c r="AB299" s="129">
        <v>21</v>
      </c>
      <c r="AC299" s="129">
        <v>2</v>
      </c>
      <c r="AD299" s="129">
        <v>0</v>
      </c>
      <c r="AE299" s="129">
        <v>0</v>
      </c>
      <c r="AF299" s="129">
        <v>23</v>
      </c>
      <c r="AG299" s="129">
        <v>0</v>
      </c>
      <c r="AH299" s="129">
        <v>0</v>
      </c>
      <c r="AI299" s="126">
        <v>0</v>
      </c>
      <c r="AJ299" s="131">
        <v>1314</v>
      </c>
    </row>
    <row r="300" spans="1:36" x14ac:dyDescent="0.35">
      <c r="A300" s="127" t="s">
        <v>827</v>
      </c>
      <c r="B300" s="127" t="s">
        <v>828</v>
      </c>
      <c r="C300" s="129">
        <v>6</v>
      </c>
      <c r="D300" s="129">
        <v>1</v>
      </c>
      <c r="E300" s="129">
        <v>0</v>
      </c>
      <c r="F300" s="129">
        <v>1</v>
      </c>
      <c r="G300" s="129">
        <v>8</v>
      </c>
      <c r="H300" s="129">
        <v>0</v>
      </c>
      <c r="I300" s="129">
        <v>0</v>
      </c>
      <c r="J300" s="129">
        <v>0</v>
      </c>
      <c r="K300" s="129">
        <v>0</v>
      </c>
      <c r="L300" s="129">
        <v>0</v>
      </c>
      <c r="M300" s="129">
        <v>0</v>
      </c>
      <c r="N300" s="129">
        <v>0</v>
      </c>
      <c r="O300" s="129">
        <v>0</v>
      </c>
      <c r="P300" s="129">
        <v>0</v>
      </c>
      <c r="Q300" s="129">
        <v>0</v>
      </c>
      <c r="R300" s="129">
        <v>0</v>
      </c>
      <c r="S300" s="129">
        <v>0</v>
      </c>
      <c r="T300" s="129">
        <v>0</v>
      </c>
      <c r="U300" s="129">
        <v>0</v>
      </c>
      <c r="V300" s="129">
        <v>0</v>
      </c>
      <c r="W300" s="129">
        <v>1</v>
      </c>
      <c r="X300" s="129">
        <v>0</v>
      </c>
      <c r="Y300" s="129">
        <v>0</v>
      </c>
      <c r="Z300" s="129">
        <v>0</v>
      </c>
      <c r="AA300" s="129">
        <v>1</v>
      </c>
      <c r="AB300" s="129">
        <v>0</v>
      </c>
      <c r="AC300" s="129">
        <v>0</v>
      </c>
      <c r="AD300" s="129">
        <v>0</v>
      </c>
      <c r="AE300" s="129">
        <v>0</v>
      </c>
      <c r="AF300" s="129">
        <v>0</v>
      </c>
      <c r="AG300" s="129">
        <v>0</v>
      </c>
      <c r="AH300" s="129">
        <v>0</v>
      </c>
      <c r="AI300" s="126">
        <v>0</v>
      </c>
      <c r="AJ300" s="131">
        <v>9</v>
      </c>
    </row>
    <row r="301" spans="1:36" x14ac:dyDescent="0.35">
      <c r="A301" s="127" t="s">
        <v>829</v>
      </c>
      <c r="B301" s="127" t="s">
        <v>1239</v>
      </c>
      <c r="C301" s="129">
        <v>7</v>
      </c>
      <c r="D301" s="129">
        <v>3</v>
      </c>
      <c r="E301" s="129">
        <v>0</v>
      </c>
      <c r="F301" s="129">
        <v>0</v>
      </c>
      <c r="G301" s="129">
        <v>10</v>
      </c>
      <c r="H301" s="129">
        <v>0</v>
      </c>
      <c r="I301" s="129">
        <v>0</v>
      </c>
      <c r="J301" s="129">
        <v>0</v>
      </c>
      <c r="K301" s="129">
        <v>0</v>
      </c>
      <c r="L301" s="129">
        <v>0</v>
      </c>
      <c r="M301" s="129">
        <v>1</v>
      </c>
      <c r="N301" s="129">
        <v>0</v>
      </c>
      <c r="O301" s="129">
        <v>0</v>
      </c>
      <c r="P301" s="129">
        <v>0</v>
      </c>
      <c r="Q301" s="129">
        <v>1</v>
      </c>
      <c r="R301" s="129">
        <v>0</v>
      </c>
      <c r="S301" s="129">
        <v>0</v>
      </c>
      <c r="T301" s="129">
        <v>0</v>
      </c>
      <c r="U301" s="129">
        <v>0</v>
      </c>
      <c r="V301" s="129">
        <v>0</v>
      </c>
      <c r="W301" s="129">
        <v>0</v>
      </c>
      <c r="X301" s="129">
        <v>0</v>
      </c>
      <c r="Y301" s="129">
        <v>0</v>
      </c>
      <c r="Z301" s="129">
        <v>0</v>
      </c>
      <c r="AA301" s="129">
        <v>0</v>
      </c>
      <c r="AB301" s="129">
        <v>0</v>
      </c>
      <c r="AC301" s="129">
        <v>0</v>
      </c>
      <c r="AD301" s="129">
        <v>0</v>
      </c>
      <c r="AE301" s="129">
        <v>0</v>
      </c>
      <c r="AF301" s="129">
        <v>0</v>
      </c>
      <c r="AG301" s="129">
        <v>0</v>
      </c>
      <c r="AH301" s="129">
        <v>0</v>
      </c>
      <c r="AI301" s="126">
        <v>0</v>
      </c>
      <c r="AJ301" s="131">
        <v>11</v>
      </c>
    </row>
    <row r="302" spans="1:36" x14ac:dyDescent="0.35">
      <c r="A302" s="127" t="s">
        <v>830</v>
      </c>
      <c r="B302" s="127" t="s">
        <v>1240</v>
      </c>
      <c r="C302" s="129">
        <v>4</v>
      </c>
      <c r="D302" s="129">
        <v>1</v>
      </c>
      <c r="E302" s="129">
        <v>0</v>
      </c>
      <c r="F302" s="129">
        <v>0</v>
      </c>
      <c r="G302" s="129">
        <v>5</v>
      </c>
      <c r="H302" s="129">
        <v>0</v>
      </c>
      <c r="I302" s="129">
        <v>0</v>
      </c>
      <c r="J302" s="129">
        <v>0</v>
      </c>
      <c r="K302" s="129">
        <v>0</v>
      </c>
      <c r="L302" s="129">
        <v>0</v>
      </c>
      <c r="M302" s="129">
        <v>0</v>
      </c>
      <c r="N302" s="129">
        <v>0</v>
      </c>
      <c r="O302" s="129">
        <v>0</v>
      </c>
      <c r="P302" s="129">
        <v>0</v>
      </c>
      <c r="Q302" s="129">
        <v>0</v>
      </c>
      <c r="R302" s="129">
        <v>0</v>
      </c>
      <c r="S302" s="129">
        <v>0</v>
      </c>
      <c r="T302" s="129">
        <v>0</v>
      </c>
      <c r="U302" s="129">
        <v>0</v>
      </c>
      <c r="V302" s="129">
        <v>0</v>
      </c>
      <c r="W302" s="129">
        <v>0</v>
      </c>
      <c r="X302" s="129">
        <v>0</v>
      </c>
      <c r="Y302" s="129">
        <v>0</v>
      </c>
      <c r="Z302" s="129">
        <v>0</v>
      </c>
      <c r="AA302" s="129">
        <v>0</v>
      </c>
      <c r="AB302" s="129">
        <v>0</v>
      </c>
      <c r="AC302" s="129">
        <v>0</v>
      </c>
      <c r="AD302" s="129">
        <v>0</v>
      </c>
      <c r="AE302" s="129">
        <v>0</v>
      </c>
      <c r="AF302" s="129">
        <v>0</v>
      </c>
      <c r="AG302" s="129">
        <v>0</v>
      </c>
      <c r="AH302" s="129">
        <v>0</v>
      </c>
      <c r="AI302" s="126">
        <v>0</v>
      </c>
      <c r="AJ302" s="131">
        <v>5</v>
      </c>
    </row>
    <row r="303" spans="1:36" x14ac:dyDescent="0.35">
      <c r="A303" s="127" t="s">
        <v>831</v>
      </c>
      <c r="B303" s="127" t="s">
        <v>832</v>
      </c>
      <c r="C303" s="129">
        <v>1</v>
      </c>
      <c r="D303" s="129">
        <v>0</v>
      </c>
      <c r="E303" s="129">
        <v>0</v>
      </c>
      <c r="F303" s="129">
        <v>0</v>
      </c>
      <c r="G303" s="129">
        <v>1</v>
      </c>
      <c r="H303" s="129">
        <v>0</v>
      </c>
      <c r="I303" s="129">
        <v>0</v>
      </c>
      <c r="J303" s="129">
        <v>0</v>
      </c>
      <c r="K303" s="129">
        <v>0</v>
      </c>
      <c r="L303" s="129">
        <v>0</v>
      </c>
      <c r="M303" s="129">
        <v>2</v>
      </c>
      <c r="N303" s="129">
        <v>0</v>
      </c>
      <c r="O303" s="129">
        <v>0</v>
      </c>
      <c r="P303" s="129">
        <v>0</v>
      </c>
      <c r="Q303" s="129">
        <v>2</v>
      </c>
      <c r="R303" s="129">
        <v>0</v>
      </c>
      <c r="S303" s="129">
        <v>0</v>
      </c>
      <c r="T303" s="129">
        <v>0</v>
      </c>
      <c r="U303" s="129">
        <v>0</v>
      </c>
      <c r="V303" s="129">
        <v>0</v>
      </c>
      <c r="W303" s="129">
        <v>0</v>
      </c>
      <c r="X303" s="129">
        <v>0</v>
      </c>
      <c r="Y303" s="129">
        <v>0</v>
      </c>
      <c r="Z303" s="129">
        <v>0</v>
      </c>
      <c r="AA303" s="129">
        <v>0</v>
      </c>
      <c r="AB303" s="129">
        <v>6</v>
      </c>
      <c r="AC303" s="129">
        <v>0</v>
      </c>
      <c r="AD303" s="129">
        <v>0</v>
      </c>
      <c r="AE303" s="129">
        <v>0</v>
      </c>
      <c r="AF303" s="129">
        <v>6</v>
      </c>
      <c r="AG303" s="129">
        <v>0</v>
      </c>
      <c r="AH303" s="129">
        <v>0</v>
      </c>
      <c r="AI303" s="126">
        <v>0</v>
      </c>
      <c r="AJ303" s="131">
        <v>9</v>
      </c>
    </row>
    <row r="304" spans="1:36" x14ac:dyDescent="0.35">
      <c r="A304" s="127" t="s">
        <v>833</v>
      </c>
      <c r="B304" s="127" t="s">
        <v>834</v>
      </c>
      <c r="C304" s="129">
        <v>0</v>
      </c>
      <c r="D304" s="129">
        <v>0</v>
      </c>
      <c r="E304" s="129">
        <v>0</v>
      </c>
      <c r="F304" s="129">
        <v>0</v>
      </c>
      <c r="G304" s="129">
        <v>0</v>
      </c>
      <c r="H304" s="129">
        <v>0</v>
      </c>
      <c r="I304" s="129">
        <v>0</v>
      </c>
      <c r="J304" s="129">
        <v>0</v>
      </c>
      <c r="K304" s="129">
        <v>0</v>
      </c>
      <c r="L304" s="129">
        <v>0</v>
      </c>
      <c r="M304" s="129">
        <v>0</v>
      </c>
      <c r="N304" s="129">
        <v>0</v>
      </c>
      <c r="O304" s="129">
        <v>0</v>
      </c>
      <c r="P304" s="129">
        <v>0</v>
      </c>
      <c r="Q304" s="129">
        <v>0</v>
      </c>
      <c r="R304" s="129">
        <v>1</v>
      </c>
      <c r="S304" s="129">
        <v>0</v>
      </c>
      <c r="T304" s="129">
        <v>0</v>
      </c>
      <c r="U304" s="129">
        <v>0</v>
      </c>
      <c r="V304" s="129">
        <v>1</v>
      </c>
      <c r="W304" s="129">
        <v>0</v>
      </c>
      <c r="X304" s="129">
        <v>0</v>
      </c>
      <c r="Y304" s="129">
        <v>0</v>
      </c>
      <c r="Z304" s="129">
        <v>0</v>
      </c>
      <c r="AA304" s="129">
        <v>0</v>
      </c>
      <c r="AB304" s="129">
        <v>0</v>
      </c>
      <c r="AC304" s="129">
        <v>0</v>
      </c>
      <c r="AD304" s="129">
        <v>0</v>
      </c>
      <c r="AE304" s="129">
        <v>0</v>
      </c>
      <c r="AF304" s="129">
        <v>0</v>
      </c>
      <c r="AG304" s="129">
        <v>0</v>
      </c>
      <c r="AH304" s="129">
        <v>0</v>
      </c>
      <c r="AI304" s="126">
        <v>0</v>
      </c>
      <c r="AJ304" s="131">
        <v>1</v>
      </c>
    </row>
    <row r="305" spans="1:36" x14ac:dyDescent="0.35">
      <c r="A305" s="127" t="s">
        <v>835</v>
      </c>
      <c r="B305" s="127" t="s">
        <v>1241</v>
      </c>
      <c r="C305" s="129">
        <v>7</v>
      </c>
      <c r="D305" s="129">
        <v>7</v>
      </c>
      <c r="E305" s="129">
        <v>2</v>
      </c>
      <c r="F305" s="129">
        <v>0</v>
      </c>
      <c r="G305" s="129">
        <v>16</v>
      </c>
      <c r="H305" s="129">
        <v>0</v>
      </c>
      <c r="I305" s="129">
        <v>0</v>
      </c>
      <c r="J305" s="129">
        <v>0</v>
      </c>
      <c r="K305" s="129">
        <v>0</v>
      </c>
      <c r="L305" s="129">
        <v>0</v>
      </c>
      <c r="M305" s="129">
        <v>0</v>
      </c>
      <c r="N305" s="129">
        <v>0</v>
      </c>
      <c r="O305" s="129">
        <v>0</v>
      </c>
      <c r="P305" s="129">
        <v>0</v>
      </c>
      <c r="Q305" s="129">
        <v>0</v>
      </c>
      <c r="R305" s="129">
        <v>0</v>
      </c>
      <c r="S305" s="129">
        <v>0</v>
      </c>
      <c r="T305" s="129">
        <v>0</v>
      </c>
      <c r="U305" s="129">
        <v>0</v>
      </c>
      <c r="V305" s="129">
        <v>0</v>
      </c>
      <c r="W305" s="129">
        <v>0</v>
      </c>
      <c r="X305" s="129">
        <v>0</v>
      </c>
      <c r="Y305" s="129">
        <v>0</v>
      </c>
      <c r="Z305" s="129">
        <v>0</v>
      </c>
      <c r="AA305" s="129">
        <v>0</v>
      </c>
      <c r="AB305" s="129">
        <v>0</v>
      </c>
      <c r="AC305" s="129">
        <v>0</v>
      </c>
      <c r="AD305" s="129">
        <v>0</v>
      </c>
      <c r="AE305" s="129">
        <v>0</v>
      </c>
      <c r="AF305" s="129">
        <v>0</v>
      </c>
      <c r="AG305" s="129">
        <v>0</v>
      </c>
      <c r="AH305" s="129">
        <v>0</v>
      </c>
      <c r="AI305" s="126">
        <v>0</v>
      </c>
      <c r="AJ305" s="131">
        <v>16</v>
      </c>
    </row>
    <row r="306" spans="1:36" x14ac:dyDescent="0.35">
      <c r="A306" s="127" t="s">
        <v>836</v>
      </c>
      <c r="B306" s="127" t="s">
        <v>1242</v>
      </c>
      <c r="C306" s="129">
        <v>0</v>
      </c>
      <c r="D306" s="129">
        <v>0</v>
      </c>
      <c r="E306" s="129">
        <v>0</v>
      </c>
      <c r="F306" s="129">
        <v>0</v>
      </c>
      <c r="G306" s="129">
        <v>0</v>
      </c>
      <c r="H306" s="129">
        <v>0</v>
      </c>
      <c r="I306" s="129">
        <v>0</v>
      </c>
      <c r="J306" s="129">
        <v>0</v>
      </c>
      <c r="K306" s="129">
        <v>0</v>
      </c>
      <c r="L306" s="129">
        <v>0</v>
      </c>
      <c r="M306" s="129">
        <v>1</v>
      </c>
      <c r="N306" s="129">
        <v>0</v>
      </c>
      <c r="O306" s="129">
        <v>0</v>
      </c>
      <c r="P306" s="129">
        <v>0</v>
      </c>
      <c r="Q306" s="129">
        <v>1</v>
      </c>
      <c r="R306" s="129">
        <v>0</v>
      </c>
      <c r="S306" s="129">
        <v>0</v>
      </c>
      <c r="T306" s="129">
        <v>0</v>
      </c>
      <c r="U306" s="129">
        <v>0</v>
      </c>
      <c r="V306" s="129">
        <v>0</v>
      </c>
      <c r="W306" s="129">
        <v>0</v>
      </c>
      <c r="X306" s="129">
        <v>0</v>
      </c>
      <c r="Y306" s="129">
        <v>0</v>
      </c>
      <c r="Z306" s="129">
        <v>0</v>
      </c>
      <c r="AA306" s="129">
        <v>0</v>
      </c>
      <c r="AB306" s="129">
        <v>0</v>
      </c>
      <c r="AC306" s="129">
        <v>0</v>
      </c>
      <c r="AD306" s="129">
        <v>0</v>
      </c>
      <c r="AE306" s="129">
        <v>0</v>
      </c>
      <c r="AF306" s="129">
        <v>0</v>
      </c>
      <c r="AG306" s="129">
        <v>0</v>
      </c>
      <c r="AH306" s="129">
        <v>0</v>
      </c>
      <c r="AI306" s="126">
        <v>0</v>
      </c>
      <c r="AJ306" s="131">
        <v>1</v>
      </c>
    </row>
    <row r="307" spans="1:36" x14ac:dyDescent="0.35">
      <c r="A307" s="127" t="s">
        <v>837</v>
      </c>
      <c r="B307" s="127" t="s">
        <v>1243</v>
      </c>
      <c r="C307" s="129">
        <v>8</v>
      </c>
      <c r="D307" s="129">
        <v>7</v>
      </c>
      <c r="E307" s="129">
        <v>3</v>
      </c>
      <c r="F307" s="129">
        <v>0</v>
      </c>
      <c r="G307" s="129">
        <v>18</v>
      </c>
      <c r="H307" s="129">
        <v>0</v>
      </c>
      <c r="I307" s="129">
        <v>0</v>
      </c>
      <c r="J307" s="129">
        <v>0</v>
      </c>
      <c r="K307" s="129">
        <v>0</v>
      </c>
      <c r="L307" s="129">
        <v>0</v>
      </c>
      <c r="M307" s="129">
        <v>0</v>
      </c>
      <c r="N307" s="129">
        <v>0</v>
      </c>
      <c r="O307" s="129">
        <v>0</v>
      </c>
      <c r="P307" s="129">
        <v>0</v>
      </c>
      <c r="Q307" s="129">
        <v>0</v>
      </c>
      <c r="R307" s="129">
        <v>0</v>
      </c>
      <c r="S307" s="129">
        <v>0</v>
      </c>
      <c r="T307" s="129">
        <v>0</v>
      </c>
      <c r="U307" s="129">
        <v>0</v>
      </c>
      <c r="V307" s="129">
        <v>0</v>
      </c>
      <c r="W307" s="129">
        <v>0</v>
      </c>
      <c r="X307" s="129">
        <v>0</v>
      </c>
      <c r="Y307" s="129">
        <v>0</v>
      </c>
      <c r="Z307" s="129">
        <v>0</v>
      </c>
      <c r="AA307" s="129">
        <v>0</v>
      </c>
      <c r="AB307" s="129">
        <v>0</v>
      </c>
      <c r="AC307" s="129">
        <v>0</v>
      </c>
      <c r="AD307" s="129">
        <v>0</v>
      </c>
      <c r="AE307" s="129">
        <v>0</v>
      </c>
      <c r="AF307" s="129">
        <v>0</v>
      </c>
      <c r="AG307" s="129">
        <v>0</v>
      </c>
      <c r="AH307" s="129">
        <v>0</v>
      </c>
      <c r="AI307" s="126">
        <v>0</v>
      </c>
      <c r="AJ307" s="131">
        <v>18</v>
      </c>
    </row>
    <row r="308" spans="1:36" x14ac:dyDescent="0.35">
      <c r="A308" s="127" t="s">
        <v>838</v>
      </c>
      <c r="B308" s="127" t="s">
        <v>1244</v>
      </c>
      <c r="C308" s="129">
        <v>0</v>
      </c>
      <c r="D308" s="129">
        <v>0</v>
      </c>
      <c r="E308" s="129">
        <v>0</v>
      </c>
      <c r="F308" s="129">
        <v>0</v>
      </c>
      <c r="G308" s="129">
        <v>0</v>
      </c>
      <c r="H308" s="129">
        <v>0</v>
      </c>
      <c r="I308" s="129">
        <v>0</v>
      </c>
      <c r="J308" s="129">
        <v>0</v>
      </c>
      <c r="K308" s="129">
        <v>0</v>
      </c>
      <c r="L308" s="129">
        <v>0</v>
      </c>
      <c r="M308" s="129">
        <v>2</v>
      </c>
      <c r="N308" s="129">
        <v>0</v>
      </c>
      <c r="O308" s="129">
        <v>0</v>
      </c>
      <c r="P308" s="129">
        <v>0</v>
      </c>
      <c r="Q308" s="129">
        <v>2</v>
      </c>
      <c r="R308" s="129">
        <v>0</v>
      </c>
      <c r="S308" s="129">
        <v>0</v>
      </c>
      <c r="T308" s="129">
        <v>0</v>
      </c>
      <c r="U308" s="129">
        <v>0</v>
      </c>
      <c r="V308" s="129">
        <v>0</v>
      </c>
      <c r="W308" s="129">
        <v>0</v>
      </c>
      <c r="X308" s="129">
        <v>0</v>
      </c>
      <c r="Y308" s="129">
        <v>0</v>
      </c>
      <c r="Z308" s="129">
        <v>0</v>
      </c>
      <c r="AA308" s="129">
        <v>0</v>
      </c>
      <c r="AB308" s="129">
        <v>0</v>
      </c>
      <c r="AC308" s="129">
        <v>0</v>
      </c>
      <c r="AD308" s="129">
        <v>0</v>
      </c>
      <c r="AE308" s="129">
        <v>0</v>
      </c>
      <c r="AF308" s="129">
        <v>0</v>
      </c>
      <c r="AG308" s="129">
        <v>0</v>
      </c>
      <c r="AH308" s="129">
        <v>0</v>
      </c>
      <c r="AI308" s="126">
        <v>0</v>
      </c>
      <c r="AJ308" s="131">
        <v>2</v>
      </c>
    </row>
    <row r="309" spans="1:36" x14ac:dyDescent="0.35">
      <c r="A309" s="127" t="s">
        <v>839</v>
      </c>
      <c r="B309" s="127" t="s">
        <v>840</v>
      </c>
      <c r="C309" s="129">
        <v>37</v>
      </c>
      <c r="D309" s="129">
        <v>1</v>
      </c>
      <c r="E309" s="129">
        <v>1</v>
      </c>
      <c r="F309" s="129">
        <v>1</v>
      </c>
      <c r="G309" s="129">
        <v>40</v>
      </c>
      <c r="H309" s="129">
        <v>2</v>
      </c>
      <c r="I309" s="129">
        <v>0</v>
      </c>
      <c r="J309" s="129">
        <v>0</v>
      </c>
      <c r="K309" s="129">
        <v>0</v>
      </c>
      <c r="L309" s="129">
        <v>2</v>
      </c>
      <c r="M309" s="129">
        <v>1</v>
      </c>
      <c r="N309" s="129">
        <v>0</v>
      </c>
      <c r="O309" s="129">
        <v>0</v>
      </c>
      <c r="P309" s="129">
        <v>0</v>
      </c>
      <c r="Q309" s="129">
        <v>1</v>
      </c>
      <c r="R309" s="129">
        <v>2</v>
      </c>
      <c r="S309" s="129">
        <v>0</v>
      </c>
      <c r="T309" s="129">
        <v>0</v>
      </c>
      <c r="U309" s="129">
        <v>0</v>
      </c>
      <c r="V309" s="129">
        <v>2</v>
      </c>
      <c r="W309" s="129">
        <v>5</v>
      </c>
      <c r="X309" s="129">
        <v>1</v>
      </c>
      <c r="Y309" s="129">
        <v>0</v>
      </c>
      <c r="Z309" s="129">
        <v>0</v>
      </c>
      <c r="AA309" s="129">
        <v>6</v>
      </c>
      <c r="AB309" s="129">
        <v>0</v>
      </c>
      <c r="AC309" s="129">
        <v>0</v>
      </c>
      <c r="AD309" s="129">
        <v>0</v>
      </c>
      <c r="AE309" s="129">
        <v>0</v>
      </c>
      <c r="AF309" s="129">
        <v>0</v>
      </c>
      <c r="AG309" s="129">
        <v>0</v>
      </c>
      <c r="AH309" s="129">
        <v>0</v>
      </c>
      <c r="AI309" s="126">
        <v>0</v>
      </c>
      <c r="AJ309" s="131">
        <v>51</v>
      </c>
    </row>
    <row r="310" spans="1:36" x14ac:dyDescent="0.35">
      <c r="A310" s="127" t="s">
        <v>841</v>
      </c>
      <c r="B310" s="127" t="s">
        <v>842</v>
      </c>
      <c r="C310" s="129">
        <v>399</v>
      </c>
      <c r="D310" s="129">
        <v>19</v>
      </c>
      <c r="E310" s="129">
        <v>5</v>
      </c>
      <c r="F310" s="129">
        <v>1</v>
      </c>
      <c r="G310" s="129">
        <v>424</v>
      </c>
      <c r="H310" s="129">
        <v>81</v>
      </c>
      <c r="I310" s="129">
        <v>0</v>
      </c>
      <c r="J310" s="129">
        <v>0</v>
      </c>
      <c r="K310" s="129">
        <v>0</v>
      </c>
      <c r="L310" s="129">
        <v>81</v>
      </c>
      <c r="M310" s="129">
        <v>63</v>
      </c>
      <c r="N310" s="129">
        <v>0</v>
      </c>
      <c r="O310" s="129">
        <v>1</v>
      </c>
      <c r="P310" s="129">
        <v>0</v>
      </c>
      <c r="Q310" s="129">
        <v>64</v>
      </c>
      <c r="R310" s="129">
        <v>12</v>
      </c>
      <c r="S310" s="129">
        <v>1</v>
      </c>
      <c r="T310" s="129">
        <v>0</v>
      </c>
      <c r="U310" s="129">
        <v>0</v>
      </c>
      <c r="V310" s="129">
        <v>13</v>
      </c>
      <c r="W310" s="129">
        <v>93</v>
      </c>
      <c r="X310" s="129">
        <v>1</v>
      </c>
      <c r="Y310" s="129">
        <v>0</v>
      </c>
      <c r="Z310" s="129">
        <v>0</v>
      </c>
      <c r="AA310" s="129">
        <v>94</v>
      </c>
      <c r="AB310" s="129">
        <v>32</v>
      </c>
      <c r="AC310" s="129">
        <v>0</v>
      </c>
      <c r="AD310" s="129">
        <v>0</v>
      </c>
      <c r="AE310" s="129">
        <v>0</v>
      </c>
      <c r="AF310" s="129">
        <v>32</v>
      </c>
      <c r="AG310" s="129">
        <v>0</v>
      </c>
      <c r="AH310" s="129">
        <v>0</v>
      </c>
      <c r="AI310" s="126">
        <v>0</v>
      </c>
      <c r="AJ310" s="131">
        <v>708</v>
      </c>
    </row>
    <row r="311" spans="1:36" x14ac:dyDescent="0.35">
      <c r="A311" s="127" t="s">
        <v>843</v>
      </c>
      <c r="B311" s="127" t="s">
        <v>844</v>
      </c>
      <c r="C311" s="129">
        <v>5</v>
      </c>
      <c r="D311" s="129">
        <v>2</v>
      </c>
      <c r="E311" s="129">
        <v>0</v>
      </c>
      <c r="F311" s="129">
        <v>0</v>
      </c>
      <c r="G311" s="129">
        <v>7</v>
      </c>
      <c r="H311" s="129">
        <v>0</v>
      </c>
      <c r="I311" s="129">
        <v>0</v>
      </c>
      <c r="J311" s="129">
        <v>0</v>
      </c>
      <c r="K311" s="129">
        <v>0</v>
      </c>
      <c r="L311" s="129">
        <v>0</v>
      </c>
      <c r="M311" s="129">
        <v>0</v>
      </c>
      <c r="N311" s="129">
        <v>0</v>
      </c>
      <c r="O311" s="129">
        <v>0</v>
      </c>
      <c r="P311" s="129">
        <v>0</v>
      </c>
      <c r="Q311" s="129">
        <v>0</v>
      </c>
      <c r="R311" s="129">
        <v>0</v>
      </c>
      <c r="S311" s="129">
        <v>0</v>
      </c>
      <c r="T311" s="129">
        <v>0</v>
      </c>
      <c r="U311" s="129">
        <v>0</v>
      </c>
      <c r="V311" s="129">
        <v>0</v>
      </c>
      <c r="W311" s="129">
        <v>0</v>
      </c>
      <c r="X311" s="129">
        <v>0</v>
      </c>
      <c r="Y311" s="129">
        <v>0</v>
      </c>
      <c r="Z311" s="129">
        <v>0</v>
      </c>
      <c r="AA311" s="129">
        <v>0</v>
      </c>
      <c r="AB311" s="129">
        <v>0</v>
      </c>
      <c r="AC311" s="129">
        <v>0</v>
      </c>
      <c r="AD311" s="129">
        <v>0</v>
      </c>
      <c r="AE311" s="129">
        <v>0</v>
      </c>
      <c r="AF311" s="129">
        <v>0</v>
      </c>
      <c r="AG311" s="129">
        <v>0</v>
      </c>
      <c r="AH311" s="129">
        <v>0</v>
      </c>
      <c r="AI311" s="126">
        <v>0</v>
      </c>
      <c r="AJ311" s="131">
        <v>7</v>
      </c>
    </row>
    <row r="312" spans="1:36" x14ac:dyDescent="0.35">
      <c r="A312" s="127" t="s">
        <v>845</v>
      </c>
      <c r="B312" s="127" t="s">
        <v>846</v>
      </c>
      <c r="C312" s="129">
        <v>3</v>
      </c>
      <c r="D312" s="129">
        <v>1</v>
      </c>
      <c r="E312" s="129">
        <v>0</v>
      </c>
      <c r="F312" s="129">
        <v>2</v>
      </c>
      <c r="G312" s="129">
        <v>6</v>
      </c>
      <c r="H312" s="129">
        <v>0</v>
      </c>
      <c r="I312" s="129">
        <v>0</v>
      </c>
      <c r="J312" s="129">
        <v>0</v>
      </c>
      <c r="K312" s="129">
        <v>0</v>
      </c>
      <c r="L312" s="129">
        <v>0</v>
      </c>
      <c r="M312" s="129">
        <v>0</v>
      </c>
      <c r="N312" s="129">
        <v>0</v>
      </c>
      <c r="O312" s="129">
        <v>0</v>
      </c>
      <c r="P312" s="129">
        <v>0</v>
      </c>
      <c r="Q312" s="129">
        <v>0</v>
      </c>
      <c r="R312" s="129">
        <v>0</v>
      </c>
      <c r="S312" s="129">
        <v>0</v>
      </c>
      <c r="T312" s="129">
        <v>0</v>
      </c>
      <c r="U312" s="129">
        <v>0</v>
      </c>
      <c r="V312" s="129">
        <v>0</v>
      </c>
      <c r="W312" s="129">
        <v>2</v>
      </c>
      <c r="X312" s="129">
        <v>0</v>
      </c>
      <c r="Y312" s="129">
        <v>0</v>
      </c>
      <c r="Z312" s="129">
        <v>0</v>
      </c>
      <c r="AA312" s="129">
        <v>2</v>
      </c>
      <c r="AB312" s="129">
        <v>0</v>
      </c>
      <c r="AC312" s="129">
        <v>0</v>
      </c>
      <c r="AD312" s="129">
        <v>0</v>
      </c>
      <c r="AE312" s="129">
        <v>0</v>
      </c>
      <c r="AF312" s="129">
        <v>0</v>
      </c>
      <c r="AG312" s="129">
        <v>0</v>
      </c>
      <c r="AH312" s="129">
        <v>0</v>
      </c>
      <c r="AI312" s="126">
        <v>0</v>
      </c>
      <c r="AJ312" s="131">
        <v>8</v>
      </c>
    </row>
    <row r="313" spans="1:36" x14ac:dyDescent="0.35">
      <c r="A313" s="127" t="s">
        <v>847</v>
      </c>
      <c r="B313" s="127" t="s">
        <v>848</v>
      </c>
      <c r="C313" s="129">
        <v>32</v>
      </c>
      <c r="D313" s="129">
        <v>8</v>
      </c>
      <c r="E313" s="129">
        <v>3</v>
      </c>
      <c r="F313" s="129">
        <v>0</v>
      </c>
      <c r="G313" s="129">
        <v>43</v>
      </c>
      <c r="H313" s="129">
        <v>0</v>
      </c>
      <c r="I313" s="129">
        <v>0</v>
      </c>
      <c r="J313" s="129">
        <v>0</v>
      </c>
      <c r="K313" s="129">
        <v>0</v>
      </c>
      <c r="L313" s="129">
        <v>0</v>
      </c>
      <c r="M313" s="129">
        <v>1</v>
      </c>
      <c r="N313" s="129">
        <v>0</v>
      </c>
      <c r="O313" s="129">
        <v>0</v>
      </c>
      <c r="P313" s="129">
        <v>0</v>
      </c>
      <c r="Q313" s="129">
        <v>1</v>
      </c>
      <c r="R313" s="129">
        <v>0</v>
      </c>
      <c r="S313" s="129">
        <v>0</v>
      </c>
      <c r="T313" s="129">
        <v>0</v>
      </c>
      <c r="U313" s="129">
        <v>0</v>
      </c>
      <c r="V313" s="129">
        <v>0</v>
      </c>
      <c r="W313" s="129">
        <v>12</v>
      </c>
      <c r="X313" s="129">
        <v>2</v>
      </c>
      <c r="Y313" s="129">
        <v>0</v>
      </c>
      <c r="Z313" s="129">
        <v>0</v>
      </c>
      <c r="AA313" s="129">
        <v>14</v>
      </c>
      <c r="AB313" s="129">
        <v>0</v>
      </c>
      <c r="AC313" s="129">
        <v>0</v>
      </c>
      <c r="AD313" s="129">
        <v>0</v>
      </c>
      <c r="AE313" s="129">
        <v>0</v>
      </c>
      <c r="AF313" s="129">
        <v>0</v>
      </c>
      <c r="AG313" s="129">
        <v>0</v>
      </c>
      <c r="AH313" s="129">
        <v>0</v>
      </c>
      <c r="AI313" s="126">
        <v>0</v>
      </c>
      <c r="AJ313" s="131">
        <v>58</v>
      </c>
    </row>
    <row r="314" spans="1:36" x14ac:dyDescent="0.35">
      <c r="A314" s="127" t="s">
        <v>849</v>
      </c>
      <c r="B314" s="127" t="s">
        <v>850</v>
      </c>
      <c r="C314" s="129">
        <v>183</v>
      </c>
      <c r="D314" s="129">
        <v>80</v>
      </c>
      <c r="E314" s="129">
        <v>16</v>
      </c>
      <c r="F314" s="129">
        <v>3</v>
      </c>
      <c r="G314" s="129">
        <v>282</v>
      </c>
      <c r="H314" s="129">
        <v>10</v>
      </c>
      <c r="I314" s="129">
        <v>1</v>
      </c>
      <c r="J314" s="129">
        <v>0</v>
      </c>
      <c r="K314" s="129">
        <v>0</v>
      </c>
      <c r="L314" s="129">
        <v>11</v>
      </c>
      <c r="M314" s="129">
        <v>5</v>
      </c>
      <c r="N314" s="129">
        <v>0</v>
      </c>
      <c r="O314" s="129">
        <v>0</v>
      </c>
      <c r="P314" s="129">
        <v>0</v>
      </c>
      <c r="Q314" s="129">
        <v>5</v>
      </c>
      <c r="R314" s="129">
        <v>6</v>
      </c>
      <c r="S314" s="129">
        <v>1</v>
      </c>
      <c r="T314" s="129">
        <v>0</v>
      </c>
      <c r="U314" s="129">
        <v>0</v>
      </c>
      <c r="V314" s="129">
        <v>7</v>
      </c>
      <c r="W314" s="129">
        <v>37</v>
      </c>
      <c r="X314" s="129">
        <v>4</v>
      </c>
      <c r="Y314" s="129">
        <v>0</v>
      </c>
      <c r="Z314" s="129">
        <v>0</v>
      </c>
      <c r="AA314" s="129">
        <v>41</v>
      </c>
      <c r="AB314" s="129">
        <v>0</v>
      </c>
      <c r="AC314" s="129">
        <v>0</v>
      </c>
      <c r="AD314" s="129">
        <v>0</v>
      </c>
      <c r="AE314" s="129">
        <v>0</v>
      </c>
      <c r="AF314" s="129">
        <v>0</v>
      </c>
      <c r="AG314" s="129">
        <v>0</v>
      </c>
      <c r="AH314" s="129">
        <v>0</v>
      </c>
      <c r="AI314" s="126">
        <v>0</v>
      </c>
      <c r="AJ314" s="131">
        <v>346</v>
      </c>
    </row>
    <row r="315" spans="1:36" x14ac:dyDescent="0.35">
      <c r="A315" s="127" t="s">
        <v>851</v>
      </c>
      <c r="B315" s="127" t="s">
        <v>852</v>
      </c>
      <c r="C315" s="129">
        <v>45</v>
      </c>
      <c r="D315" s="129">
        <v>1</v>
      </c>
      <c r="E315" s="129">
        <v>0</v>
      </c>
      <c r="F315" s="129">
        <v>0</v>
      </c>
      <c r="G315" s="129">
        <v>46</v>
      </c>
      <c r="H315" s="129">
        <v>6</v>
      </c>
      <c r="I315" s="129">
        <v>0</v>
      </c>
      <c r="J315" s="129">
        <v>0</v>
      </c>
      <c r="K315" s="129">
        <v>0</v>
      </c>
      <c r="L315" s="129">
        <v>6</v>
      </c>
      <c r="M315" s="129">
        <v>5</v>
      </c>
      <c r="N315" s="129">
        <v>0</v>
      </c>
      <c r="O315" s="129">
        <v>0</v>
      </c>
      <c r="P315" s="129">
        <v>0</v>
      </c>
      <c r="Q315" s="129">
        <v>5</v>
      </c>
      <c r="R315" s="129">
        <v>10</v>
      </c>
      <c r="S315" s="129">
        <v>0</v>
      </c>
      <c r="T315" s="129">
        <v>0</v>
      </c>
      <c r="U315" s="129">
        <v>0</v>
      </c>
      <c r="V315" s="129">
        <v>10</v>
      </c>
      <c r="W315" s="129">
        <v>9</v>
      </c>
      <c r="X315" s="129">
        <v>0</v>
      </c>
      <c r="Y315" s="129">
        <v>0</v>
      </c>
      <c r="Z315" s="129">
        <v>0</v>
      </c>
      <c r="AA315" s="129">
        <v>9</v>
      </c>
      <c r="AB315" s="129">
        <v>2</v>
      </c>
      <c r="AC315" s="129">
        <v>0</v>
      </c>
      <c r="AD315" s="129">
        <v>0</v>
      </c>
      <c r="AE315" s="129">
        <v>0</v>
      </c>
      <c r="AF315" s="129">
        <v>2</v>
      </c>
      <c r="AG315" s="129">
        <v>0</v>
      </c>
      <c r="AH315" s="129">
        <v>0</v>
      </c>
      <c r="AI315" s="126">
        <v>0</v>
      </c>
      <c r="AJ315" s="131">
        <v>78</v>
      </c>
    </row>
    <row r="316" spans="1:36" x14ac:dyDescent="0.35">
      <c r="A316" s="127" t="s">
        <v>853</v>
      </c>
      <c r="B316" s="127" t="s">
        <v>854</v>
      </c>
      <c r="C316" s="129">
        <v>285</v>
      </c>
      <c r="D316" s="129">
        <v>5</v>
      </c>
      <c r="E316" s="129">
        <v>2</v>
      </c>
      <c r="F316" s="129">
        <v>0</v>
      </c>
      <c r="G316" s="129">
        <v>292</v>
      </c>
      <c r="H316" s="129">
        <v>13</v>
      </c>
      <c r="I316" s="129">
        <v>0</v>
      </c>
      <c r="J316" s="129">
        <v>0</v>
      </c>
      <c r="K316" s="129">
        <v>0</v>
      </c>
      <c r="L316" s="129">
        <v>13</v>
      </c>
      <c r="M316" s="129">
        <v>10</v>
      </c>
      <c r="N316" s="129">
        <v>0</v>
      </c>
      <c r="O316" s="129">
        <v>0</v>
      </c>
      <c r="P316" s="129">
        <v>0</v>
      </c>
      <c r="Q316" s="129">
        <v>10</v>
      </c>
      <c r="R316" s="129">
        <v>8</v>
      </c>
      <c r="S316" s="129">
        <v>0</v>
      </c>
      <c r="T316" s="129">
        <v>0</v>
      </c>
      <c r="U316" s="129">
        <v>0</v>
      </c>
      <c r="V316" s="129">
        <v>8</v>
      </c>
      <c r="W316" s="129">
        <v>59</v>
      </c>
      <c r="X316" s="129">
        <v>1</v>
      </c>
      <c r="Y316" s="129">
        <v>0</v>
      </c>
      <c r="Z316" s="129">
        <v>0</v>
      </c>
      <c r="AA316" s="129">
        <v>60</v>
      </c>
      <c r="AB316" s="129">
        <v>9</v>
      </c>
      <c r="AC316" s="129">
        <v>0</v>
      </c>
      <c r="AD316" s="129">
        <v>0</v>
      </c>
      <c r="AE316" s="129">
        <v>0</v>
      </c>
      <c r="AF316" s="129">
        <v>9</v>
      </c>
      <c r="AG316" s="129">
        <v>0</v>
      </c>
      <c r="AH316" s="129">
        <v>0</v>
      </c>
      <c r="AI316" s="126">
        <v>0</v>
      </c>
      <c r="AJ316" s="131">
        <v>392</v>
      </c>
    </row>
    <row r="317" spans="1:36" x14ac:dyDescent="0.35">
      <c r="A317" s="127" t="s">
        <v>855</v>
      </c>
      <c r="B317" s="127" t="s">
        <v>1245</v>
      </c>
      <c r="C317" s="129">
        <v>541</v>
      </c>
      <c r="D317" s="129">
        <v>111</v>
      </c>
      <c r="E317" s="129">
        <v>46</v>
      </c>
      <c r="F317" s="129">
        <v>7</v>
      </c>
      <c r="G317" s="129">
        <v>705</v>
      </c>
      <c r="H317" s="129">
        <v>156</v>
      </c>
      <c r="I317" s="129">
        <v>2</v>
      </c>
      <c r="J317" s="129">
        <v>1</v>
      </c>
      <c r="K317" s="129">
        <v>0</v>
      </c>
      <c r="L317" s="129">
        <v>159</v>
      </c>
      <c r="M317" s="129">
        <v>99</v>
      </c>
      <c r="N317" s="129">
        <v>1</v>
      </c>
      <c r="O317" s="129">
        <v>0</v>
      </c>
      <c r="P317" s="129">
        <v>0</v>
      </c>
      <c r="Q317" s="129">
        <v>100</v>
      </c>
      <c r="R317" s="129">
        <v>40</v>
      </c>
      <c r="S317" s="129">
        <v>2</v>
      </c>
      <c r="T317" s="129">
        <v>0</v>
      </c>
      <c r="U317" s="129">
        <v>0</v>
      </c>
      <c r="V317" s="129">
        <v>42</v>
      </c>
      <c r="W317" s="129">
        <v>50</v>
      </c>
      <c r="X317" s="129">
        <v>3</v>
      </c>
      <c r="Y317" s="129">
        <v>0</v>
      </c>
      <c r="Z317" s="129">
        <v>0</v>
      </c>
      <c r="AA317" s="129">
        <v>53</v>
      </c>
      <c r="AB317" s="129">
        <v>107</v>
      </c>
      <c r="AC317" s="129">
        <v>5</v>
      </c>
      <c r="AD317" s="129">
        <v>0</v>
      </c>
      <c r="AE317" s="129">
        <v>0</v>
      </c>
      <c r="AF317" s="129">
        <v>112</v>
      </c>
      <c r="AG317" s="129">
        <v>0</v>
      </c>
      <c r="AH317" s="129">
        <v>0</v>
      </c>
      <c r="AI317" s="126">
        <v>0</v>
      </c>
      <c r="AJ317" s="131">
        <v>1171</v>
      </c>
    </row>
    <row r="318" spans="1:36" x14ac:dyDescent="0.35">
      <c r="A318" s="127" t="s">
        <v>856</v>
      </c>
      <c r="B318" s="127" t="s">
        <v>857</v>
      </c>
      <c r="C318" s="129">
        <v>122</v>
      </c>
      <c r="D318" s="129">
        <v>15</v>
      </c>
      <c r="E318" s="129">
        <v>3</v>
      </c>
      <c r="F318" s="129">
        <v>0</v>
      </c>
      <c r="G318" s="129">
        <v>140</v>
      </c>
      <c r="H318" s="129">
        <v>23</v>
      </c>
      <c r="I318" s="129">
        <v>0</v>
      </c>
      <c r="J318" s="129">
        <v>1</v>
      </c>
      <c r="K318" s="129">
        <v>0</v>
      </c>
      <c r="L318" s="129">
        <v>24</v>
      </c>
      <c r="M318" s="129">
        <v>2</v>
      </c>
      <c r="N318" s="129">
        <v>0</v>
      </c>
      <c r="O318" s="129">
        <v>0</v>
      </c>
      <c r="P318" s="129">
        <v>0</v>
      </c>
      <c r="Q318" s="129">
        <v>2</v>
      </c>
      <c r="R318" s="129">
        <v>3</v>
      </c>
      <c r="S318" s="129">
        <v>0</v>
      </c>
      <c r="T318" s="129">
        <v>0</v>
      </c>
      <c r="U318" s="129">
        <v>0</v>
      </c>
      <c r="V318" s="129">
        <v>3</v>
      </c>
      <c r="W318" s="129">
        <v>1</v>
      </c>
      <c r="X318" s="129">
        <v>0</v>
      </c>
      <c r="Y318" s="129">
        <v>0</v>
      </c>
      <c r="Z318" s="129">
        <v>0</v>
      </c>
      <c r="AA318" s="129">
        <v>1</v>
      </c>
      <c r="AB318" s="129">
        <v>5</v>
      </c>
      <c r="AC318" s="129">
        <v>0</v>
      </c>
      <c r="AD318" s="129">
        <v>0</v>
      </c>
      <c r="AE318" s="129">
        <v>0</v>
      </c>
      <c r="AF318" s="129">
        <v>5</v>
      </c>
      <c r="AG318" s="129">
        <v>0</v>
      </c>
      <c r="AH318" s="129">
        <v>0</v>
      </c>
      <c r="AI318" s="126">
        <v>0</v>
      </c>
      <c r="AJ318" s="131">
        <v>175</v>
      </c>
    </row>
    <row r="319" spans="1:36" x14ac:dyDescent="0.35">
      <c r="A319" s="127" t="s">
        <v>858</v>
      </c>
      <c r="B319" s="127" t="s">
        <v>1246</v>
      </c>
      <c r="C319" s="129">
        <v>18</v>
      </c>
      <c r="D319" s="129">
        <v>5</v>
      </c>
      <c r="E319" s="129">
        <v>0</v>
      </c>
      <c r="F319" s="129">
        <v>0</v>
      </c>
      <c r="G319" s="129">
        <v>23</v>
      </c>
      <c r="H319" s="129">
        <v>1</v>
      </c>
      <c r="I319" s="129">
        <v>0</v>
      </c>
      <c r="J319" s="129">
        <v>0</v>
      </c>
      <c r="K319" s="129">
        <v>0</v>
      </c>
      <c r="L319" s="129">
        <v>1</v>
      </c>
      <c r="M319" s="129">
        <v>4</v>
      </c>
      <c r="N319" s="129">
        <v>0</v>
      </c>
      <c r="O319" s="129">
        <v>0</v>
      </c>
      <c r="P319" s="129">
        <v>0</v>
      </c>
      <c r="Q319" s="129">
        <v>4</v>
      </c>
      <c r="R319" s="129">
        <v>0</v>
      </c>
      <c r="S319" s="129">
        <v>0</v>
      </c>
      <c r="T319" s="129">
        <v>0</v>
      </c>
      <c r="U319" s="129">
        <v>0</v>
      </c>
      <c r="V319" s="129">
        <v>0</v>
      </c>
      <c r="W319" s="129">
        <v>9</v>
      </c>
      <c r="X319" s="129">
        <v>1</v>
      </c>
      <c r="Y319" s="129">
        <v>0</v>
      </c>
      <c r="Z319" s="129">
        <v>0</v>
      </c>
      <c r="AA319" s="129">
        <v>10</v>
      </c>
      <c r="AB319" s="129">
        <v>4</v>
      </c>
      <c r="AC319" s="129">
        <v>1</v>
      </c>
      <c r="AD319" s="129">
        <v>0</v>
      </c>
      <c r="AE319" s="129">
        <v>0</v>
      </c>
      <c r="AF319" s="129">
        <v>5</v>
      </c>
      <c r="AG319" s="129">
        <v>0</v>
      </c>
      <c r="AH319" s="129">
        <v>0</v>
      </c>
      <c r="AI319" s="126">
        <v>0</v>
      </c>
      <c r="AJ319" s="131">
        <v>43</v>
      </c>
    </row>
    <row r="320" spans="1:36" x14ac:dyDescent="0.35">
      <c r="A320" s="127" t="s">
        <v>859</v>
      </c>
      <c r="B320" s="127" t="s">
        <v>860</v>
      </c>
      <c r="C320" s="129">
        <v>105</v>
      </c>
      <c r="D320" s="129">
        <v>4</v>
      </c>
      <c r="E320" s="129">
        <v>1</v>
      </c>
      <c r="F320" s="129">
        <v>0</v>
      </c>
      <c r="G320" s="129">
        <v>110</v>
      </c>
      <c r="H320" s="129">
        <v>147</v>
      </c>
      <c r="I320" s="129">
        <v>2</v>
      </c>
      <c r="J320" s="129">
        <v>0</v>
      </c>
      <c r="K320" s="129">
        <v>0</v>
      </c>
      <c r="L320" s="129">
        <v>149</v>
      </c>
      <c r="M320" s="129">
        <v>20</v>
      </c>
      <c r="N320" s="129">
        <v>0</v>
      </c>
      <c r="O320" s="129">
        <v>0</v>
      </c>
      <c r="P320" s="129">
        <v>0</v>
      </c>
      <c r="Q320" s="129">
        <v>20</v>
      </c>
      <c r="R320" s="129">
        <v>0</v>
      </c>
      <c r="S320" s="129">
        <v>0</v>
      </c>
      <c r="T320" s="129">
        <v>0</v>
      </c>
      <c r="U320" s="129">
        <v>0</v>
      </c>
      <c r="V320" s="129">
        <v>0</v>
      </c>
      <c r="W320" s="129">
        <v>100</v>
      </c>
      <c r="X320" s="129">
        <v>0</v>
      </c>
      <c r="Y320" s="129">
        <v>0</v>
      </c>
      <c r="Z320" s="129">
        <v>0</v>
      </c>
      <c r="AA320" s="129">
        <v>100</v>
      </c>
      <c r="AB320" s="129">
        <v>103</v>
      </c>
      <c r="AC320" s="129">
        <v>2</v>
      </c>
      <c r="AD320" s="129">
        <v>0</v>
      </c>
      <c r="AE320" s="129">
        <v>0</v>
      </c>
      <c r="AF320" s="129">
        <v>105</v>
      </c>
      <c r="AG320" s="129">
        <v>0</v>
      </c>
      <c r="AH320" s="129">
        <v>0</v>
      </c>
      <c r="AI320" s="126">
        <v>0</v>
      </c>
      <c r="AJ320" s="131">
        <v>484</v>
      </c>
    </row>
    <row r="321" spans="1:36" x14ac:dyDescent="0.35">
      <c r="A321" s="127" t="s">
        <v>861</v>
      </c>
      <c r="B321" s="127" t="s">
        <v>1247</v>
      </c>
      <c r="C321" s="129">
        <v>509</v>
      </c>
      <c r="D321" s="129">
        <v>42</v>
      </c>
      <c r="E321" s="129">
        <v>9</v>
      </c>
      <c r="F321" s="129">
        <v>0</v>
      </c>
      <c r="G321" s="129">
        <v>560</v>
      </c>
      <c r="H321" s="129">
        <v>135</v>
      </c>
      <c r="I321" s="129">
        <v>0</v>
      </c>
      <c r="J321" s="129">
        <v>0</v>
      </c>
      <c r="K321" s="129">
        <v>0</v>
      </c>
      <c r="L321" s="129">
        <v>135</v>
      </c>
      <c r="M321" s="129">
        <v>10</v>
      </c>
      <c r="N321" s="129">
        <v>0</v>
      </c>
      <c r="O321" s="129">
        <v>0</v>
      </c>
      <c r="P321" s="129">
        <v>0</v>
      </c>
      <c r="Q321" s="129">
        <v>10</v>
      </c>
      <c r="R321" s="129">
        <v>1</v>
      </c>
      <c r="S321" s="129">
        <v>0</v>
      </c>
      <c r="T321" s="129">
        <v>0</v>
      </c>
      <c r="U321" s="129">
        <v>0</v>
      </c>
      <c r="V321" s="129">
        <v>1</v>
      </c>
      <c r="W321" s="129">
        <v>14</v>
      </c>
      <c r="X321" s="129">
        <v>0</v>
      </c>
      <c r="Y321" s="129">
        <v>0</v>
      </c>
      <c r="Z321" s="129">
        <v>0</v>
      </c>
      <c r="AA321" s="129">
        <v>14</v>
      </c>
      <c r="AB321" s="129">
        <v>47</v>
      </c>
      <c r="AC321" s="129">
        <v>0</v>
      </c>
      <c r="AD321" s="129">
        <v>0</v>
      </c>
      <c r="AE321" s="129">
        <v>0</v>
      </c>
      <c r="AF321" s="129">
        <v>47</v>
      </c>
      <c r="AG321" s="129">
        <v>0</v>
      </c>
      <c r="AH321" s="129">
        <v>0</v>
      </c>
      <c r="AI321" s="126">
        <v>0</v>
      </c>
      <c r="AJ321" s="131">
        <v>767</v>
      </c>
    </row>
    <row r="322" spans="1:36" x14ac:dyDescent="0.35">
      <c r="A322" s="127" t="s">
        <v>862</v>
      </c>
      <c r="B322" s="127" t="s">
        <v>863</v>
      </c>
      <c r="C322" s="129">
        <v>3</v>
      </c>
      <c r="D322" s="129">
        <v>1</v>
      </c>
      <c r="E322" s="129">
        <v>0</v>
      </c>
      <c r="F322" s="129">
        <v>0</v>
      </c>
      <c r="G322" s="129">
        <v>4</v>
      </c>
      <c r="H322" s="129">
        <v>1</v>
      </c>
      <c r="I322" s="129">
        <v>0</v>
      </c>
      <c r="J322" s="129">
        <v>0</v>
      </c>
      <c r="K322" s="129">
        <v>0</v>
      </c>
      <c r="L322" s="129">
        <v>1</v>
      </c>
      <c r="M322" s="129">
        <v>1</v>
      </c>
      <c r="N322" s="129">
        <v>0</v>
      </c>
      <c r="O322" s="129">
        <v>0</v>
      </c>
      <c r="P322" s="129">
        <v>0</v>
      </c>
      <c r="Q322" s="129">
        <v>1</v>
      </c>
      <c r="R322" s="129">
        <v>0</v>
      </c>
      <c r="S322" s="129">
        <v>0</v>
      </c>
      <c r="T322" s="129">
        <v>0</v>
      </c>
      <c r="U322" s="129">
        <v>0</v>
      </c>
      <c r="V322" s="129">
        <v>0</v>
      </c>
      <c r="W322" s="129">
        <v>0</v>
      </c>
      <c r="X322" s="129">
        <v>0</v>
      </c>
      <c r="Y322" s="129">
        <v>0</v>
      </c>
      <c r="Z322" s="129">
        <v>0</v>
      </c>
      <c r="AA322" s="129">
        <v>0</v>
      </c>
      <c r="AB322" s="129">
        <v>0</v>
      </c>
      <c r="AC322" s="129">
        <v>0</v>
      </c>
      <c r="AD322" s="129">
        <v>0</v>
      </c>
      <c r="AE322" s="129">
        <v>0</v>
      </c>
      <c r="AF322" s="129">
        <v>0</v>
      </c>
      <c r="AG322" s="129">
        <v>0</v>
      </c>
      <c r="AH322" s="129">
        <v>0</v>
      </c>
      <c r="AI322" s="126">
        <v>0</v>
      </c>
      <c r="AJ322" s="131">
        <v>6</v>
      </c>
    </row>
    <row r="323" spans="1:36" x14ac:dyDescent="0.35">
      <c r="A323" s="127" t="s">
        <v>864</v>
      </c>
      <c r="B323" s="127" t="s">
        <v>1248</v>
      </c>
      <c r="C323" s="129">
        <v>153</v>
      </c>
      <c r="D323" s="129">
        <v>11</v>
      </c>
      <c r="E323" s="129">
        <v>2</v>
      </c>
      <c r="F323" s="129">
        <v>0</v>
      </c>
      <c r="G323" s="129">
        <v>166</v>
      </c>
      <c r="H323" s="129">
        <v>10</v>
      </c>
      <c r="I323" s="129">
        <v>0</v>
      </c>
      <c r="J323" s="129">
        <v>0</v>
      </c>
      <c r="K323" s="129">
        <v>0</v>
      </c>
      <c r="L323" s="129">
        <v>10</v>
      </c>
      <c r="M323" s="129">
        <v>14</v>
      </c>
      <c r="N323" s="129">
        <v>0</v>
      </c>
      <c r="O323" s="129">
        <v>0</v>
      </c>
      <c r="P323" s="129">
        <v>0</v>
      </c>
      <c r="Q323" s="129">
        <v>14</v>
      </c>
      <c r="R323" s="129">
        <v>21</v>
      </c>
      <c r="S323" s="129">
        <v>0</v>
      </c>
      <c r="T323" s="129">
        <v>0</v>
      </c>
      <c r="U323" s="129">
        <v>0</v>
      </c>
      <c r="V323" s="129">
        <v>21</v>
      </c>
      <c r="W323" s="129">
        <v>9</v>
      </c>
      <c r="X323" s="129">
        <v>2</v>
      </c>
      <c r="Y323" s="129">
        <v>0</v>
      </c>
      <c r="Z323" s="129">
        <v>0</v>
      </c>
      <c r="AA323" s="129">
        <v>11</v>
      </c>
      <c r="AB323" s="129">
        <v>1</v>
      </c>
      <c r="AC323" s="129">
        <v>0</v>
      </c>
      <c r="AD323" s="129">
        <v>0</v>
      </c>
      <c r="AE323" s="129">
        <v>0</v>
      </c>
      <c r="AF323" s="129">
        <v>1</v>
      </c>
      <c r="AG323" s="129">
        <v>0</v>
      </c>
      <c r="AH323" s="129">
        <v>0</v>
      </c>
      <c r="AI323" s="126">
        <v>0</v>
      </c>
      <c r="AJ323" s="131">
        <v>223</v>
      </c>
    </row>
    <row r="324" spans="1:36" x14ac:dyDescent="0.35">
      <c r="A324" s="127" t="s">
        <v>865</v>
      </c>
      <c r="B324" s="127" t="s">
        <v>866</v>
      </c>
      <c r="C324" s="129">
        <v>54</v>
      </c>
      <c r="D324" s="129">
        <v>5</v>
      </c>
      <c r="E324" s="129">
        <v>0</v>
      </c>
      <c r="F324" s="129">
        <v>0</v>
      </c>
      <c r="G324" s="129">
        <v>59</v>
      </c>
      <c r="H324" s="129">
        <v>5</v>
      </c>
      <c r="I324" s="129">
        <v>0</v>
      </c>
      <c r="J324" s="129">
        <v>0</v>
      </c>
      <c r="K324" s="129">
        <v>0</v>
      </c>
      <c r="L324" s="129">
        <v>5</v>
      </c>
      <c r="M324" s="129">
        <v>4</v>
      </c>
      <c r="N324" s="129">
        <v>0</v>
      </c>
      <c r="O324" s="129">
        <v>0</v>
      </c>
      <c r="P324" s="129">
        <v>0</v>
      </c>
      <c r="Q324" s="129">
        <v>4</v>
      </c>
      <c r="R324" s="129">
        <v>0</v>
      </c>
      <c r="S324" s="129">
        <v>0</v>
      </c>
      <c r="T324" s="129">
        <v>0</v>
      </c>
      <c r="U324" s="129">
        <v>0</v>
      </c>
      <c r="V324" s="129">
        <v>0</v>
      </c>
      <c r="W324" s="129">
        <v>0</v>
      </c>
      <c r="X324" s="129">
        <v>0</v>
      </c>
      <c r="Y324" s="129">
        <v>0</v>
      </c>
      <c r="Z324" s="129">
        <v>0</v>
      </c>
      <c r="AA324" s="129">
        <v>0</v>
      </c>
      <c r="AB324" s="129">
        <v>4</v>
      </c>
      <c r="AC324" s="129">
        <v>0</v>
      </c>
      <c r="AD324" s="129">
        <v>0</v>
      </c>
      <c r="AE324" s="129">
        <v>0</v>
      </c>
      <c r="AF324" s="129">
        <v>4</v>
      </c>
      <c r="AG324" s="129">
        <v>0</v>
      </c>
      <c r="AH324" s="129">
        <v>0</v>
      </c>
      <c r="AI324" s="126">
        <v>0</v>
      </c>
      <c r="AJ324" s="131">
        <v>72</v>
      </c>
    </row>
    <row r="325" spans="1:36" x14ac:dyDescent="0.35">
      <c r="A325" s="127" t="s">
        <v>867</v>
      </c>
      <c r="B325" s="127" t="s">
        <v>868</v>
      </c>
      <c r="C325" s="129">
        <v>3205</v>
      </c>
      <c r="D325" s="129">
        <v>121</v>
      </c>
      <c r="E325" s="129">
        <v>12</v>
      </c>
      <c r="F325" s="129">
        <v>1</v>
      </c>
      <c r="G325" s="129">
        <v>3339</v>
      </c>
      <c r="H325" s="129">
        <v>407</v>
      </c>
      <c r="I325" s="129">
        <v>0</v>
      </c>
      <c r="J325" s="129">
        <v>0</v>
      </c>
      <c r="K325" s="129">
        <v>0</v>
      </c>
      <c r="L325" s="129">
        <v>407</v>
      </c>
      <c r="M325" s="129">
        <v>284</v>
      </c>
      <c r="N325" s="129">
        <v>1</v>
      </c>
      <c r="O325" s="129">
        <v>0</v>
      </c>
      <c r="P325" s="129">
        <v>0</v>
      </c>
      <c r="Q325" s="129">
        <v>285</v>
      </c>
      <c r="R325" s="129">
        <v>109</v>
      </c>
      <c r="S325" s="129">
        <v>0</v>
      </c>
      <c r="T325" s="129">
        <v>0</v>
      </c>
      <c r="U325" s="129">
        <v>0</v>
      </c>
      <c r="V325" s="129">
        <v>109</v>
      </c>
      <c r="W325" s="129">
        <v>647</v>
      </c>
      <c r="X325" s="129">
        <v>2</v>
      </c>
      <c r="Y325" s="129">
        <v>0</v>
      </c>
      <c r="Z325" s="129">
        <v>0</v>
      </c>
      <c r="AA325" s="129">
        <v>649</v>
      </c>
      <c r="AB325" s="129">
        <v>238</v>
      </c>
      <c r="AC325" s="129">
        <v>1</v>
      </c>
      <c r="AD325" s="129">
        <v>0</v>
      </c>
      <c r="AE325" s="129">
        <v>0</v>
      </c>
      <c r="AF325" s="129">
        <v>239</v>
      </c>
      <c r="AG325" s="129">
        <v>0</v>
      </c>
      <c r="AH325" s="129">
        <v>0</v>
      </c>
      <c r="AI325" s="126">
        <v>0</v>
      </c>
      <c r="AJ325" s="131">
        <v>5028</v>
      </c>
    </row>
    <row r="326" spans="1:36" x14ac:dyDescent="0.35">
      <c r="A326" s="127" t="s">
        <v>869</v>
      </c>
      <c r="B326" s="127" t="s">
        <v>870</v>
      </c>
      <c r="C326" s="129">
        <v>323</v>
      </c>
      <c r="D326" s="129">
        <v>16</v>
      </c>
      <c r="E326" s="129">
        <v>4</v>
      </c>
      <c r="F326" s="129">
        <v>1</v>
      </c>
      <c r="G326" s="129">
        <v>344</v>
      </c>
      <c r="H326" s="129">
        <v>16</v>
      </c>
      <c r="I326" s="129">
        <v>0</v>
      </c>
      <c r="J326" s="129">
        <v>0</v>
      </c>
      <c r="K326" s="129">
        <v>0</v>
      </c>
      <c r="L326" s="129">
        <v>16</v>
      </c>
      <c r="M326" s="129">
        <v>9</v>
      </c>
      <c r="N326" s="129">
        <v>1</v>
      </c>
      <c r="O326" s="129">
        <v>0</v>
      </c>
      <c r="P326" s="129">
        <v>0</v>
      </c>
      <c r="Q326" s="129">
        <v>10</v>
      </c>
      <c r="R326" s="129">
        <v>6</v>
      </c>
      <c r="S326" s="129">
        <v>0</v>
      </c>
      <c r="T326" s="129">
        <v>0</v>
      </c>
      <c r="U326" s="129">
        <v>0</v>
      </c>
      <c r="V326" s="129">
        <v>6</v>
      </c>
      <c r="W326" s="129">
        <v>56</v>
      </c>
      <c r="X326" s="129">
        <v>0</v>
      </c>
      <c r="Y326" s="129">
        <v>0</v>
      </c>
      <c r="Z326" s="129">
        <v>0</v>
      </c>
      <c r="AA326" s="129">
        <v>56</v>
      </c>
      <c r="AB326" s="129">
        <v>6</v>
      </c>
      <c r="AC326" s="129">
        <v>0</v>
      </c>
      <c r="AD326" s="129">
        <v>0</v>
      </c>
      <c r="AE326" s="129">
        <v>0</v>
      </c>
      <c r="AF326" s="129">
        <v>6</v>
      </c>
      <c r="AG326" s="129">
        <v>0</v>
      </c>
      <c r="AH326" s="129">
        <v>0</v>
      </c>
      <c r="AI326" s="126">
        <v>0</v>
      </c>
      <c r="AJ326" s="131">
        <v>438</v>
      </c>
    </row>
    <row r="327" spans="1:36" x14ac:dyDescent="0.35">
      <c r="A327" s="127" t="s">
        <v>871</v>
      </c>
      <c r="B327" s="127" t="s">
        <v>872</v>
      </c>
      <c r="C327" s="129">
        <v>1057</v>
      </c>
      <c r="D327" s="129">
        <v>10</v>
      </c>
      <c r="E327" s="129">
        <v>0</v>
      </c>
      <c r="F327" s="129">
        <v>0</v>
      </c>
      <c r="G327" s="129">
        <v>1067</v>
      </c>
      <c r="H327" s="129">
        <v>304</v>
      </c>
      <c r="I327" s="129">
        <v>0</v>
      </c>
      <c r="J327" s="129">
        <v>0</v>
      </c>
      <c r="K327" s="129">
        <v>0</v>
      </c>
      <c r="L327" s="129">
        <v>304</v>
      </c>
      <c r="M327" s="129">
        <v>385</v>
      </c>
      <c r="N327" s="129">
        <v>0</v>
      </c>
      <c r="O327" s="129">
        <v>0</v>
      </c>
      <c r="P327" s="129">
        <v>0</v>
      </c>
      <c r="Q327" s="129">
        <v>385</v>
      </c>
      <c r="R327" s="129">
        <v>32</v>
      </c>
      <c r="S327" s="129">
        <v>0</v>
      </c>
      <c r="T327" s="129">
        <v>0</v>
      </c>
      <c r="U327" s="129">
        <v>0</v>
      </c>
      <c r="V327" s="129">
        <v>32</v>
      </c>
      <c r="W327" s="129">
        <v>217</v>
      </c>
      <c r="X327" s="129">
        <v>0</v>
      </c>
      <c r="Y327" s="129">
        <v>0</v>
      </c>
      <c r="Z327" s="129">
        <v>0</v>
      </c>
      <c r="AA327" s="129">
        <v>217</v>
      </c>
      <c r="AB327" s="129">
        <v>90</v>
      </c>
      <c r="AC327" s="129">
        <v>0</v>
      </c>
      <c r="AD327" s="129">
        <v>0</v>
      </c>
      <c r="AE327" s="129">
        <v>0</v>
      </c>
      <c r="AF327" s="129">
        <v>90</v>
      </c>
      <c r="AG327" s="129">
        <v>0</v>
      </c>
      <c r="AH327" s="129">
        <v>0</v>
      </c>
      <c r="AI327" s="126">
        <v>0</v>
      </c>
      <c r="AJ327" s="131">
        <v>2095</v>
      </c>
    </row>
    <row r="328" spans="1:36" x14ac:dyDescent="0.35">
      <c r="A328" s="127" t="s">
        <v>873</v>
      </c>
      <c r="B328" s="127" t="s">
        <v>874</v>
      </c>
      <c r="C328" s="129">
        <v>1345</v>
      </c>
      <c r="D328" s="129">
        <v>7</v>
      </c>
      <c r="E328" s="129">
        <v>2</v>
      </c>
      <c r="F328" s="129">
        <v>0</v>
      </c>
      <c r="G328" s="129">
        <v>1354</v>
      </c>
      <c r="H328" s="129">
        <v>240</v>
      </c>
      <c r="I328" s="129">
        <v>0</v>
      </c>
      <c r="J328" s="129">
        <v>0</v>
      </c>
      <c r="K328" s="129">
        <v>0</v>
      </c>
      <c r="L328" s="129">
        <v>240</v>
      </c>
      <c r="M328" s="129">
        <v>144</v>
      </c>
      <c r="N328" s="129">
        <v>1</v>
      </c>
      <c r="O328" s="129">
        <v>0</v>
      </c>
      <c r="P328" s="129">
        <v>0</v>
      </c>
      <c r="Q328" s="129">
        <v>145</v>
      </c>
      <c r="R328" s="129">
        <v>39</v>
      </c>
      <c r="S328" s="129">
        <v>0</v>
      </c>
      <c r="T328" s="129">
        <v>0</v>
      </c>
      <c r="U328" s="129">
        <v>0</v>
      </c>
      <c r="V328" s="129">
        <v>39</v>
      </c>
      <c r="W328" s="129">
        <v>423</v>
      </c>
      <c r="X328" s="129">
        <v>0</v>
      </c>
      <c r="Y328" s="129">
        <v>0</v>
      </c>
      <c r="Z328" s="129">
        <v>0</v>
      </c>
      <c r="AA328" s="129">
        <v>423</v>
      </c>
      <c r="AB328" s="129">
        <v>204</v>
      </c>
      <c r="AC328" s="129">
        <v>0</v>
      </c>
      <c r="AD328" s="129">
        <v>0</v>
      </c>
      <c r="AE328" s="129">
        <v>0</v>
      </c>
      <c r="AF328" s="129">
        <v>204</v>
      </c>
      <c r="AG328" s="129">
        <v>0</v>
      </c>
      <c r="AH328" s="129">
        <v>0</v>
      </c>
      <c r="AI328" s="126">
        <v>0</v>
      </c>
      <c r="AJ328" s="131">
        <v>2405</v>
      </c>
    </row>
    <row r="329" spans="1:36" x14ac:dyDescent="0.35">
      <c r="A329" s="127" t="s">
        <v>875</v>
      </c>
      <c r="B329" s="127" t="s">
        <v>876</v>
      </c>
      <c r="C329" s="129">
        <v>224</v>
      </c>
      <c r="D329" s="129">
        <v>9</v>
      </c>
      <c r="E329" s="129">
        <v>1</v>
      </c>
      <c r="F329" s="129">
        <v>0</v>
      </c>
      <c r="G329" s="129">
        <v>234</v>
      </c>
      <c r="H329" s="129">
        <v>11</v>
      </c>
      <c r="I329" s="129">
        <v>0</v>
      </c>
      <c r="J329" s="129">
        <v>0</v>
      </c>
      <c r="K329" s="129">
        <v>0</v>
      </c>
      <c r="L329" s="129">
        <v>11</v>
      </c>
      <c r="M329" s="129">
        <v>6</v>
      </c>
      <c r="N329" s="129">
        <v>0</v>
      </c>
      <c r="O329" s="129">
        <v>0</v>
      </c>
      <c r="P329" s="129">
        <v>0</v>
      </c>
      <c r="Q329" s="129">
        <v>6</v>
      </c>
      <c r="R329" s="129">
        <v>8</v>
      </c>
      <c r="S329" s="129">
        <v>0</v>
      </c>
      <c r="T329" s="129">
        <v>0</v>
      </c>
      <c r="U329" s="129">
        <v>0</v>
      </c>
      <c r="V329" s="129">
        <v>8</v>
      </c>
      <c r="W329" s="129">
        <v>50</v>
      </c>
      <c r="X329" s="129">
        <v>0</v>
      </c>
      <c r="Y329" s="129">
        <v>0</v>
      </c>
      <c r="Z329" s="129">
        <v>0</v>
      </c>
      <c r="AA329" s="129">
        <v>50</v>
      </c>
      <c r="AB329" s="129">
        <v>18</v>
      </c>
      <c r="AC329" s="129">
        <v>0</v>
      </c>
      <c r="AD329" s="129">
        <v>0</v>
      </c>
      <c r="AE329" s="129">
        <v>0</v>
      </c>
      <c r="AF329" s="129">
        <v>18</v>
      </c>
      <c r="AG329" s="129">
        <v>0</v>
      </c>
      <c r="AH329" s="129">
        <v>0</v>
      </c>
      <c r="AI329" s="126">
        <v>0</v>
      </c>
      <c r="AJ329" s="131">
        <v>327</v>
      </c>
    </row>
    <row r="330" spans="1:36" x14ac:dyDescent="0.35">
      <c r="A330" s="127" t="s">
        <v>877</v>
      </c>
      <c r="B330" s="127" t="s">
        <v>878</v>
      </c>
      <c r="C330" s="129">
        <v>79</v>
      </c>
      <c r="D330" s="129">
        <v>3</v>
      </c>
      <c r="E330" s="129">
        <v>0</v>
      </c>
      <c r="F330" s="129">
        <v>1</v>
      </c>
      <c r="G330" s="129">
        <v>83</v>
      </c>
      <c r="H330" s="129">
        <v>4</v>
      </c>
      <c r="I330" s="129">
        <v>0</v>
      </c>
      <c r="J330" s="129">
        <v>0</v>
      </c>
      <c r="K330" s="129">
        <v>0</v>
      </c>
      <c r="L330" s="129">
        <v>4</v>
      </c>
      <c r="M330" s="129">
        <v>1</v>
      </c>
      <c r="N330" s="129">
        <v>0</v>
      </c>
      <c r="O330" s="129">
        <v>0</v>
      </c>
      <c r="P330" s="129">
        <v>0</v>
      </c>
      <c r="Q330" s="129">
        <v>1</v>
      </c>
      <c r="R330" s="129">
        <v>5</v>
      </c>
      <c r="S330" s="129">
        <v>0</v>
      </c>
      <c r="T330" s="129">
        <v>0</v>
      </c>
      <c r="U330" s="129">
        <v>0</v>
      </c>
      <c r="V330" s="129">
        <v>5</v>
      </c>
      <c r="W330" s="129">
        <v>13</v>
      </c>
      <c r="X330" s="129">
        <v>0</v>
      </c>
      <c r="Y330" s="129">
        <v>0</v>
      </c>
      <c r="Z330" s="129">
        <v>0</v>
      </c>
      <c r="AA330" s="129">
        <v>13</v>
      </c>
      <c r="AB330" s="129">
        <v>1</v>
      </c>
      <c r="AC330" s="129">
        <v>1</v>
      </c>
      <c r="AD330" s="129">
        <v>0</v>
      </c>
      <c r="AE330" s="129">
        <v>0</v>
      </c>
      <c r="AF330" s="129">
        <v>2</v>
      </c>
      <c r="AG330" s="129">
        <v>0</v>
      </c>
      <c r="AH330" s="129">
        <v>0</v>
      </c>
      <c r="AI330" s="126">
        <v>0</v>
      </c>
      <c r="AJ330" s="131">
        <v>108</v>
      </c>
    </row>
    <row r="331" spans="1:36" x14ac:dyDescent="0.35">
      <c r="A331" s="127" t="s">
        <v>879</v>
      </c>
      <c r="B331" s="127" t="s">
        <v>880</v>
      </c>
      <c r="C331" s="129">
        <v>2673</v>
      </c>
      <c r="D331" s="129">
        <v>22</v>
      </c>
      <c r="E331" s="129">
        <v>1</v>
      </c>
      <c r="F331" s="129">
        <v>0</v>
      </c>
      <c r="G331" s="129">
        <v>2696</v>
      </c>
      <c r="H331" s="129">
        <v>847</v>
      </c>
      <c r="I331" s="129">
        <v>0</v>
      </c>
      <c r="J331" s="129">
        <v>0</v>
      </c>
      <c r="K331" s="129">
        <v>0</v>
      </c>
      <c r="L331" s="129">
        <v>847</v>
      </c>
      <c r="M331" s="129">
        <v>363</v>
      </c>
      <c r="N331" s="129">
        <v>0</v>
      </c>
      <c r="O331" s="129">
        <v>0</v>
      </c>
      <c r="P331" s="129">
        <v>0</v>
      </c>
      <c r="Q331" s="129">
        <v>363</v>
      </c>
      <c r="R331" s="129">
        <v>199</v>
      </c>
      <c r="S331" s="129">
        <v>0</v>
      </c>
      <c r="T331" s="129">
        <v>0</v>
      </c>
      <c r="U331" s="129">
        <v>0</v>
      </c>
      <c r="V331" s="129">
        <v>199</v>
      </c>
      <c r="W331" s="129">
        <v>666</v>
      </c>
      <c r="X331" s="129">
        <v>0</v>
      </c>
      <c r="Y331" s="129">
        <v>0</v>
      </c>
      <c r="Z331" s="129">
        <v>0</v>
      </c>
      <c r="AA331" s="129">
        <v>666</v>
      </c>
      <c r="AB331" s="129">
        <v>373</v>
      </c>
      <c r="AC331" s="129">
        <v>0</v>
      </c>
      <c r="AD331" s="129">
        <v>0</v>
      </c>
      <c r="AE331" s="129">
        <v>0</v>
      </c>
      <c r="AF331" s="129">
        <v>373</v>
      </c>
      <c r="AG331" s="129">
        <v>0</v>
      </c>
      <c r="AH331" s="129">
        <v>0</v>
      </c>
      <c r="AI331" s="126">
        <v>0</v>
      </c>
      <c r="AJ331" s="131">
        <v>5144</v>
      </c>
    </row>
    <row r="332" spans="1:36" x14ac:dyDescent="0.35">
      <c r="A332" s="127" t="s">
        <v>881</v>
      </c>
      <c r="B332" s="127" t="s">
        <v>882</v>
      </c>
      <c r="C332" s="129">
        <v>41</v>
      </c>
      <c r="D332" s="129">
        <v>6</v>
      </c>
      <c r="E332" s="129">
        <v>0</v>
      </c>
      <c r="F332" s="129">
        <v>0</v>
      </c>
      <c r="G332" s="129">
        <v>47</v>
      </c>
      <c r="H332" s="129">
        <v>0</v>
      </c>
      <c r="I332" s="129">
        <v>0</v>
      </c>
      <c r="J332" s="129">
        <v>0</v>
      </c>
      <c r="K332" s="129">
        <v>0</v>
      </c>
      <c r="L332" s="129">
        <v>0</v>
      </c>
      <c r="M332" s="129">
        <v>0</v>
      </c>
      <c r="N332" s="129">
        <v>0</v>
      </c>
      <c r="O332" s="129">
        <v>0</v>
      </c>
      <c r="P332" s="129">
        <v>0</v>
      </c>
      <c r="Q332" s="129">
        <v>0</v>
      </c>
      <c r="R332" s="129">
        <v>0</v>
      </c>
      <c r="S332" s="129">
        <v>0</v>
      </c>
      <c r="T332" s="129">
        <v>0</v>
      </c>
      <c r="U332" s="129">
        <v>0</v>
      </c>
      <c r="V332" s="129">
        <v>0</v>
      </c>
      <c r="W332" s="129">
        <v>3</v>
      </c>
      <c r="X332" s="129">
        <v>0</v>
      </c>
      <c r="Y332" s="129">
        <v>0</v>
      </c>
      <c r="Z332" s="129">
        <v>0</v>
      </c>
      <c r="AA332" s="129">
        <v>3</v>
      </c>
      <c r="AB332" s="129">
        <v>1</v>
      </c>
      <c r="AC332" s="129">
        <v>0</v>
      </c>
      <c r="AD332" s="129">
        <v>0</v>
      </c>
      <c r="AE332" s="129">
        <v>0</v>
      </c>
      <c r="AF332" s="129">
        <v>1</v>
      </c>
      <c r="AG332" s="129">
        <v>0</v>
      </c>
      <c r="AH332" s="129">
        <v>0</v>
      </c>
      <c r="AI332" s="126">
        <v>0</v>
      </c>
      <c r="AJ332" s="131">
        <v>51</v>
      </c>
    </row>
    <row r="333" spans="1:36" x14ac:dyDescent="0.35">
      <c r="A333" s="127" t="s">
        <v>1402</v>
      </c>
      <c r="B333" s="127" t="s">
        <v>1403</v>
      </c>
      <c r="C333" s="129">
        <v>0</v>
      </c>
      <c r="D333" s="129">
        <v>0</v>
      </c>
      <c r="E333" s="129">
        <v>0</v>
      </c>
      <c r="F333" s="129">
        <v>0</v>
      </c>
      <c r="G333" s="129">
        <v>0</v>
      </c>
      <c r="H333" s="129">
        <v>0</v>
      </c>
      <c r="I333" s="129">
        <v>0</v>
      </c>
      <c r="J333" s="129">
        <v>0</v>
      </c>
      <c r="K333" s="129">
        <v>0</v>
      </c>
      <c r="L333" s="129">
        <v>0</v>
      </c>
      <c r="M333" s="129">
        <v>0</v>
      </c>
      <c r="N333" s="129">
        <v>0</v>
      </c>
      <c r="O333" s="129">
        <v>0</v>
      </c>
      <c r="P333" s="129">
        <v>0</v>
      </c>
      <c r="Q333" s="129">
        <v>0</v>
      </c>
      <c r="R333" s="129">
        <v>0</v>
      </c>
      <c r="S333" s="129">
        <v>0</v>
      </c>
      <c r="T333" s="129">
        <v>0</v>
      </c>
      <c r="U333" s="129">
        <v>0</v>
      </c>
      <c r="V333" s="129">
        <v>0</v>
      </c>
      <c r="W333" s="129">
        <v>0</v>
      </c>
      <c r="X333" s="129">
        <v>0</v>
      </c>
      <c r="Y333" s="129">
        <v>0</v>
      </c>
      <c r="Z333" s="129">
        <v>0</v>
      </c>
      <c r="AA333" s="129">
        <v>0</v>
      </c>
      <c r="AB333" s="129">
        <v>0</v>
      </c>
      <c r="AC333" s="129">
        <v>0</v>
      </c>
      <c r="AD333" s="129">
        <v>0</v>
      </c>
      <c r="AE333" s="129">
        <v>0</v>
      </c>
      <c r="AF333" s="129">
        <v>0</v>
      </c>
      <c r="AG333" s="129">
        <v>0</v>
      </c>
      <c r="AH333" s="129">
        <v>0</v>
      </c>
      <c r="AI333" s="126">
        <v>0</v>
      </c>
      <c r="AJ333" s="131">
        <v>0</v>
      </c>
    </row>
    <row r="334" spans="1:36" x14ac:dyDescent="0.35">
      <c r="A334" s="127" t="s">
        <v>883</v>
      </c>
      <c r="B334" s="127" t="s">
        <v>884</v>
      </c>
      <c r="C334" s="129">
        <v>22</v>
      </c>
      <c r="D334" s="129">
        <v>5</v>
      </c>
      <c r="E334" s="129">
        <v>1</v>
      </c>
      <c r="F334" s="129">
        <v>1</v>
      </c>
      <c r="G334" s="129">
        <v>29</v>
      </c>
      <c r="H334" s="129">
        <v>1</v>
      </c>
      <c r="I334" s="129">
        <v>0</v>
      </c>
      <c r="J334" s="129">
        <v>0</v>
      </c>
      <c r="K334" s="129">
        <v>0</v>
      </c>
      <c r="L334" s="129">
        <v>1</v>
      </c>
      <c r="M334" s="129">
        <v>0</v>
      </c>
      <c r="N334" s="129">
        <v>0</v>
      </c>
      <c r="O334" s="129">
        <v>0</v>
      </c>
      <c r="P334" s="129">
        <v>0</v>
      </c>
      <c r="Q334" s="129">
        <v>0</v>
      </c>
      <c r="R334" s="129">
        <v>0</v>
      </c>
      <c r="S334" s="129">
        <v>0</v>
      </c>
      <c r="T334" s="129">
        <v>0</v>
      </c>
      <c r="U334" s="129">
        <v>0</v>
      </c>
      <c r="V334" s="129">
        <v>0</v>
      </c>
      <c r="W334" s="129">
        <v>2</v>
      </c>
      <c r="X334" s="129">
        <v>0</v>
      </c>
      <c r="Y334" s="129">
        <v>0</v>
      </c>
      <c r="Z334" s="129">
        <v>0</v>
      </c>
      <c r="AA334" s="129">
        <v>2</v>
      </c>
      <c r="AB334" s="129">
        <v>1</v>
      </c>
      <c r="AC334" s="129">
        <v>0</v>
      </c>
      <c r="AD334" s="129">
        <v>0</v>
      </c>
      <c r="AE334" s="129">
        <v>0</v>
      </c>
      <c r="AF334" s="129">
        <v>1</v>
      </c>
      <c r="AG334" s="129">
        <v>0</v>
      </c>
      <c r="AH334" s="129">
        <v>0</v>
      </c>
      <c r="AI334" s="126">
        <v>0</v>
      </c>
      <c r="AJ334" s="131">
        <v>33</v>
      </c>
    </row>
    <row r="335" spans="1:36" x14ac:dyDescent="0.35">
      <c r="A335" s="127" t="s">
        <v>885</v>
      </c>
      <c r="B335" s="127" t="s">
        <v>886</v>
      </c>
      <c r="C335" s="129">
        <v>20</v>
      </c>
      <c r="D335" s="129">
        <v>3</v>
      </c>
      <c r="E335" s="129">
        <v>0</v>
      </c>
      <c r="F335" s="129">
        <v>0</v>
      </c>
      <c r="G335" s="129">
        <v>23</v>
      </c>
      <c r="H335" s="129">
        <v>2</v>
      </c>
      <c r="I335" s="129">
        <v>0</v>
      </c>
      <c r="J335" s="129">
        <v>0</v>
      </c>
      <c r="K335" s="129">
        <v>0</v>
      </c>
      <c r="L335" s="129">
        <v>2</v>
      </c>
      <c r="M335" s="129">
        <v>3</v>
      </c>
      <c r="N335" s="129">
        <v>0</v>
      </c>
      <c r="O335" s="129">
        <v>0</v>
      </c>
      <c r="P335" s="129">
        <v>0</v>
      </c>
      <c r="Q335" s="129">
        <v>3</v>
      </c>
      <c r="R335" s="129">
        <v>2</v>
      </c>
      <c r="S335" s="129">
        <v>0</v>
      </c>
      <c r="T335" s="129">
        <v>0</v>
      </c>
      <c r="U335" s="129">
        <v>0</v>
      </c>
      <c r="V335" s="129">
        <v>2</v>
      </c>
      <c r="W335" s="129">
        <v>3</v>
      </c>
      <c r="X335" s="129">
        <v>0</v>
      </c>
      <c r="Y335" s="129">
        <v>0</v>
      </c>
      <c r="Z335" s="129">
        <v>0</v>
      </c>
      <c r="AA335" s="129">
        <v>3</v>
      </c>
      <c r="AB335" s="129">
        <v>2</v>
      </c>
      <c r="AC335" s="129">
        <v>0</v>
      </c>
      <c r="AD335" s="129">
        <v>0</v>
      </c>
      <c r="AE335" s="129">
        <v>0</v>
      </c>
      <c r="AF335" s="129">
        <v>2</v>
      </c>
      <c r="AG335" s="129">
        <v>0</v>
      </c>
      <c r="AH335" s="129">
        <v>0</v>
      </c>
      <c r="AI335" s="126">
        <v>0</v>
      </c>
      <c r="AJ335" s="131">
        <v>35</v>
      </c>
    </row>
    <row r="336" spans="1:36" x14ac:dyDescent="0.35">
      <c r="A336" s="127" t="s">
        <v>887</v>
      </c>
      <c r="B336" s="127" t="s">
        <v>888</v>
      </c>
      <c r="C336" s="129">
        <v>95</v>
      </c>
      <c r="D336" s="129">
        <v>28</v>
      </c>
      <c r="E336" s="129">
        <v>0</v>
      </c>
      <c r="F336" s="129">
        <v>0</v>
      </c>
      <c r="G336" s="129">
        <v>123</v>
      </c>
      <c r="H336" s="129">
        <v>0</v>
      </c>
      <c r="I336" s="129">
        <v>0</v>
      </c>
      <c r="J336" s="129">
        <v>0</v>
      </c>
      <c r="K336" s="129">
        <v>0</v>
      </c>
      <c r="L336" s="129">
        <v>0</v>
      </c>
      <c r="M336" s="129">
        <v>1</v>
      </c>
      <c r="N336" s="129">
        <v>0</v>
      </c>
      <c r="O336" s="129">
        <v>0</v>
      </c>
      <c r="P336" s="129">
        <v>0</v>
      </c>
      <c r="Q336" s="129">
        <v>1</v>
      </c>
      <c r="R336" s="129">
        <v>1</v>
      </c>
      <c r="S336" s="129">
        <v>0</v>
      </c>
      <c r="T336" s="129">
        <v>0</v>
      </c>
      <c r="U336" s="129">
        <v>0</v>
      </c>
      <c r="V336" s="129">
        <v>1</v>
      </c>
      <c r="W336" s="129">
        <v>5</v>
      </c>
      <c r="X336" s="129">
        <v>0</v>
      </c>
      <c r="Y336" s="129">
        <v>0</v>
      </c>
      <c r="Z336" s="129">
        <v>0</v>
      </c>
      <c r="AA336" s="129">
        <v>5</v>
      </c>
      <c r="AB336" s="129">
        <v>0</v>
      </c>
      <c r="AC336" s="129">
        <v>0</v>
      </c>
      <c r="AD336" s="129">
        <v>0</v>
      </c>
      <c r="AE336" s="129">
        <v>0</v>
      </c>
      <c r="AF336" s="129">
        <v>0</v>
      </c>
      <c r="AG336" s="129">
        <v>0</v>
      </c>
      <c r="AH336" s="129">
        <v>0</v>
      </c>
      <c r="AI336" s="126">
        <v>0</v>
      </c>
      <c r="AJ336" s="131">
        <v>130</v>
      </c>
    </row>
    <row r="337" spans="1:36" x14ac:dyDescent="0.35">
      <c r="A337" s="127" t="s">
        <v>889</v>
      </c>
      <c r="B337" s="127" t="s">
        <v>890</v>
      </c>
      <c r="C337" s="129">
        <v>169</v>
      </c>
      <c r="D337" s="129">
        <v>23</v>
      </c>
      <c r="E337" s="129">
        <v>2</v>
      </c>
      <c r="F337" s="129">
        <v>0</v>
      </c>
      <c r="G337" s="129">
        <v>194</v>
      </c>
      <c r="H337" s="129">
        <v>6</v>
      </c>
      <c r="I337" s="129">
        <v>0</v>
      </c>
      <c r="J337" s="129">
        <v>0</v>
      </c>
      <c r="K337" s="129">
        <v>0</v>
      </c>
      <c r="L337" s="129">
        <v>6</v>
      </c>
      <c r="M337" s="129">
        <v>0</v>
      </c>
      <c r="N337" s="129">
        <v>0</v>
      </c>
      <c r="O337" s="129">
        <v>0</v>
      </c>
      <c r="P337" s="129">
        <v>0</v>
      </c>
      <c r="Q337" s="129">
        <v>0</v>
      </c>
      <c r="R337" s="129">
        <v>0</v>
      </c>
      <c r="S337" s="129">
        <v>0</v>
      </c>
      <c r="T337" s="129">
        <v>0</v>
      </c>
      <c r="U337" s="129">
        <v>0</v>
      </c>
      <c r="V337" s="129">
        <v>0</v>
      </c>
      <c r="W337" s="129">
        <v>8</v>
      </c>
      <c r="X337" s="129">
        <v>0</v>
      </c>
      <c r="Y337" s="129">
        <v>0</v>
      </c>
      <c r="Z337" s="129">
        <v>0</v>
      </c>
      <c r="AA337" s="129">
        <v>8</v>
      </c>
      <c r="AB337" s="129">
        <v>1</v>
      </c>
      <c r="AC337" s="129">
        <v>0</v>
      </c>
      <c r="AD337" s="129">
        <v>0</v>
      </c>
      <c r="AE337" s="129">
        <v>0</v>
      </c>
      <c r="AF337" s="129">
        <v>1</v>
      </c>
      <c r="AG337" s="129">
        <v>0</v>
      </c>
      <c r="AH337" s="129">
        <v>0</v>
      </c>
      <c r="AI337" s="126">
        <v>0</v>
      </c>
      <c r="AJ337" s="131">
        <v>209</v>
      </c>
    </row>
    <row r="338" spans="1:36" x14ac:dyDescent="0.35">
      <c r="A338" s="127" t="s">
        <v>891</v>
      </c>
      <c r="B338" s="127" t="s">
        <v>1249</v>
      </c>
      <c r="C338" s="129">
        <v>15</v>
      </c>
      <c r="D338" s="129">
        <v>1</v>
      </c>
      <c r="E338" s="129">
        <v>0</v>
      </c>
      <c r="F338" s="129">
        <v>0</v>
      </c>
      <c r="G338" s="129">
        <v>16</v>
      </c>
      <c r="H338" s="129">
        <v>0</v>
      </c>
      <c r="I338" s="129">
        <v>0</v>
      </c>
      <c r="J338" s="129">
        <v>0</v>
      </c>
      <c r="K338" s="129">
        <v>0</v>
      </c>
      <c r="L338" s="129">
        <v>0</v>
      </c>
      <c r="M338" s="129">
        <v>0</v>
      </c>
      <c r="N338" s="129">
        <v>0</v>
      </c>
      <c r="O338" s="129">
        <v>0</v>
      </c>
      <c r="P338" s="129">
        <v>0</v>
      </c>
      <c r="Q338" s="129">
        <v>0</v>
      </c>
      <c r="R338" s="129">
        <v>0</v>
      </c>
      <c r="S338" s="129">
        <v>0</v>
      </c>
      <c r="T338" s="129">
        <v>0</v>
      </c>
      <c r="U338" s="129">
        <v>0</v>
      </c>
      <c r="V338" s="129">
        <v>0</v>
      </c>
      <c r="W338" s="129">
        <v>0</v>
      </c>
      <c r="X338" s="129">
        <v>0</v>
      </c>
      <c r="Y338" s="129">
        <v>0</v>
      </c>
      <c r="Z338" s="129">
        <v>0</v>
      </c>
      <c r="AA338" s="129">
        <v>0</v>
      </c>
      <c r="AB338" s="129">
        <v>0</v>
      </c>
      <c r="AC338" s="129">
        <v>0</v>
      </c>
      <c r="AD338" s="129">
        <v>0</v>
      </c>
      <c r="AE338" s="129">
        <v>0</v>
      </c>
      <c r="AF338" s="129">
        <v>0</v>
      </c>
      <c r="AG338" s="129">
        <v>0</v>
      </c>
      <c r="AH338" s="129">
        <v>0</v>
      </c>
      <c r="AI338" s="126">
        <v>0</v>
      </c>
      <c r="AJ338" s="131">
        <v>16</v>
      </c>
    </row>
    <row r="339" spans="1:36" x14ac:dyDescent="0.35">
      <c r="A339" s="127" t="s">
        <v>892</v>
      </c>
      <c r="B339" s="127" t="s">
        <v>893</v>
      </c>
      <c r="C339" s="129">
        <v>4</v>
      </c>
      <c r="D339" s="129">
        <v>1</v>
      </c>
      <c r="E339" s="129">
        <v>0</v>
      </c>
      <c r="F339" s="129">
        <v>0</v>
      </c>
      <c r="G339" s="129">
        <v>5</v>
      </c>
      <c r="H339" s="129">
        <v>0</v>
      </c>
      <c r="I339" s="129">
        <v>0</v>
      </c>
      <c r="J339" s="129">
        <v>0</v>
      </c>
      <c r="K339" s="129">
        <v>0</v>
      </c>
      <c r="L339" s="129">
        <v>0</v>
      </c>
      <c r="M339" s="129">
        <v>0</v>
      </c>
      <c r="N339" s="129">
        <v>0</v>
      </c>
      <c r="O339" s="129">
        <v>0</v>
      </c>
      <c r="P339" s="129">
        <v>0</v>
      </c>
      <c r="Q339" s="129">
        <v>0</v>
      </c>
      <c r="R339" s="129">
        <v>0</v>
      </c>
      <c r="S339" s="129">
        <v>0</v>
      </c>
      <c r="T339" s="129">
        <v>0</v>
      </c>
      <c r="U339" s="129">
        <v>0</v>
      </c>
      <c r="V339" s="129">
        <v>0</v>
      </c>
      <c r="W339" s="129">
        <v>0</v>
      </c>
      <c r="X339" s="129">
        <v>0</v>
      </c>
      <c r="Y339" s="129">
        <v>0</v>
      </c>
      <c r="Z339" s="129">
        <v>0</v>
      </c>
      <c r="AA339" s="129">
        <v>0</v>
      </c>
      <c r="AB339" s="129">
        <v>0</v>
      </c>
      <c r="AC339" s="129">
        <v>0</v>
      </c>
      <c r="AD339" s="129">
        <v>0</v>
      </c>
      <c r="AE339" s="129">
        <v>0</v>
      </c>
      <c r="AF339" s="129">
        <v>0</v>
      </c>
      <c r="AG339" s="129">
        <v>0</v>
      </c>
      <c r="AH339" s="129">
        <v>0</v>
      </c>
      <c r="AI339" s="126">
        <v>0</v>
      </c>
      <c r="AJ339" s="131">
        <v>5</v>
      </c>
    </row>
    <row r="340" spans="1:36" x14ac:dyDescent="0.35">
      <c r="A340" s="127" t="s">
        <v>894</v>
      </c>
      <c r="B340" s="127" t="s">
        <v>895</v>
      </c>
      <c r="C340" s="129">
        <v>3</v>
      </c>
      <c r="D340" s="129">
        <v>0</v>
      </c>
      <c r="E340" s="129">
        <v>0</v>
      </c>
      <c r="F340" s="129">
        <v>0</v>
      </c>
      <c r="G340" s="129">
        <v>3</v>
      </c>
      <c r="H340" s="129">
        <v>0</v>
      </c>
      <c r="I340" s="129">
        <v>0</v>
      </c>
      <c r="J340" s="129">
        <v>0</v>
      </c>
      <c r="K340" s="129">
        <v>0</v>
      </c>
      <c r="L340" s="129">
        <v>0</v>
      </c>
      <c r="M340" s="129">
        <v>0</v>
      </c>
      <c r="N340" s="129">
        <v>0</v>
      </c>
      <c r="O340" s="129">
        <v>0</v>
      </c>
      <c r="P340" s="129">
        <v>0</v>
      </c>
      <c r="Q340" s="129">
        <v>0</v>
      </c>
      <c r="R340" s="129">
        <v>0</v>
      </c>
      <c r="S340" s="129">
        <v>0</v>
      </c>
      <c r="T340" s="129">
        <v>0</v>
      </c>
      <c r="U340" s="129">
        <v>0</v>
      </c>
      <c r="V340" s="129">
        <v>0</v>
      </c>
      <c r="W340" s="129">
        <v>2</v>
      </c>
      <c r="X340" s="129">
        <v>0</v>
      </c>
      <c r="Y340" s="129">
        <v>0</v>
      </c>
      <c r="Z340" s="129">
        <v>0</v>
      </c>
      <c r="AA340" s="129">
        <v>2</v>
      </c>
      <c r="AB340" s="129">
        <v>0</v>
      </c>
      <c r="AC340" s="129">
        <v>0</v>
      </c>
      <c r="AD340" s="129">
        <v>0</v>
      </c>
      <c r="AE340" s="129">
        <v>0</v>
      </c>
      <c r="AF340" s="129">
        <v>0</v>
      </c>
      <c r="AG340" s="129">
        <v>0</v>
      </c>
      <c r="AH340" s="129">
        <v>0</v>
      </c>
      <c r="AI340" s="126">
        <v>0</v>
      </c>
      <c r="AJ340" s="131">
        <v>5</v>
      </c>
    </row>
    <row r="341" spans="1:36" x14ac:dyDescent="0.35">
      <c r="A341" s="127" t="s">
        <v>896</v>
      </c>
      <c r="B341" s="127" t="s">
        <v>1250</v>
      </c>
      <c r="C341" s="129">
        <v>156</v>
      </c>
      <c r="D341" s="129">
        <v>7</v>
      </c>
      <c r="E341" s="129">
        <v>3</v>
      </c>
      <c r="F341" s="129">
        <v>1</v>
      </c>
      <c r="G341" s="129">
        <v>167</v>
      </c>
      <c r="H341" s="129">
        <v>0</v>
      </c>
      <c r="I341" s="129">
        <v>0</v>
      </c>
      <c r="J341" s="129">
        <v>0</v>
      </c>
      <c r="K341" s="129">
        <v>0</v>
      </c>
      <c r="L341" s="129">
        <v>0</v>
      </c>
      <c r="M341" s="129">
        <v>1</v>
      </c>
      <c r="N341" s="129">
        <v>0</v>
      </c>
      <c r="O341" s="129">
        <v>0</v>
      </c>
      <c r="P341" s="129">
        <v>0</v>
      </c>
      <c r="Q341" s="129">
        <v>1</v>
      </c>
      <c r="R341" s="129">
        <v>1</v>
      </c>
      <c r="S341" s="129">
        <v>0</v>
      </c>
      <c r="T341" s="129">
        <v>0</v>
      </c>
      <c r="U341" s="129">
        <v>0</v>
      </c>
      <c r="V341" s="129">
        <v>1</v>
      </c>
      <c r="W341" s="129">
        <v>6</v>
      </c>
      <c r="X341" s="129">
        <v>0</v>
      </c>
      <c r="Y341" s="129">
        <v>0</v>
      </c>
      <c r="Z341" s="129">
        <v>0</v>
      </c>
      <c r="AA341" s="129">
        <v>6</v>
      </c>
      <c r="AB341" s="129">
        <v>0</v>
      </c>
      <c r="AC341" s="129">
        <v>1</v>
      </c>
      <c r="AD341" s="129">
        <v>0</v>
      </c>
      <c r="AE341" s="129">
        <v>0</v>
      </c>
      <c r="AF341" s="129">
        <v>1</v>
      </c>
      <c r="AG341" s="129">
        <v>0</v>
      </c>
      <c r="AH341" s="129">
        <v>0</v>
      </c>
      <c r="AI341" s="126">
        <v>0</v>
      </c>
      <c r="AJ341" s="131">
        <v>176</v>
      </c>
    </row>
    <row r="342" spans="1:36" x14ac:dyDescent="0.35">
      <c r="A342" s="127" t="s">
        <v>897</v>
      </c>
      <c r="B342" s="127" t="s">
        <v>898</v>
      </c>
      <c r="C342" s="129">
        <v>18</v>
      </c>
      <c r="D342" s="129">
        <v>13</v>
      </c>
      <c r="E342" s="129">
        <v>0</v>
      </c>
      <c r="F342" s="129">
        <v>0</v>
      </c>
      <c r="G342" s="129">
        <v>31</v>
      </c>
      <c r="H342" s="129">
        <v>3</v>
      </c>
      <c r="I342" s="129">
        <v>0</v>
      </c>
      <c r="J342" s="129">
        <v>0</v>
      </c>
      <c r="K342" s="129">
        <v>0</v>
      </c>
      <c r="L342" s="129">
        <v>3</v>
      </c>
      <c r="M342" s="129">
        <v>0</v>
      </c>
      <c r="N342" s="129">
        <v>0</v>
      </c>
      <c r="O342" s="129">
        <v>0</v>
      </c>
      <c r="P342" s="129">
        <v>0</v>
      </c>
      <c r="Q342" s="129">
        <v>0</v>
      </c>
      <c r="R342" s="129">
        <v>1</v>
      </c>
      <c r="S342" s="129">
        <v>0</v>
      </c>
      <c r="T342" s="129">
        <v>0</v>
      </c>
      <c r="U342" s="129">
        <v>0</v>
      </c>
      <c r="V342" s="129">
        <v>1</v>
      </c>
      <c r="W342" s="129">
        <v>2</v>
      </c>
      <c r="X342" s="129">
        <v>0</v>
      </c>
      <c r="Y342" s="129">
        <v>0</v>
      </c>
      <c r="Z342" s="129">
        <v>0</v>
      </c>
      <c r="AA342" s="129">
        <v>2</v>
      </c>
      <c r="AB342" s="129">
        <v>2</v>
      </c>
      <c r="AC342" s="129">
        <v>0</v>
      </c>
      <c r="AD342" s="129">
        <v>0</v>
      </c>
      <c r="AE342" s="129">
        <v>0</v>
      </c>
      <c r="AF342" s="129">
        <v>2</v>
      </c>
      <c r="AG342" s="129">
        <v>0</v>
      </c>
      <c r="AH342" s="129">
        <v>0</v>
      </c>
      <c r="AI342" s="126">
        <v>0</v>
      </c>
      <c r="AJ342" s="131">
        <v>39</v>
      </c>
    </row>
    <row r="343" spans="1:36" x14ac:dyDescent="0.35">
      <c r="A343" s="127" t="s">
        <v>899</v>
      </c>
      <c r="B343" s="127" t="s">
        <v>900</v>
      </c>
      <c r="C343" s="129">
        <v>8</v>
      </c>
      <c r="D343" s="129">
        <v>2</v>
      </c>
      <c r="E343" s="129">
        <v>1</v>
      </c>
      <c r="F343" s="129">
        <v>2</v>
      </c>
      <c r="G343" s="129">
        <v>13</v>
      </c>
      <c r="H343" s="129">
        <v>2</v>
      </c>
      <c r="I343" s="129">
        <v>0</v>
      </c>
      <c r="J343" s="129">
        <v>0</v>
      </c>
      <c r="K343" s="129">
        <v>0</v>
      </c>
      <c r="L343" s="129">
        <v>2</v>
      </c>
      <c r="M343" s="129">
        <v>5</v>
      </c>
      <c r="N343" s="129">
        <v>0</v>
      </c>
      <c r="O343" s="129">
        <v>0</v>
      </c>
      <c r="P343" s="129">
        <v>0</v>
      </c>
      <c r="Q343" s="129">
        <v>5</v>
      </c>
      <c r="R343" s="129">
        <v>1</v>
      </c>
      <c r="S343" s="129">
        <v>0</v>
      </c>
      <c r="T343" s="129">
        <v>0</v>
      </c>
      <c r="U343" s="129">
        <v>0</v>
      </c>
      <c r="V343" s="129">
        <v>1</v>
      </c>
      <c r="W343" s="129">
        <v>1</v>
      </c>
      <c r="X343" s="129">
        <v>0</v>
      </c>
      <c r="Y343" s="129">
        <v>0</v>
      </c>
      <c r="Z343" s="129">
        <v>0</v>
      </c>
      <c r="AA343" s="129">
        <v>1</v>
      </c>
      <c r="AB343" s="129">
        <v>1</v>
      </c>
      <c r="AC343" s="129">
        <v>0</v>
      </c>
      <c r="AD343" s="129">
        <v>0</v>
      </c>
      <c r="AE343" s="129">
        <v>0</v>
      </c>
      <c r="AF343" s="129">
        <v>1</v>
      </c>
      <c r="AG343" s="129">
        <v>0</v>
      </c>
      <c r="AH343" s="129">
        <v>0</v>
      </c>
      <c r="AI343" s="126">
        <v>0</v>
      </c>
      <c r="AJ343" s="131">
        <v>23</v>
      </c>
    </row>
    <row r="344" spans="1:36" x14ac:dyDescent="0.35">
      <c r="A344" s="127" t="s">
        <v>901</v>
      </c>
      <c r="B344" s="127" t="s">
        <v>902</v>
      </c>
      <c r="C344" s="129">
        <v>60</v>
      </c>
      <c r="D344" s="129">
        <v>8</v>
      </c>
      <c r="E344" s="129">
        <v>0</v>
      </c>
      <c r="F344" s="129">
        <v>3</v>
      </c>
      <c r="G344" s="129">
        <v>71</v>
      </c>
      <c r="H344" s="129">
        <v>12</v>
      </c>
      <c r="I344" s="129">
        <v>1</v>
      </c>
      <c r="J344" s="129">
        <v>0</v>
      </c>
      <c r="K344" s="129">
        <v>0</v>
      </c>
      <c r="L344" s="129">
        <v>13</v>
      </c>
      <c r="M344" s="129">
        <v>6</v>
      </c>
      <c r="N344" s="129">
        <v>3</v>
      </c>
      <c r="O344" s="129">
        <v>0</v>
      </c>
      <c r="P344" s="129">
        <v>0</v>
      </c>
      <c r="Q344" s="129">
        <v>9</v>
      </c>
      <c r="R344" s="129">
        <v>7</v>
      </c>
      <c r="S344" s="129">
        <v>0</v>
      </c>
      <c r="T344" s="129">
        <v>0</v>
      </c>
      <c r="U344" s="129">
        <v>0</v>
      </c>
      <c r="V344" s="129">
        <v>7</v>
      </c>
      <c r="W344" s="129">
        <v>8</v>
      </c>
      <c r="X344" s="129">
        <v>2</v>
      </c>
      <c r="Y344" s="129">
        <v>0</v>
      </c>
      <c r="Z344" s="129">
        <v>0</v>
      </c>
      <c r="AA344" s="129">
        <v>10</v>
      </c>
      <c r="AB344" s="129">
        <v>9</v>
      </c>
      <c r="AC344" s="129">
        <v>1</v>
      </c>
      <c r="AD344" s="129">
        <v>0</v>
      </c>
      <c r="AE344" s="129">
        <v>0</v>
      </c>
      <c r="AF344" s="129">
        <v>10</v>
      </c>
      <c r="AG344" s="129">
        <v>0</v>
      </c>
      <c r="AH344" s="129">
        <v>0</v>
      </c>
      <c r="AI344" s="126">
        <v>0</v>
      </c>
      <c r="AJ344" s="131">
        <v>120</v>
      </c>
    </row>
    <row r="345" spans="1:36" x14ac:dyDescent="0.35">
      <c r="A345" s="127" t="s">
        <v>903</v>
      </c>
      <c r="B345" s="127" t="s">
        <v>904</v>
      </c>
      <c r="C345" s="129">
        <v>58</v>
      </c>
      <c r="D345" s="129">
        <v>4</v>
      </c>
      <c r="E345" s="129">
        <v>1</v>
      </c>
      <c r="F345" s="129">
        <v>1</v>
      </c>
      <c r="G345" s="129">
        <v>64</v>
      </c>
      <c r="H345" s="129">
        <v>16</v>
      </c>
      <c r="I345" s="129">
        <v>0</v>
      </c>
      <c r="J345" s="129">
        <v>0</v>
      </c>
      <c r="K345" s="129">
        <v>0</v>
      </c>
      <c r="L345" s="129">
        <v>16</v>
      </c>
      <c r="M345" s="129">
        <v>4</v>
      </c>
      <c r="N345" s="129">
        <v>0</v>
      </c>
      <c r="O345" s="129">
        <v>0</v>
      </c>
      <c r="P345" s="129">
        <v>0</v>
      </c>
      <c r="Q345" s="129">
        <v>4</v>
      </c>
      <c r="R345" s="129">
        <v>1</v>
      </c>
      <c r="S345" s="129">
        <v>0</v>
      </c>
      <c r="T345" s="129">
        <v>0</v>
      </c>
      <c r="U345" s="129">
        <v>0</v>
      </c>
      <c r="V345" s="129">
        <v>1</v>
      </c>
      <c r="W345" s="129">
        <v>8</v>
      </c>
      <c r="X345" s="129">
        <v>0</v>
      </c>
      <c r="Y345" s="129">
        <v>0</v>
      </c>
      <c r="Z345" s="129">
        <v>0</v>
      </c>
      <c r="AA345" s="129">
        <v>8</v>
      </c>
      <c r="AB345" s="129">
        <v>3</v>
      </c>
      <c r="AC345" s="129">
        <v>0</v>
      </c>
      <c r="AD345" s="129">
        <v>0</v>
      </c>
      <c r="AE345" s="129">
        <v>0</v>
      </c>
      <c r="AF345" s="129">
        <v>3</v>
      </c>
      <c r="AG345" s="129">
        <v>0</v>
      </c>
      <c r="AH345" s="129">
        <v>0</v>
      </c>
      <c r="AI345" s="126">
        <v>0</v>
      </c>
      <c r="AJ345" s="131">
        <v>96</v>
      </c>
    </row>
    <row r="346" spans="1:36" x14ac:dyDescent="0.35">
      <c r="A346" s="127" t="s">
        <v>905</v>
      </c>
      <c r="B346" s="127" t="s">
        <v>906</v>
      </c>
      <c r="C346" s="129">
        <v>5</v>
      </c>
      <c r="D346" s="129">
        <v>0</v>
      </c>
      <c r="E346" s="129">
        <v>0</v>
      </c>
      <c r="F346" s="129">
        <v>0</v>
      </c>
      <c r="G346" s="129">
        <v>5</v>
      </c>
      <c r="H346" s="129">
        <v>1</v>
      </c>
      <c r="I346" s="129">
        <v>0</v>
      </c>
      <c r="J346" s="129">
        <v>0</v>
      </c>
      <c r="K346" s="129">
        <v>0</v>
      </c>
      <c r="L346" s="129">
        <v>1</v>
      </c>
      <c r="M346" s="129">
        <v>2</v>
      </c>
      <c r="N346" s="129">
        <v>0</v>
      </c>
      <c r="O346" s="129">
        <v>0</v>
      </c>
      <c r="P346" s="129">
        <v>0</v>
      </c>
      <c r="Q346" s="129">
        <v>2</v>
      </c>
      <c r="R346" s="129">
        <v>3</v>
      </c>
      <c r="S346" s="129">
        <v>0</v>
      </c>
      <c r="T346" s="129">
        <v>0</v>
      </c>
      <c r="U346" s="129">
        <v>0</v>
      </c>
      <c r="V346" s="129">
        <v>3</v>
      </c>
      <c r="W346" s="129">
        <v>1</v>
      </c>
      <c r="X346" s="129">
        <v>0</v>
      </c>
      <c r="Y346" s="129">
        <v>0</v>
      </c>
      <c r="Z346" s="129">
        <v>0</v>
      </c>
      <c r="AA346" s="129">
        <v>1</v>
      </c>
      <c r="AB346" s="129">
        <v>0</v>
      </c>
      <c r="AC346" s="129">
        <v>0</v>
      </c>
      <c r="AD346" s="129">
        <v>0</v>
      </c>
      <c r="AE346" s="129">
        <v>0</v>
      </c>
      <c r="AF346" s="129">
        <v>0</v>
      </c>
      <c r="AG346" s="129">
        <v>0</v>
      </c>
      <c r="AH346" s="129">
        <v>0</v>
      </c>
      <c r="AI346" s="126">
        <v>0</v>
      </c>
      <c r="AJ346" s="131">
        <v>12</v>
      </c>
    </row>
    <row r="347" spans="1:36" x14ac:dyDescent="0.35">
      <c r="A347" s="127" t="s">
        <v>907</v>
      </c>
      <c r="B347" s="127" t="s">
        <v>908</v>
      </c>
      <c r="C347" s="129">
        <v>243</v>
      </c>
      <c r="D347" s="129">
        <v>19</v>
      </c>
      <c r="E347" s="129">
        <v>2</v>
      </c>
      <c r="F347" s="129">
        <v>3</v>
      </c>
      <c r="G347" s="129">
        <v>267</v>
      </c>
      <c r="H347" s="129">
        <v>33</v>
      </c>
      <c r="I347" s="129">
        <v>0</v>
      </c>
      <c r="J347" s="129">
        <v>0</v>
      </c>
      <c r="K347" s="129">
        <v>0</v>
      </c>
      <c r="L347" s="129">
        <v>33</v>
      </c>
      <c r="M347" s="129">
        <v>32</v>
      </c>
      <c r="N347" s="129">
        <v>1</v>
      </c>
      <c r="O347" s="129">
        <v>0</v>
      </c>
      <c r="P347" s="129">
        <v>0</v>
      </c>
      <c r="Q347" s="129">
        <v>33</v>
      </c>
      <c r="R347" s="129">
        <v>16</v>
      </c>
      <c r="S347" s="129">
        <v>0</v>
      </c>
      <c r="T347" s="129">
        <v>0</v>
      </c>
      <c r="U347" s="129">
        <v>0</v>
      </c>
      <c r="V347" s="129">
        <v>16</v>
      </c>
      <c r="W347" s="129">
        <v>46</v>
      </c>
      <c r="X347" s="129">
        <v>0</v>
      </c>
      <c r="Y347" s="129">
        <v>0</v>
      </c>
      <c r="Z347" s="129">
        <v>0</v>
      </c>
      <c r="AA347" s="129">
        <v>46</v>
      </c>
      <c r="AB347" s="129">
        <v>15</v>
      </c>
      <c r="AC347" s="129">
        <v>0</v>
      </c>
      <c r="AD347" s="129">
        <v>0</v>
      </c>
      <c r="AE347" s="129">
        <v>0</v>
      </c>
      <c r="AF347" s="129">
        <v>15</v>
      </c>
      <c r="AG347" s="129">
        <v>0</v>
      </c>
      <c r="AH347" s="129">
        <v>0</v>
      </c>
      <c r="AI347" s="126">
        <v>0</v>
      </c>
      <c r="AJ347" s="131">
        <v>410</v>
      </c>
    </row>
    <row r="348" spans="1:36" x14ac:dyDescent="0.35">
      <c r="A348" s="127" t="s">
        <v>909</v>
      </c>
      <c r="B348" s="127" t="s">
        <v>910</v>
      </c>
      <c r="C348" s="129">
        <v>1279</v>
      </c>
      <c r="D348" s="129">
        <v>240</v>
      </c>
      <c r="E348" s="129">
        <v>50</v>
      </c>
      <c r="F348" s="129">
        <v>5</v>
      </c>
      <c r="G348" s="129">
        <v>1574</v>
      </c>
      <c r="H348" s="129">
        <v>4</v>
      </c>
      <c r="I348" s="129">
        <v>1</v>
      </c>
      <c r="J348" s="129">
        <v>0</v>
      </c>
      <c r="K348" s="129">
        <v>0</v>
      </c>
      <c r="L348" s="129">
        <v>5</v>
      </c>
      <c r="M348" s="129">
        <v>6</v>
      </c>
      <c r="N348" s="129">
        <v>0</v>
      </c>
      <c r="O348" s="129">
        <v>0</v>
      </c>
      <c r="P348" s="129">
        <v>0</v>
      </c>
      <c r="Q348" s="129">
        <v>6</v>
      </c>
      <c r="R348" s="129">
        <v>6</v>
      </c>
      <c r="S348" s="129">
        <v>1</v>
      </c>
      <c r="T348" s="129">
        <v>0</v>
      </c>
      <c r="U348" s="129">
        <v>0</v>
      </c>
      <c r="V348" s="129">
        <v>7</v>
      </c>
      <c r="W348" s="129">
        <v>85</v>
      </c>
      <c r="X348" s="129">
        <v>2</v>
      </c>
      <c r="Y348" s="129">
        <v>0</v>
      </c>
      <c r="Z348" s="129">
        <v>0</v>
      </c>
      <c r="AA348" s="129">
        <v>87</v>
      </c>
      <c r="AB348" s="129">
        <v>1</v>
      </c>
      <c r="AC348" s="129">
        <v>0</v>
      </c>
      <c r="AD348" s="129">
        <v>0</v>
      </c>
      <c r="AE348" s="129">
        <v>0</v>
      </c>
      <c r="AF348" s="129">
        <v>1</v>
      </c>
      <c r="AG348" s="129">
        <v>0</v>
      </c>
      <c r="AH348" s="129">
        <v>0</v>
      </c>
      <c r="AI348" s="126">
        <v>0</v>
      </c>
      <c r="AJ348" s="131">
        <v>1680</v>
      </c>
    </row>
    <row r="349" spans="1:36" x14ac:dyDescent="0.35">
      <c r="A349" s="127" t="s">
        <v>911</v>
      </c>
      <c r="B349" s="127" t="s">
        <v>912</v>
      </c>
      <c r="C349" s="129">
        <v>535</v>
      </c>
      <c r="D349" s="129">
        <v>85</v>
      </c>
      <c r="E349" s="129">
        <v>7</v>
      </c>
      <c r="F349" s="129">
        <v>5</v>
      </c>
      <c r="G349" s="129">
        <v>632</v>
      </c>
      <c r="H349" s="129">
        <v>2</v>
      </c>
      <c r="I349" s="129">
        <v>0</v>
      </c>
      <c r="J349" s="129">
        <v>0</v>
      </c>
      <c r="K349" s="129">
        <v>0</v>
      </c>
      <c r="L349" s="129">
        <v>2</v>
      </c>
      <c r="M349" s="129">
        <v>1</v>
      </c>
      <c r="N349" s="129">
        <v>0</v>
      </c>
      <c r="O349" s="129">
        <v>0</v>
      </c>
      <c r="P349" s="129">
        <v>0</v>
      </c>
      <c r="Q349" s="129">
        <v>1</v>
      </c>
      <c r="R349" s="129">
        <v>2</v>
      </c>
      <c r="S349" s="129">
        <v>0</v>
      </c>
      <c r="T349" s="129">
        <v>0</v>
      </c>
      <c r="U349" s="129">
        <v>0</v>
      </c>
      <c r="V349" s="129">
        <v>2</v>
      </c>
      <c r="W349" s="129">
        <v>31</v>
      </c>
      <c r="X349" s="129">
        <v>3</v>
      </c>
      <c r="Y349" s="129">
        <v>0</v>
      </c>
      <c r="Z349" s="129">
        <v>0</v>
      </c>
      <c r="AA349" s="129">
        <v>34</v>
      </c>
      <c r="AB349" s="129">
        <v>1</v>
      </c>
      <c r="AC349" s="129">
        <v>0</v>
      </c>
      <c r="AD349" s="129">
        <v>0</v>
      </c>
      <c r="AE349" s="129">
        <v>0</v>
      </c>
      <c r="AF349" s="129">
        <v>1</v>
      </c>
      <c r="AG349" s="129">
        <v>0</v>
      </c>
      <c r="AH349" s="129">
        <v>0</v>
      </c>
      <c r="AI349" s="126">
        <v>0</v>
      </c>
      <c r="AJ349" s="131">
        <v>672</v>
      </c>
    </row>
    <row r="350" spans="1:36" x14ac:dyDescent="0.35">
      <c r="A350" s="127" t="s">
        <v>913</v>
      </c>
      <c r="B350" s="127" t="s">
        <v>914</v>
      </c>
      <c r="C350" s="129">
        <v>244</v>
      </c>
      <c r="D350" s="129">
        <v>48</v>
      </c>
      <c r="E350" s="129">
        <v>9</v>
      </c>
      <c r="F350" s="129">
        <v>3</v>
      </c>
      <c r="G350" s="129">
        <v>304</v>
      </c>
      <c r="H350" s="129">
        <v>4</v>
      </c>
      <c r="I350" s="129">
        <v>0</v>
      </c>
      <c r="J350" s="129">
        <v>0</v>
      </c>
      <c r="K350" s="129">
        <v>0</v>
      </c>
      <c r="L350" s="129">
        <v>4</v>
      </c>
      <c r="M350" s="129">
        <v>1</v>
      </c>
      <c r="N350" s="129">
        <v>0</v>
      </c>
      <c r="O350" s="129">
        <v>0</v>
      </c>
      <c r="P350" s="129">
        <v>0</v>
      </c>
      <c r="Q350" s="129">
        <v>1</v>
      </c>
      <c r="R350" s="129">
        <v>1</v>
      </c>
      <c r="S350" s="129">
        <v>0</v>
      </c>
      <c r="T350" s="129">
        <v>0</v>
      </c>
      <c r="U350" s="129">
        <v>0</v>
      </c>
      <c r="V350" s="129">
        <v>1</v>
      </c>
      <c r="W350" s="129">
        <v>16</v>
      </c>
      <c r="X350" s="129">
        <v>0</v>
      </c>
      <c r="Y350" s="129">
        <v>0</v>
      </c>
      <c r="Z350" s="129">
        <v>0</v>
      </c>
      <c r="AA350" s="129">
        <v>16</v>
      </c>
      <c r="AB350" s="129">
        <v>1</v>
      </c>
      <c r="AC350" s="129">
        <v>0</v>
      </c>
      <c r="AD350" s="129">
        <v>0</v>
      </c>
      <c r="AE350" s="129">
        <v>0</v>
      </c>
      <c r="AF350" s="129">
        <v>1</v>
      </c>
      <c r="AG350" s="129">
        <v>0</v>
      </c>
      <c r="AH350" s="129">
        <v>0</v>
      </c>
      <c r="AI350" s="126">
        <v>0</v>
      </c>
      <c r="AJ350" s="131">
        <v>327</v>
      </c>
    </row>
    <row r="351" spans="1:36" x14ac:dyDescent="0.35">
      <c r="A351" s="127" t="s">
        <v>915</v>
      </c>
      <c r="B351" s="127" t="s">
        <v>916</v>
      </c>
      <c r="C351" s="129">
        <v>221</v>
      </c>
      <c r="D351" s="129">
        <v>37</v>
      </c>
      <c r="E351" s="129">
        <v>4</v>
      </c>
      <c r="F351" s="129">
        <v>2</v>
      </c>
      <c r="G351" s="129">
        <v>264</v>
      </c>
      <c r="H351" s="129">
        <v>2</v>
      </c>
      <c r="I351" s="129">
        <v>0</v>
      </c>
      <c r="J351" s="129">
        <v>0</v>
      </c>
      <c r="K351" s="129">
        <v>0</v>
      </c>
      <c r="L351" s="129">
        <v>2</v>
      </c>
      <c r="M351" s="129">
        <v>1</v>
      </c>
      <c r="N351" s="129">
        <v>0</v>
      </c>
      <c r="O351" s="129">
        <v>0</v>
      </c>
      <c r="P351" s="129">
        <v>0</v>
      </c>
      <c r="Q351" s="129">
        <v>1</v>
      </c>
      <c r="R351" s="129">
        <v>1</v>
      </c>
      <c r="S351" s="129">
        <v>0</v>
      </c>
      <c r="T351" s="129">
        <v>0</v>
      </c>
      <c r="U351" s="129">
        <v>0</v>
      </c>
      <c r="V351" s="129">
        <v>1</v>
      </c>
      <c r="W351" s="129">
        <v>19</v>
      </c>
      <c r="X351" s="129">
        <v>0</v>
      </c>
      <c r="Y351" s="129">
        <v>0</v>
      </c>
      <c r="Z351" s="129">
        <v>0</v>
      </c>
      <c r="AA351" s="129">
        <v>19</v>
      </c>
      <c r="AB351" s="129">
        <v>2</v>
      </c>
      <c r="AC351" s="129">
        <v>1</v>
      </c>
      <c r="AD351" s="129">
        <v>0</v>
      </c>
      <c r="AE351" s="129">
        <v>0</v>
      </c>
      <c r="AF351" s="129">
        <v>3</v>
      </c>
      <c r="AG351" s="129">
        <v>0</v>
      </c>
      <c r="AH351" s="129">
        <v>0</v>
      </c>
      <c r="AI351" s="126">
        <v>0</v>
      </c>
      <c r="AJ351" s="131">
        <v>290</v>
      </c>
    </row>
    <row r="352" spans="1:36" x14ac:dyDescent="0.35">
      <c r="A352" s="127" t="s">
        <v>917</v>
      </c>
      <c r="B352" s="127" t="s">
        <v>918</v>
      </c>
      <c r="C352" s="129">
        <v>108</v>
      </c>
      <c r="D352" s="129">
        <v>3</v>
      </c>
      <c r="E352" s="129">
        <v>1</v>
      </c>
      <c r="F352" s="129">
        <v>0</v>
      </c>
      <c r="G352" s="129">
        <v>112</v>
      </c>
      <c r="H352" s="129">
        <v>0</v>
      </c>
      <c r="I352" s="129">
        <v>0</v>
      </c>
      <c r="J352" s="129">
        <v>0</v>
      </c>
      <c r="K352" s="129">
        <v>0</v>
      </c>
      <c r="L352" s="129">
        <v>0</v>
      </c>
      <c r="M352" s="129">
        <v>2</v>
      </c>
      <c r="N352" s="129">
        <v>0</v>
      </c>
      <c r="O352" s="129">
        <v>0</v>
      </c>
      <c r="P352" s="129">
        <v>0</v>
      </c>
      <c r="Q352" s="129">
        <v>2</v>
      </c>
      <c r="R352" s="129">
        <v>0</v>
      </c>
      <c r="S352" s="129">
        <v>0</v>
      </c>
      <c r="T352" s="129">
        <v>0</v>
      </c>
      <c r="U352" s="129">
        <v>0</v>
      </c>
      <c r="V352" s="129">
        <v>0</v>
      </c>
      <c r="W352" s="129">
        <v>13</v>
      </c>
      <c r="X352" s="129">
        <v>0</v>
      </c>
      <c r="Y352" s="129">
        <v>0</v>
      </c>
      <c r="Z352" s="129">
        <v>0</v>
      </c>
      <c r="AA352" s="129">
        <v>13</v>
      </c>
      <c r="AB352" s="129">
        <v>0</v>
      </c>
      <c r="AC352" s="129">
        <v>0</v>
      </c>
      <c r="AD352" s="129">
        <v>0</v>
      </c>
      <c r="AE352" s="129">
        <v>0</v>
      </c>
      <c r="AF352" s="129">
        <v>0</v>
      </c>
      <c r="AG352" s="129">
        <v>0</v>
      </c>
      <c r="AH352" s="129">
        <v>0</v>
      </c>
      <c r="AI352" s="126">
        <v>0</v>
      </c>
      <c r="AJ352" s="131">
        <v>127</v>
      </c>
    </row>
    <row r="353" spans="1:36" x14ac:dyDescent="0.35">
      <c r="A353" s="127" t="s">
        <v>919</v>
      </c>
      <c r="B353" s="127" t="s">
        <v>920</v>
      </c>
      <c r="C353" s="129">
        <v>9</v>
      </c>
      <c r="D353" s="129">
        <v>0</v>
      </c>
      <c r="E353" s="129">
        <v>0</v>
      </c>
      <c r="F353" s="129">
        <v>0</v>
      </c>
      <c r="G353" s="129">
        <v>9</v>
      </c>
      <c r="H353" s="129">
        <v>0</v>
      </c>
      <c r="I353" s="129">
        <v>0</v>
      </c>
      <c r="J353" s="129">
        <v>0</v>
      </c>
      <c r="K353" s="129">
        <v>0</v>
      </c>
      <c r="L353" s="129">
        <v>0</v>
      </c>
      <c r="M353" s="129">
        <v>1</v>
      </c>
      <c r="N353" s="129">
        <v>0</v>
      </c>
      <c r="O353" s="129">
        <v>0</v>
      </c>
      <c r="P353" s="129">
        <v>0</v>
      </c>
      <c r="Q353" s="129">
        <v>1</v>
      </c>
      <c r="R353" s="129">
        <v>0</v>
      </c>
      <c r="S353" s="129">
        <v>0</v>
      </c>
      <c r="T353" s="129">
        <v>0</v>
      </c>
      <c r="U353" s="129">
        <v>0</v>
      </c>
      <c r="V353" s="129">
        <v>0</v>
      </c>
      <c r="W353" s="129">
        <v>1</v>
      </c>
      <c r="X353" s="129">
        <v>0</v>
      </c>
      <c r="Y353" s="129">
        <v>0</v>
      </c>
      <c r="Z353" s="129">
        <v>0</v>
      </c>
      <c r="AA353" s="129">
        <v>1</v>
      </c>
      <c r="AB353" s="129">
        <v>0</v>
      </c>
      <c r="AC353" s="129">
        <v>0</v>
      </c>
      <c r="AD353" s="129">
        <v>0</v>
      </c>
      <c r="AE353" s="129">
        <v>0</v>
      </c>
      <c r="AF353" s="129">
        <v>0</v>
      </c>
      <c r="AG353" s="129">
        <v>0</v>
      </c>
      <c r="AH353" s="129">
        <v>0</v>
      </c>
      <c r="AI353" s="126">
        <v>0</v>
      </c>
      <c r="AJ353" s="131">
        <v>11</v>
      </c>
    </row>
    <row r="354" spans="1:36" x14ac:dyDescent="0.35">
      <c r="A354" s="127" t="s">
        <v>921</v>
      </c>
      <c r="B354" s="127" t="s">
        <v>1251</v>
      </c>
      <c r="C354" s="129">
        <v>44</v>
      </c>
      <c r="D354" s="129">
        <v>12</v>
      </c>
      <c r="E354" s="129">
        <v>5</v>
      </c>
      <c r="F354" s="129">
        <v>1</v>
      </c>
      <c r="G354" s="129">
        <v>62</v>
      </c>
      <c r="H354" s="129">
        <v>1</v>
      </c>
      <c r="I354" s="129">
        <v>0</v>
      </c>
      <c r="J354" s="129">
        <v>0</v>
      </c>
      <c r="K354" s="129">
        <v>0</v>
      </c>
      <c r="L354" s="129">
        <v>1</v>
      </c>
      <c r="M354" s="129">
        <v>2</v>
      </c>
      <c r="N354" s="129">
        <v>0</v>
      </c>
      <c r="O354" s="129">
        <v>0</v>
      </c>
      <c r="P354" s="129">
        <v>0</v>
      </c>
      <c r="Q354" s="129">
        <v>2</v>
      </c>
      <c r="R354" s="129">
        <v>0</v>
      </c>
      <c r="S354" s="129">
        <v>0</v>
      </c>
      <c r="T354" s="129">
        <v>0</v>
      </c>
      <c r="U354" s="129">
        <v>0</v>
      </c>
      <c r="V354" s="129">
        <v>0</v>
      </c>
      <c r="W354" s="129">
        <v>5</v>
      </c>
      <c r="X354" s="129">
        <v>0</v>
      </c>
      <c r="Y354" s="129">
        <v>0</v>
      </c>
      <c r="Z354" s="129">
        <v>0</v>
      </c>
      <c r="AA354" s="129">
        <v>5</v>
      </c>
      <c r="AB354" s="129">
        <v>0</v>
      </c>
      <c r="AC354" s="129">
        <v>0</v>
      </c>
      <c r="AD354" s="129">
        <v>0</v>
      </c>
      <c r="AE354" s="129">
        <v>0</v>
      </c>
      <c r="AF354" s="129">
        <v>0</v>
      </c>
      <c r="AG354" s="129">
        <v>0</v>
      </c>
      <c r="AH354" s="129">
        <v>0</v>
      </c>
      <c r="AI354" s="126">
        <v>0</v>
      </c>
      <c r="AJ354" s="131">
        <v>70</v>
      </c>
    </row>
    <row r="355" spans="1:36" x14ac:dyDescent="0.35">
      <c r="A355" s="127" t="s">
        <v>1404</v>
      </c>
      <c r="B355" s="127" t="s">
        <v>1405</v>
      </c>
      <c r="C355" s="129">
        <v>0</v>
      </c>
      <c r="D355" s="129">
        <v>0</v>
      </c>
      <c r="E355" s="129">
        <v>0</v>
      </c>
      <c r="F355" s="129">
        <v>0</v>
      </c>
      <c r="G355" s="129">
        <v>0</v>
      </c>
      <c r="H355" s="129">
        <v>0</v>
      </c>
      <c r="I355" s="129">
        <v>0</v>
      </c>
      <c r="J355" s="129">
        <v>0</v>
      </c>
      <c r="K355" s="129">
        <v>0</v>
      </c>
      <c r="L355" s="129">
        <v>0</v>
      </c>
      <c r="M355" s="129">
        <v>0</v>
      </c>
      <c r="N355" s="129">
        <v>0</v>
      </c>
      <c r="O355" s="129">
        <v>0</v>
      </c>
      <c r="P355" s="129">
        <v>0</v>
      </c>
      <c r="Q355" s="129">
        <v>0</v>
      </c>
      <c r="R355" s="129">
        <v>0</v>
      </c>
      <c r="S355" s="129">
        <v>0</v>
      </c>
      <c r="T355" s="129">
        <v>0</v>
      </c>
      <c r="U355" s="129">
        <v>0</v>
      </c>
      <c r="V355" s="129">
        <v>0</v>
      </c>
      <c r="W355" s="129">
        <v>0</v>
      </c>
      <c r="X355" s="129">
        <v>0</v>
      </c>
      <c r="Y355" s="129">
        <v>0</v>
      </c>
      <c r="Z355" s="129">
        <v>0</v>
      </c>
      <c r="AA355" s="129">
        <v>0</v>
      </c>
      <c r="AB355" s="129">
        <v>0</v>
      </c>
      <c r="AC355" s="129">
        <v>0</v>
      </c>
      <c r="AD355" s="129">
        <v>0</v>
      </c>
      <c r="AE355" s="129">
        <v>0</v>
      </c>
      <c r="AF355" s="129">
        <v>0</v>
      </c>
      <c r="AG355" s="129">
        <v>0</v>
      </c>
      <c r="AH355" s="129">
        <v>0</v>
      </c>
      <c r="AI355" s="126">
        <v>0</v>
      </c>
      <c r="AJ355" s="131">
        <v>0</v>
      </c>
    </row>
    <row r="356" spans="1:36" x14ac:dyDescent="0.35">
      <c r="A356" s="127" t="s">
        <v>922</v>
      </c>
      <c r="B356" s="127" t="s">
        <v>923</v>
      </c>
      <c r="C356" s="129">
        <v>0</v>
      </c>
      <c r="D356" s="129">
        <v>0</v>
      </c>
      <c r="E356" s="129">
        <v>0</v>
      </c>
      <c r="F356" s="129">
        <v>2</v>
      </c>
      <c r="G356" s="129">
        <v>2</v>
      </c>
      <c r="H356" s="129">
        <v>0</v>
      </c>
      <c r="I356" s="129">
        <v>0</v>
      </c>
      <c r="J356" s="129">
        <v>0</v>
      </c>
      <c r="K356" s="129">
        <v>0</v>
      </c>
      <c r="L356" s="129">
        <v>0</v>
      </c>
      <c r="M356" s="129">
        <v>0</v>
      </c>
      <c r="N356" s="129">
        <v>0</v>
      </c>
      <c r="O356" s="129">
        <v>0</v>
      </c>
      <c r="P356" s="129">
        <v>0</v>
      </c>
      <c r="Q356" s="129">
        <v>0</v>
      </c>
      <c r="R356" s="129">
        <v>0</v>
      </c>
      <c r="S356" s="129">
        <v>0</v>
      </c>
      <c r="T356" s="129">
        <v>0</v>
      </c>
      <c r="U356" s="129">
        <v>0</v>
      </c>
      <c r="V356" s="129">
        <v>0</v>
      </c>
      <c r="W356" s="129">
        <v>0</v>
      </c>
      <c r="X356" s="129">
        <v>0</v>
      </c>
      <c r="Y356" s="129">
        <v>0</v>
      </c>
      <c r="Z356" s="129">
        <v>0</v>
      </c>
      <c r="AA356" s="129">
        <v>0</v>
      </c>
      <c r="AB356" s="129">
        <v>0</v>
      </c>
      <c r="AC356" s="129">
        <v>0</v>
      </c>
      <c r="AD356" s="129">
        <v>0</v>
      </c>
      <c r="AE356" s="129">
        <v>0</v>
      </c>
      <c r="AF356" s="129">
        <v>0</v>
      </c>
      <c r="AG356" s="129">
        <v>0</v>
      </c>
      <c r="AH356" s="129">
        <v>0</v>
      </c>
      <c r="AI356" s="126">
        <v>0</v>
      </c>
      <c r="AJ356" s="131">
        <v>2</v>
      </c>
    </row>
    <row r="357" spans="1:36" x14ac:dyDescent="0.35">
      <c r="A357" s="127" t="s">
        <v>924</v>
      </c>
      <c r="B357" s="127" t="s">
        <v>925</v>
      </c>
      <c r="C357" s="129">
        <v>0</v>
      </c>
      <c r="D357" s="129">
        <v>2</v>
      </c>
      <c r="E357" s="129">
        <v>0</v>
      </c>
      <c r="F357" s="129">
        <v>1</v>
      </c>
      <c r="G357" s="129">
        <v>3</v>
      </c>
      <c r="H357" s="129">
        <v>0</v>
      </c>
      <c r="I357" s="129">
        <v>0</v>
      </c>
      <c r="J357" s="129">
        <v>0</v>
      </c>
      <c r="K357" s="129">
        <v>0</v>
      </c>
      <c r="L357" s="129">
        <v>0</v>
      </c>
      <c r="M357" s="129">
        <v>0</v>
      </c>
      <c r="N357" s="129">
        <v>0</v>
      </c>
      <c r="O357" s="129">
        <v>0</v>
      </c>
      <c r="P357" s="129">
        <v>0</v>
      </c>
      <c r="Q357" s="129">
        <v>0</v>
      </c>
      <c r="R357" s="129">
        <v>0</v>
      </c>
      <c r="S357" s="129">
        <v>0</v>
      </c>
      <c r="T357" s="129">
        <v>0</v>
      </c>
      <c r="U357" s="129">
        <v>0</v>
      </c>
      <c r="V357" s="129">
        <v>0</v>
      </c>
      <c r="W357" s="129">
        <v>0</v>
      </c>
      <c r="X357" s="129">
        <v>0</v>
      </c>
      <c r="Y357" s="129">
        <v>0</v>
      </c>
      <c r="Z357" s="129">
        <v>0</v>
      </c>
      <c r="AA357" s="129">
        <v>0</v>
      </c>
      <c r="AB357" s="129">
        <v>0</v>
      </c>
      <c r="AC357" s="129">
        <v>0</v>
      </c>
      <c r="AD357" s="129">
        <v>0</v>
      </c>
      <c r="AE357" s="129">
        <v>0</v>
      </c>
      <c r="AF357" s="129">
        <v>0</v>
      </c>
      <c r="AG357" s="129">
        <v>0</v>
      </c>
      <c r="AH357" s="129">
        <v>0</v>
      </c>
      <c r="AI357" s="126">
        <v>0</v>
      </c>
      <c r="AJ357" s="131">
        <v>3</v>
      </c>
    </row>
    <row r="358" spans="1:36" x14ac:dyDescent="0.35">
      <c r="A358" s="127" t="s">
        <v>926</v>
      </c>
      <c r="B358" s="127" t="s">
        <v>927</v>
      </c>
      <c r="C358" s="129">
        <v>4</v>
      </c>
      <c r="D358" s="129">
        <v>0</v>
      </c>
      <c r="E358" s="129">
        <v>1</v>
      </c>
      <c r="F358" s="129">
        <v>4</v>
      </c>
      <c r="G358" s="129">
        <v>9</v>
      </c>
      <c r="H358" s="129">
        <v>0</v>
      </c>
      <c r="I358" s="129">
        <v>0</v>
      </c>
      <c r="J358" s="129">
        <v>0</v>
      </c>
      <c r="K358" s="129">
        <v>0</v>
      </c>
      <c r="L358" s="129">
        <v>0</v>
      </c>
      <c r="M358" s="129">
        <v>0</v>
      </c>
      <c r="N358" s="129">
        <v>0</v>
      </c>
      <c r="O358" s="129">
        <v>0</v>
      </c>
      <c r="P358" s="129">
        <v>0</v>
      </c>
      <c r="Q358" s="129">
        <v>0</v>
      </c>
      <c r="R358" s="129">
        <v>0</v>
      </c>
      <c r="S358" s="129">
        <v>0</v>
      </c>
      <c r="T358" s="129">
        <v>0</v>
      </c>
      <c r="U358" s="129">
        <v>0</v>
      </c>
      <c r="V358" s="129">
        <v>0</v>
      </c>
      <c r="W358" s="129">
        <v>0</v>
      </c>
      <c r="X358" s="129">
        <v>0</v>
      </c>
      <c r="Y358" s="129">
        <v>0</v>
      </c>
      <c r="Z358" s="129">
        <v>0</v>
      </c>
      <c r="AA358" s="129">
        <v>0</v>
      </c>
      <c r="AB358" s="129">
        <v>0</v>
      </c>
      <c r="AC358" s="129">
        <v>0</v>
      </c>
      <c r="AD358" s="129">
        <v>0</v>
      </c>
      <c r="AE358" s="129">
        <v>0</v>
      </c>
      <c r="AF358" s="129">
        <v>0</v>
      </c>
      <c r="AG358" s="129">
        <v>0</v>
      </c>
      <c r="AH358" s="129">
        <v>0</v>
      </c>
      <c r="AI358" s="126">
        <v>0</v>
      </c>
      <c r="AJ358" s="131">
        <v>9</v>
      </c>
    </row>
    <row r="359" spans="1:36" x14ac:dyDescent="0.35">
      <c r="A359" s="127" t="s">
        <v>1406</v>
      </c>
      <c r="B359" s="127" t="s">
        <v>1407</v>
      </c>
      <c r="C359" s="129">
        <v>0</v>
      </c>
      <c r="D359" s="129">
        <v>0</v>
      </c>
      <c r="E359" s="129">
        <v>0</v>
      </c>
      <c r="F359" s="129">
        <v>0</v>
      </c>
      <c r="G359" s="129">
        <v>0</v>
      </c>
      <c r="H359" s="129">
        <v>0</v>
      </c>
      <c r="I359" s="129">
        <v>0</v>
      </c>
      <c r="J359" s="129">
        <v>0</v>
      </c>
      <c r="K359" s="129">
        <v>0</v>
      </c>
      <c r="L359" s="129">
        <v>0</v>
      </c>
      <c r="M359" s="129">
        <v>0</v>
      </c>
      <c r="N359" s="129">
        <v>0</v>
      </c>
      <c r="O359" s="129">
        <v>0</v>
      </c>
      <c r="P359" s="129">
        <v>0</v>
      </c>
      <c r="Q359" s="129">
        <v>0</v>
      </c>
      <c r="R359" s="129">
        <v>0</v>
      </c>
      <c r="S359" s="129">
        <v>0</v>
      </c>
      <c r="T359" s="129">
        <v>0</v>
      </c>
      <c r="U359" s="129">
        <v>0</v>
      </c>
      <c r="V359" s="129">
        <v>0</v>
      </c>
      <c r="W359" s="129">
        <v>0</v>
      </c>
      <c r="X359" s="129">
        <v>0</v>
      </c>
      <c r="Y359" s="129">
        <v>0</v>
      </c>
      <c r="Z359" s="129">
        <v>0</v>
      </c>
      <c r="AA359" s="129">
        <v>0</v>
      </c>
      <c r="AB359" s="129">
        <v>0</v>
      </c>
      <c r="AC359" s="129">
        <v>0</v>
      </c>
      <c r="AD359" s="129">
        <v>0</v>
      </c>
      <c r="AE359" s="129">
        <v>0</v>
      </c>
      <c r="AF359" s="129">
        <v>0</v>
      </c>
      <c r="AG359" s="129">
        <v>0</v>
      </c>
      <c r="AH359" s="129">
        <v>0</v>
      </c>
      <c r="AI359" s="126">
        <v>0</v>
      </c>
      <c r="AJ359" s="131">
        <v>0</v>
      </c>
    </row>
    <row r="360" spans="1:36" x14ac:dyDescent="0.35">
      <c r="A360" s="127" t="s">
        <v>1408</v>
      </c>
      <c r="B360" s="127" t="s">
        <v>1409</v>
      </c>
      <c r="C360" s="129">
        <v>0</v>
      </c>
      <c r="D360" s="129">
        <v>0</v>
      </c>
      <c r="E360" s="129">
        <v>0</v>
      </c>
      <c r="F360" s="129">
        <v>0</v>
      </c>
      <c r="G360" s="129">
        <v>0</v>
      </c>
      <c r="H360" s="129">
        <v>0</v>
      </c>
      <c r="I360" s="129">
        <v>0</v>
      </c>
      <c r="J360" s="129">
        <v>0</v>
      </c>
      <c r="K360" s="129">
        <v>0</v>
      </c>
      <c r="L360" s="129">
        <v>0</v>
      </c>
      <c r="M360" s="129">
        <v>0</v>
      </c>
      <c r="N360" s="129">
        <v>0</v>
      </c>
      <c r="O360" s="129">
        <v>0</v>
      </c>
      <c r="P360" s="129">
        <v>0</v>
      </c>
      <c r="Q360" s="129">
        <v>0</v>
      </c>
      <c r="R360" s="129">
        <v>0</v>
      </c>
      <c r="S360" s="129">
        <v>0</v>
      </c>
      <c r="T360" s="129">
        <v>0</v>
      </c>
      <c r="U360" s="129">
        <v>0</v>
      </c>
      <c r="V360" s="129">
        <v>0</v>
      </c>
      <c r="W360" s="129">
        <v>0</v>
      </c>
      <c r="X360" s="129">
        <v>0</v>
      </c>
      <c r="Y360" s="129">
        <v>0</v>
      </c>
      <c r="Z360" s="129">
        <v>0</v>
      </c>
      <c r="AA360" s="129">
        <v>0</v>
      </c>
      <c r="AB360" s="129">
        <v>0</v>
      </c>
      <c r="AC360" s="129">
        <v>0</v>
      </c>
      <c r="AD360" s="129">
        <v>0</v>
      </c>
      <c r="AE360" s="129">
        <v>0</v>
      </c>
      <c r="AF360" s="129">
        <v>0</v>
      </c>
      <c r="AG360" s="129">
        <v>0</v>
      </c>
      <c r="AH360" s="129">
        <v>0</v>
      </c>
      <c r="AI360" s="126">
        <v>0</v>
      </c>
      <c r="AJ360" s="131">
        <v>0</v>
      </c>
    </row>
    <row r="361" spans="1:36" x14ac:dyDescent="0.35">
      <c r="A361" s="127" t="s">
        <v>928</v>
      </c>
      <c r="B361" s="127" t="s">
        <v>929</v>
      </c>
      <c r="C361" s="129">
        <v>1</v>
      </c>
      <c r="D361" s="129">
        <v>1</v>
      </c>
      <c r="E361" s="129">
        <v>2</v>
      </c>
      <c r="F361" s="129">
        <v>3</v>
      </c>
      <c r="G361" s="129">
        <v>7</v>
      </c>
      <c r="H361" s="129">
        <v>0</v>
      </c>
      <c r="I361" s="129">
        <v>0</v>
      </c>
      <c r="J361" s="129">
        <v>0</v>
      </c>
      <c r="K361" s="129">
        <v>0</v>
      </c>
      <c r="L361" s="129">
        <v>0</v>
      </c>
      <c r="M361" s="129">
        <v>0</v>
      </c>
      <c r="N361" s="129">
        <v>0</v>
      </c>
      <c r="O361" s="129">
        <v>0</v>
      </c>
      <c r="P361" s="129">
        <v>0</v>
      </c>
      <c r="Q361" s="129">
        <v>0</v>
      </c>
      <c r="R361" s="129">
        <v>0</v>
      </c>
      <c r="S361" s="129">
        <v>0</v>
      </c>
      <c r="T361" s="129">
        <v>0</v>
      </c>
      <c r="U361" s="129">
        <v>0</v>
      </c>
      <c r="V361" s="129">
        <v>0</v>
      </c>
      <c r="W361" s="129">
        <v>0</v>
      </c>
      <c r="X361" s="129">
        <v>0</v>
      </c>
      <c r="Y361" s="129">
        <v>0</v>
      </c>
      <c r="Z361" s="129">
        <v>0</v>
      </c>
      <c r="AA361" s="129">
        <v>0</v>
      </c>
      <c r="AB361" s="129">
        <v>0</v>
      </c>
      <c r="AC361" s="129">
        <v>0</v>
      </c>
      <c r="AD361" s="129">
        <v>0</v>
      </c>
      <c r="AE361" s="129">
        <v>0</v>
      </c>
      <c r="AF361" s="129">
        <v>0</v>
      </c>
      <c r="AG361" s="129">
        <v>0</v>
      </c>
      <c r="AH361" s="129">
        <v>0</v>
      </c>
      <c r="AI361" s="126">
        <v>0</v>
      </c>
      <c r="AJ361" s="131">
        <v>7</v>
      </c>
    </row>
    <row r="362" spans="1:36" x14ac:dyDescent="0.35">
      <c r="A362" s="127" t="s">
        <v>1410</v>
      </c>
      <c r="B362" s="127" t="s">
        <v>1411</v>
      </c>
      <c r="C362" s="129">
        <v>0</v>
      </c>
      <c r="D362" s="129">
        <v>0</v>
      </c>
      <c r="E362" s="129">
        <v>0</v>
      </c>
      <c r="F362" s="129">
        <v>0</v>
      </c>
      <c r="G362" s="129">
        <v>0</v>
      </c>
      <c r="H362" s="129">
        <v>0</v>
      </c>
      <c r="I362" s="129">
        <v>0</v>
      </c>
      <c r="J362" s="129">
        <v>0</v>
      </c>
      <c r="K362" s="129">
        <v>0</v>
      </c>
      <c r="L362" s="129">
        <v>0</v>
      </c>
      <c r="M362" s="129">
        <v>0</v>
      </c>
      <c r="N362" s="129">
        <v>0</v>
      </c>
      <c r="O362" s="129">
        <v>0</v>
      </c>
      <c r="P362" s="129">
        <v>0</v>
      </c>
      <c r="Q362" s="129">
        <v>0</v>
      </c>
      <c r="R362" s="129">
        <v>0</v>
      </c>
      <c r="S362" s="129">
        <v>0</v>
      </c>
      <c r="T362" s="129">
        <v>0</v>
      </c>
      <c r="U362" s="129">
        <v>0</v>
      </c>
      <c r="V362" s="129">
        <v>0</v>
      </c>
      <c r="W362" s="129">
        <v>0</v>
      </c>
      <c r="X362" s="129">
        <v>0</v>
      </c>
      <c r="Y362" s="129">
        <v>0</v>
      </c>
      <c r="Z362" s="129">
        <v>0</v>
      </c>
      <c r="AA362" s="129">
        <v>0</v>
      </c>
      <c r="AB362" s="129">
        <v>0</v>
      </c>
      <c r="AC362" s="129">
        <v>0</v>
      </c>
      <c r="AD362" s="129">
        <v>0</v>
      </c>
      <c r="AE362" s="129">
        <v>0</v>
      </c>
      <c r="AF362" s="129">
        <v>0</v>
      </c>
      <c r="AG362" s="129">
        <v>0</v>
      </c>
      <c r="AH362" s="129">
        <v>0</v>
      </c>
      <c r="AI362" s="126">
        <v>0</v>
      </c>
      <c r="AJ362" s="131">
        <v>0</v>
      </c>
    </row>
    <row r="363" spans="1:36" x14ac:dyDescent="0.35">
      <c r="A363" s="127" t="s">
        <v>1412</v>
      </c>
      <c r="B363" s="127" t="s">
        <v>1413</v>
      </c>
      <c r="C363" s="129">
        <v>0</v>
      </c>
      <c r="D363" s="129">
        <v>0</v>
      </c>
      <c r="E363" s="129">
        <v>0</v>
      </c>
      <c r="F363" s="129">
        <v>0</v>
      </c>
      <c r="G363" s="129">
        <v>0</v>
      </c>
      <c r="H363" s="129">
        <v>0</v>
      </c>
      <c r="I363" s="129">
        <v>0</v>
      </c>
      <c r="J363" s="129">
        <v>0</v>
      </c>
      <c r="K363" s="129">
        <v>0</v>
      </c>
      <c r="L363" s="129">
        <v>0</v>
      </c>
      <c r="M363" s="129">
        <v>0</v>
      </c>
      <c r="N363" s="129">
        <v>0</v>
      </c>
      <c r="O363" s="129">
        <v>0</v>
      </c>
      <c r="P363" s="129">
        <v>0</v>
      </c>
      <c r="Q363" s="129">
        <v>0</v>
      </c>
      <c r="R363" s="129">
        <v>0</v>
      </c>
      <c r="S363" s="129">
        <v>0</v>
      </c>
      <c r="T363" s="129">
        <v>0</v>
      </c>
      <c r="U363" s="129">
        <v>0</v>
      </c>
      <c r="V363" s="129">
        <v>0</v>
      </c>
      <c r="W363" s="129">
        <v>0</v>
      </c>
      <c r="X363" s="129">
        <v>0</v>
      </c>
      <c r="Y363" s="129">
        <v>0</v>
      </c>
      <c r="Z363" s="129">
        <v>0</v>
      </c>
      <c r="AA363" s="129">
        <v>0</v>
      </c>
      <c r="AB363" s="129">
        <v>0</v>
      </c>
      <c r="AC363" s="129">
        <v>0</v>
      </c>
      <c r="AD363" s="129">
        <v>0</v>
      </c>
      <c r="AE363" s="129">
        <v>0</v>
      </c>
      <c r="AF363" s="129">
        <v>0</v>
      </c>
      <c r="AG363" s="129">
        <v>0</v>
      </c>
      <c r="AH363" s="129">
        <v>0</v>
      </c>
      <c r="AI363" s="126">
        <v>0</v>
      </c>
      <c r="AJ363" s="131">
        <v>0</v>
      </c>
    </row>
    <row r="364" spans="1:36" x14ac:dyDescent="0.35">
      <c r="A364" s="126" t="s">
        <v>1414</v>
      </c>
      <c r="B364" s="127" t="s">
        <v>1415</v>
      </c>
      <c r="C364" s="129">
        <v>0</v>
      </c>
      <c r="D364" s="129">
        <v>0</v>
      </c>
      <c r="E364" s="129">
        <v>0</v>
      </c>
      <c r="F364" s="129">
        <v>0</v>
      </c>
      <c r="G364" s="129">
        <v>0</v>
      </c>
      <c r="H364" s="129">
        <v>0</v>
      </c>
      <c r="I364" s="129">
        <v>0</v>
      </c>
      <c r="J364" s="129">
        <v>0</v>
      </c>
      <c r="K364" s="129">
        <v>0</v>
      </c>
      <c r="L364" s="129">
        <v>0</v>
      </c>
      <c r="M364" s="129">
        <v>0</v>
      </c>
      <c r="N364" s="129">
        <v>0</v>
      </c>
      <c r="O364" s="129">
        <v>0</v>
      </c>
      <c r="P364" s="129">
        <v>0</v>
      </c>
      <c r="Q364" s="129">
        <v>0</v>
      </c>
      <c r="R364" s="129">
        <v>0</v>
      </c>
      <c r="S364" s="129">
        <v>0</v>
      </c>
      <c r="T364" s="129">
        <v>0</v>
      </c>
      <c r="U364" s="129">
        <v>0</v>
      </c>
      <c r="V364" s="129">
        <v>0</v>
      </c>
      <c r="W364" s="129">
        <v>0</v>
      </c>
      <c r="X364" s="129">
        <v>0</v>
      </c>
      <c r="Y364" s="129">
        <v>0</v>
      </c>
      <c r="Z364" s="129">
        <v>0</v>
      </c>
      <c r="AA364" s="129">
        <v>0</v>
      </c>
      <c r="AB364" s="129">
        <v>0</v>
      </c>
      <c r="AC364" s="129">
        <v>0</v>
      </c>
      <c r="AD364" s="129">
        <v>0</v>
      </c>
      <c r="AE364" s="129">
        <v>0</v>
      </c>
      <c r="AF364" s="129">
        <v>0</v>
      </c>
      <c r="AG364" s="129">
        <v>0</v>
      </c>
      <c r="AH364" s="129">
        <v>0</v>
      </c>
      <c r="AI364" s="126">
        <v>0</v>
      </c>
      <c r="AJ364" s="131">
        <v>0</v>
      </c>
    </row>
    <row r="365" spans="1:36" x14ac:dyDescent="0.35">
      <c r="A365" s="127" t="s">
        <v>930</v>
      </c>
      <c r="B365" s="127" t="s">
        <v>931</v>
      </c>
      <c r="C365" s="129">
        <v>23</v>
      </c>
      <c r="D365" s="129">
        <v>10</v>
      </c>
      <c r="E365" s="129">
        <v>5</v>
      </c>
      <c r="F365" s="129">
        <v>1</v>
      </c>
      <c r="G365" s="129">
        <v>39</v>
      </c>
      <c r="H365" s="129">
        <v>0</v>
      </c>
      <c r="I365" s="129">
        <v>0</v>
      </c>
      <c r="J365" s="129">
        <v>0</v>
      </c>
      <c r="K365" s="129">
        <v>0</v>
      </c>
      <c r="L365" s="129">
        <v>0</v>
      </c>
      <c r="M365" s="129">
        <v>0</v>
      </c>
      <c r="N365" s="129">
        <v>0</v>
      </c>
      <c r="O365" s="129">
        <v>0</v>
      </c>
      <c r="P365" s="129">
        <v>0</v>
      </c>
      <c r="Q365" s="129">
        <v>0</v>
      </c>
      <c r="R365" s="129">
        <v>0</v>
      </c>
      <c r="S365" s="129">
        <v>0</v>
      </c>
      <c r="T365" s="129">
        <v>0</v>
      </c>
      <c r="U365" s="129">
        <v>0</v>
      </c>
      <c r="V365" s="129">
        <v>0</v>
      </c>
      <c r="W365" s="129">
        <v>1</v>
      </c>
      <c r="X365" s="129">
        <v>0</v>
      </c>
      <c r="Y365" s="129">
        <v>0</v>
      </c>
      <c r="Z365" s="129">
        <v>0</v>
      </c>
      <c r="AA365" s="129">
        <v>1</v>
      </c>
      <c r="AB365" s="129">
        <v>0</v>
      </c>
      <c r="AC365" s="129">
        <v>0</v>
      </c>
      <c r="AD365" s="129">
        <v>0</v>
      </c>
      <c r="AE365" s="129">
        <v>0</v>
      </c>
      <c r="AF365" s="129">
        <v>0</v>
      </c>
      <c r="AG365" s="129">
        <v>0</v>
      </c>
      <c r="AH365" s="129">
        <v>0</v>
      </c>
      <c r="AI365" s="126">
        <v>0</v>
      </c>
      <c r="AJ365" s="131">
        <v>40</v>
      </c>
    </row>
    <row r="366" spans="1:36" x14ac:dyDescent="0.35">
      <c r="A366" s="127" t="s">
        <v>932</v>
      </c>
      <c r="B366" s="127" t="s">
        <v>933</v>
      </c>
      <c r="C366" s="129">
        <v>59</v>
      </c>
      <c r="D366" s="129">
        <v>50</v>
      </c>
      <c r="E366" s="129">
        <v>74</v>
      </c>
      <c r="F366" s="129">
        <v>15</v>
      </c>
      <c r="G366" s="129">
        <v>198</v>
      </c>
      <c r="H366" s="129">
        <v>0</v>
      </c>
      <c r="I366" s="129">
        <v>2</v>
      </c>
      <c r="J366" s="129">
        <v>1</v>
      </c>
      <c r="K366" s="129">
        <v>0</v>
      </c>
      <c r="L366" s="129">
        <v>3</v>
      </c>
      <c r="M366" s="129">
        <v>0</v>
      </c>
      <c r="N366" s="129">
        <v>0</v>
      </c>
      <c r="O366" s="129">
        <v>0</v>
      </c>
      <c r="P366" s="129">
        <v>0</v>
      </c>
      <c r="Q366" s="129">
        <v>0</v>
      </c>
      <c r="R366" s="129">
        <v>0</v>
      </c>
      <c r="S366" s="129">
        <v>0</v>
      </c>
      <c r="T366" s="129">
        <v>0</v>
      </c>
      <c r="U366" s="129">
        <v>0</v>
      </c>
      <c r="V366" s="129">
        <v>0</v>
      </c>
      <c r="W366" s="129">
        <v>0</v>
      </c>
      <c r="X366" s="129">
        <v>0</v>
      </c>
      <c r="Y366" s="129">
        <v>0</v>
      </c>
      <c r="Z366" s="129">
        <v>0</v>
      </c>
      <c r="AA366" s="129">
        <v>0</v>
      </c>
      <c r="AB366" s="129">
        <v>0</v>
      </c>
      <c r="AC366" s="129">
        <v>1</v>
      </c>
      <c r="AD366" s="129">
        <v>0</v>
      </c>
      <c r="AE366" s="129">
        <v>0</v>
      </c>
      <c r="AF366" s="129">
        <v>1</v>
      </c>
      <c r="AG366" s="129">
        <v>0</v>
      </c>
      <c r="AH366" s="129">
        <v>0</v>
      </c>
      <c r="AI366" s="126">
        <v>0</v>
      </c>
      <c r="AJ366" s="131">
        <v>202</v>
      </c>
    </row>
    <row r="367" spans="1:36" x14ac:dyDescent="0.35">
      <c r="A367" s="127" t="s">
        <v>1416</v>
      </c>
      <c r="B367" s="127" t="s">
        <v>1417</v>
      </c>
      <c r="C367" s="129">
        <v>0</v>
      </c>
      <c r="D367" s="129">
        <v>0</v>
      </c>
      <c r="E367" s="129">
        <v>0</v>
      </c>
      <c r="F367" s="129">
        <v>0</v>
      </c>
      <c r="G367" s="129">
        <v>0</v>
      </c>
      <c r="H367" s="129">
        <v>0</v>
      </c>
      <c r="I367" s="129">
        <v>0</v>
      </c>
      <c r="J367" s="129">
        <v>0</v>
      </c>
      <c r="K367" s="129">
        <v>0</v>
      </c>
      <c r="L367" s="129">
        <v>0</v>
      </c>
      <c r="M367" s="129">
        <v>0</v>
      </c>
      <c r="N367" s="129">
        <v>0</v>
      </c>
      <c r="O367" s="129">
        <v>0</v>
      </c>
      <c r="P367" s="129">
        <v>0</v>
      </c>
      <c r="Q367" s="129">
        <v>0</v>
      </c>
      <c r="R367" s="129">
        <v>0</v>
      </c>
      <c r="S367" s="129">
        <v>0</v>
      </c>
      <c r="T367" s="129">
        <v>0</v>
      </c>
      <c r="U367" s="129">
        <v>0</v>
      </c>
      <c r="V367" s="129">
        <v>0</v>
      </c>
      <c r="W367" s="129">
        <v>0</v>
      </c>
      <c r="X367" s="129">
        <v>0</v>
      </c>
      <c r="Y367" s="129">
        <v>0</v>
      </c>
      <c r="Z367" s="129">
        <v>0</v>
      </c>
      <c r="AA367" s="129">
        <v>0</v>
      </c>
      <c r="AB367" s="129">
        <v>0</v>
      </c>
      <c r="AC367" s="129">
        <v>0</v>
      </c>
      <c r="AD367" s="129">
        <v>0</v>
      </c>
      <c r="AE367" s="129">
        <v>0</v>
      </c>
      <c r="AF367" s="129">
        <v>0</v>
      </c>
      <c r="AG367" s="129">
        <v>0</v>
      </c>
      <c r="AH367" s="129">
        <v>0</v>
      </c>
      <c r="AI367" s="126">
        <v>0</v>
      </c>
      <c r="AJ367" s="131">
        <v>0</v>
      </c>
    </row>
    <row r="368" spans="1:36" x14ac:dyDescent="0.35">
      <c r="A368" s="127" t="s">
        <v>1198</v>
      </c>
      <c r="B368" s="127" t="s">
        <v>939</v>
      </c>
      <c r="C368" s="129">
        <v>0</v>
      </c>
      <c r="D368" s="129">
        <v>0</v>
      </c>
      <c r="E368" s="129">
        <v>0</v>
      </c>
      <c r="F368" s="129">
        <v>0</v>
      </c>
      <c r="G368" s="129">
        <v>0</v>
      </c>
      <c r="H368" s="129">
        <v>0</v>
      </c>
      <c r="I368" s="129">
        <v>0</v>
      </c>
      <c r="J368" s="129">
        <v>0</v>
      </c>
      <c r="K368" s="129">
        <v>0</v>
      </c>
      <c r="L368" s="129">
        <v>0</v>
      </c>
      <c r="M368" s="129">
        <v>0</v>
      </c>
      <c r="N368" s="129">
        <v>0</v>
      </c>
      <c r="O368" s="129">
        <v>0</v>
      </c>
      <c r="P368" s="129">
        <v>0</v>
      </c>
      <c r="Q368" s="129">
        <v>0</v>
      </c>
      <c r="R368" s="129">
        <v>0</v>
      </c>
      <c r="S368" s="129">
        <v>0</v>
      </c>
      <c r="T368" s="129">
        <v>0</v>
      </c>
      <c r="U368" s="129">
        <v>0</v>
      </c>
      <c r="V368" s="129">
        <v>0</v>
      </c>
      <c r="W368" s="129">
        <v>0</v>
      </c>
      <c r="X368" s="129">
        <v>0</v>
      </c>
      <c r="Y368" s="129">
        <v>0</v>
      </c>
      <c r="Z368" s="129">
        <v>0</v>
      </c>
      <c r="AA368" s="129">
        <v>0</v>
      </c>
      <c r="AB368" s="129">
        <v>0</v>
      </c>
      <c r="AC368" s="129">
        <v>0</v>
      </c>
      <c r="AD368" s="129">
        <v>0</v>
      </c>
      <c r="AE368" s="129">
        <v>0</v>
      </c>
      <c r="AF368" s="129">
        <v>0</v>
      </c>
      <c r="AG368" s="129">
        <v>0</v>
      </c>
      <c r="AH368" s="129">
        <v>0</v>
      </c>
      <c r="AI368" s="126">
        <v>0</v>
      </c>
      <c r="AJ368" s="131">
        <v>0</v>
      </c>
    </row>
    <row r="369" spans="1:36" x14ac:dyDescent="0.35">
      <c r="A369" s="126" t="s">
        <v>934</v>
      </c>
      <c r="B369" s="127" t="s">
        <v>935</v>
      </c>
      <c r="C369" s="129">
        <v>133</v>
      </c>
      <c r="D369" s="129">
        <v>84</v>
      </c>
      <c r="E369" s="129">
        <v>49</v>
      </c>
      <c r="F369" s="129">
        <v>22</v>
      </c>
      <c r="G369" s="129">
        <v>288</v>
      </c>
      <c r="H369" s="129">
        <v>4</v>
      </c>
      <c r="I369" s="129">
        <v>0</v>
      </c>
      <c r="J369" s="129">
        <v>0</v>
      </c>
      <c r="K369" s="129">
        <v>0</v>
      </c>
      <c r="L369" s="129">
        <v>4</v>
      </c>
      <c r="M369" s="129">
        <v>2</v>
      </c>
      <c r="N369" s="129">
        <v>0</v>
      </c>
      <c r="O369" s="129">
        <v>0</v>
      </c>
      <c r="P369" s="129">
        <v>0</v>
      </c>
      <c r="Q369" s="129">
        <v>2</v>
      </c>
      <c r="R369" s="129">
        <v>2</v>
      </c>
      <c r="S369" s="129">
        <v>0</v>
      </c>
      <c r="T369" s="129">
        <v>0</v>
      </c>
      <c r="U369" s="129">
        <v>0</v>
      </c>
      <c r="V369" s="129">
        <v>2</v>
      </c>
      <c r="W369" s="129">
        <v>10</v>
      </c>
      <c r="X369" s="129">
        <v>2</v>
      </c>
      <c r="Y369" s="129">
        <v>0</v>
      </c>
      <c r="Z369" s="129">
        <v>0</v>
      </c>
      <c r="AA369" s="129">
        <v>12</v>
      </c>
      <c r="AB369" s="129">
        <v>1</v>
      </c>
      <c r="AC369" s="129">
        <v>1</v>
      </c>
      <c r="AD369" s="129">
        <v>0</v>
      </c>
      <c r="AE369" s="129">
        <v>0</v>
      </c>
      <c r="AF369" s="129">
        <v>2</v>
      </c>
      <c r="AG369" s="129">
        <v>0</v>
      </c>
      <c r="AH369" s="129">
        <v>0</v>
      </c>
      <c r="AI369" s="126">
        <v>0</v>
      </c>
      <c r="AJ369" s="131">
        <v>310</v>
      </c>
    </row>
    <row r="370" spans="1:36" x14ac:dyDescent="0.35">
      <c r="A370" s="127" t="s">
        <v>936</v>
      </c>
      <c r="B370" s="127" t="s">
        <v>1252</v>
      </c>
      <c r="C370" s="129">
        <v>30</v>
      </c>
      <c r="D370" s="129">
        <v>2</v>
      </c>
      <c r="E370" s="129">
        <v>0</v>
      </c>
      <c r="F370" s="129">
        <v>2</v>
      </c>
      <c r="G370" s="129">
        <v>34</v>
      </c>
      <c r="H370" s="129">
        <v>0</v>
      </c>
      <c r="I370" s="129">
        <v>0</v>
      </c>
      <c r="J370" s="129">
        <v>0</v>
      </c>
      <c r="K370" s="129">
        <v>0</v>
      </c>
      <c r="L370" s="129">
        <v>0</v>
      </c>
      <c r="M370" s="129">
        <v>0</v>
      </c>
      <c r="N370" s="129">
        <v>0</v>
      </c>
      <c r="O370" s="129">
        <v>0</v>
      </c>
      <c r="P370" s="129">
        <v>0</v>
      </c>
      <c r="Q370" s="129">
        <v>0</v>
      </c>
      <c r="R370" s="129">
        <v>1</v>
      </c>
      <c r="S370" s="129">
        <v>0</v>
      </c>
      <c r="T370" s="129">
        <v>0</v>
      </c>
      <c r="U370" s="129">
        <v>0</v>
      </c>
      <c r="V370" s="129">
        <v>1</v>
      </c>
      <c r="W370" s="129">
        <v>2</v>
      </c>
      <c r="X370" s="129">
        <v>0</v>
      </c>
      <c r="Y370" s="129">
        <v>0</v>
      </c>
      <c r="Z370" s="129">
        <v>0</v>
      </c>
      <c r="AA370" s="129">
        <v>2</v>
      </c>
      <c r="AB370" s="129">
        <v>0</v>
      </c>
      <c r="AC370" s="129">
        <v>0</v>
      </c>
      <c r="AD370" s="129">
        <v>0</v>
      </c>
      <c r="AE370" s="129">
        <v>0</v>
      </c>
      <c r="AF370" s="129">
        <v>0</v>
      </c>
      <c r="AG370" s="129">
        <v>0</v>
      </c>
      <c r="AH370" s="129">
        <v>0</v>
      </c>
      <c r="AI370" s="126">
        <v>0</v>
      </c>
      <c r="AJ370" s="131">
        <v>37</v>
      </c>
    </row>
    <row r="371" spans="1:36" x14ac:dyDescent="0.35">
      <c r="A371" s="127" t="s">
        <v>937</v>
      </c>
      <c r="B371" s="127" t="s">
        <v>938</v>
      </c>
      <c r="C371" s="129">
        <v>6</v>
      </c>
      <c r="D371" s="129">
        <v>0</v>
      </c>
      <c r="E371" s="129">
        <v>0</v>
      </c>
      <c r="F371" s="129">
        <v>2</v>
      </c>
      <c r="G371" s="129">
        <v>8</v>
      </c>
      <c r="H371" s="129">
        <v>0</v>
      </c>
      <c r="I371" s="129">
        <v>0</v>
      </c>
      <c r="J371" s="129">
        <v>0</v>
      </c>
      <c r="K371" s="129">
        <v>0</v>
      </c>
      <c r="L371" s="129">
        <v>0</v>
      </c>
      <c r="M371" s="129">
        <v>0</v>
      </c>
      <c r="N371" s="129">
        <v>0</v>
      </c>
      <c r="O371" s="129">
        <v>0</v>
      </c>
      <c r="P371" s="129">
        <v>0</v>
      </c>
      <c r="Q371" s="129">
        <v>0</v>
      </c>
      <c r="R371" s="129">
        <v>0</v>
      </c>
      <c r="S371" s="129">
        <v>0</v>
      </c>
      <c r="T371" s="129">
        <v>0</v>
      </c>
      <c r="U371" s="129">
        <v>0</v>
      </c>
      <c r="V371" s="129">
        <v>0</v>
      </c>
      <c r="W371" s="129">
        <v>0</v>
      </c>
      <c r="X371" s="129">
        <v>0</v>
      </c>
      <c r="Y371" s="129">
        <v>0</v>
      </c>
      <c r="Z371" s="129">
        <v>0</v>
      </c>
      <c r="AA371" s="129">
        <v>0</v>
      </c>
      <c r="AB371" s="129">
        <v>0</v>
      </c>
      <c r="AC371" s="129">
        <v>0</v>
      </c>
      <c r="AD371" s="129">
        <v>0</v>
      </c>
      <c r="AE371" s="129">
        <v>0</v>
      </c>
      <c r="AF371" s="129">
        <v>0</v>
      </c>
      <c r="AG371" s="129">
        <v>0</v>
      </c>
      <c r="AH371" s="129">
        <v>0</v>
      </c>
      <c r="AI371" s="126">
        <v>0</v>
      </c>
      <c r="AJ371" s="131">
        <v>8</v>
      </c>
    </row>
    <row r="372" spans="1:36" x14ac:dyDescent="0.35">
      <c r="A372" s="127" t="s">
        <v>1418</v>
      </c>
      <c r="B372" s="127" t="s">
        <v>1419</v>
      </c>
      <c r="C372" s="129">
        <v>0</v>
      </c>
      <c r="D372" s="129">
        <v>0</v>
      </c>
      <c r="E372" s="129">
        <v>0</v>
      </c>
      <c r="F372" s="129">
        <v>0</v>
      </c>
      <c r="G372" s="129">
        <v>0</v>
      </c>
      <c r="H372" s="129">
        <v>0</v>
      </c>
      <c r="I372" s="129">
        <v>0</v>
      </c>
      <c r="J372" s="129">
        <v>0</v>
      </c>
      <c r="K372" s="129">
        <v>0</v>
      </c>
      <c r="L372" s="129">
        <v>0</v>
      </c>
      <c r="M372" s="129">
        <v>0</v>
      </c>
      <c r="N372" s="129">
        <v>0</v>
      </c>
      <c r="O372" s="129">
        <v>0</v>
      </c>
      <c r="P372" s="129">
        <v>0</v>
      </c>
      <c r="Q372" s="129">
        <v>0</v>
      </c>
      <c r="R372" s="129">
        <v>0</v>
      </c>
      <c r="S372" s="129">
        <v>0</v>
      </c>
      <c r="T372" s="129">
        <v>0</v>
      </c>
      <c r="U372" s="129">
        <v>0</v>
      </c>
      <c r="V372" s="129">
        <v>0</v>
      </c>
      <c r="W372" s="129">
        <v>0</v>
      </c>
      <c r="X372" s="129">
        <v>0</v>
      </c>
      <c r="Y372" s="129">
        <v>0</v>
      </c>
      <c r="Z372" s="129">
        <v>0</v>
      </c>
      <c r="AA372" s="129">
        <v>0</v>
      </c>
      <c r="AB372" s="129">
        <v>0</v>
      </c>
      <c r="AC372" s="129">
        <v>0</v>
      </c>
      <c r="AD372" s="129">
        <v>0</v>
      </c>
      <c r="AE372" s="129">
        <v>0</v>
      </c>
      <c r="AF372" s="129">
        <v>0</v>
      </c>
      <c r="AG372" s="129">
        <v>0</v>
      </c>
      <c r="AH372" s="129">
        <v>0</v>
      </c>
      <c r="AI372" s="126">
        <v>0</v>
      </c>
      <c r="AJ372" s="131">
        <v>0</v>
      </c>
    </row>
    <row r="373" spans="1:36" x14ac:dyDescent="0.35">
      <c r="A373" s="127" t="s">
        <v>1199</v>
      </c>
      <c r="B373" s="127" t="s">
        <v>1253</v>
      </c>
      <c r="C373" s="129">
        <v>0</v>
      </c>
      <c r="D373" s="129">
        <v>0</v>
      </c>
      <c r="E373" s="129">
        <v>0</v>
      </c>
      <c r="F373" s="129">
        <v>1</v>
      </c>
      <c r="G373" s="129">
        <v>1</v>
      </c>
      <c r="H373" s="129">
        <v>0</v>
      </c>
      <c r="I373" s="129">
        <v>0</v>
      </c>
      <c r="J373" s="129">
        <v>0</v>
      </c>
      <c r="K373" s="129">
        <v>0</v>
      </c>
      <c r="L373" s="129">
        <v>0</v>
      </c>
      <c r="M373" s="129">
        <v>0</v>
      </c>
      <c r="N373" s="129">
        <v>0</v>
      </c>
      <c r="O373" s="129">
        <v>0</v>
      </c>
      <c r="P373" s="129">
        <v>0</v>
      </c>
      <c r="Q373" s="129">
        <v>0</v>
      </c>
      <c r="R373" s="129">
        <v>0</v>
      </c>
      <c r="S373" s="129">
        <v>0</v>
      </c>
      <c r="T373" s="129">
        <v>0</v>
      </c>
      <c r="U373" s="129">
        <v>0</v>
      </c>
      <c r="V373" s="129">
        <v>0</v>
      </c>
      <c r="W373" s="129">
        <v>0</v>
      </c>
      <c r="X373" s="129">
        <v>0</v>
      </c>
      <c r="Y373" s="129">
        <v>0</v>
      </c>
      <c r="Z373" s="129">
        <v>0</v>
      </c>
      <c r="AA373" s="129">
        <v>0</v>
      </c>
      <c r="AB373" s="129">
        <v>0</v>
      </c>
      <c r="AC373" s="129">
        <v>0</v>
      </c>
      <c r="AD373" s="129">
        <v>0</v>
      </c>
      <c r="AE373" s="129">
        <v>0</v>
      </c>
      <c r="AF373" s="129">
        <v>0</v>
      </c>
      <c r="AG373" s="129">
        <v>0</v>
      </c>
      <c r="AH373" s="129">
        <v>0</v>
      </c>
      <c r="AI373" s="126">
        <v>0</v>
      </c>
      <c r="AJ373" s="131">
        <v>1</v>
      </c>
    </row>
    <row r="374" spans="1:36" x14ac:dyDescent="0.35">
      <c r="A374" s="127" t="s">
        <v>940</v>
      </c>
      <c r="B374" s="127" t="s">
        <v>941</v>
      </c>
      <c r="C374" s="129">
        <v>5</v>
      </c>
      <c r="D374" s="129">
        <v>1</v>
      </c>
      <c r="E374" s="129">
        <v>0</v>
      </c>
      <c r="F374" s="129">
        <v>0</v>
      </c>
      <c r="G374" s="129">
        <v>6</v>
      </c>
      <c r="H374" s="129">
        <v>0</v>
      </c>
      <c r="I374" s="129">
        <v>0</v>
      </c>
      <c r="J374" s="129">
        <v>0</v>
      </c>
      <c r="K374" s="129">
        <v>0</v>
      </c>
      <c r="L374" s="129">
        <v>0</v>
      </c>
      <c r="M374" s="129">
        <v>1</v>
      </c>
      <c r="N374" s="129">
        <v>0</v>
      </c>
      <c r="O374" s="129">
        <v>0</v>
      </c>
      <c r="P374" s="129">
        <v>0</v>
      </c>
      <c r="Q374" s="129">
        <v>1</v>
      </c>
      <c r="R374" s="129">
        <v>0</v>
      </c>
      <c r="S374" s="129">
        <v>0</v>
      </c>
      <c r="T374" s="129">
        <v>0</v>
      </c>
      <c r="U374" s="129">
        <v>0</v>
      </c>
      <c r="V374" s="129">
        <v>0</v>
      </c>
      <c r="W374" s="129">
        <v>0</v>
      </c>
      <c r="X374" s="129">
        <v>0</v>
      </c>
      <c r="Y374" s="129">
        <v>0</v>
      </c>
      <c r="Z374" s="129">
        <v>0</v>
      </c>
      <c r="AA374" s="129">
        <v>0</v>
      </c>
      <c r="AB374" s="129">
        <v>0</v>
      </c>
      <c r="AC374" s="129">
        <v>0</v>
      </c>
      <c r="AD374" s="129">
        <v>0</v>
      </c>
      <c r="AE374" s="129">
        <v>0</v>
      </c>
      <c r="AF374" s="129">
        <v>0</v>
      </c>
      <c r="AG374" s="129">
        <v>0</v>
      </c>
      <c r="AH374" s="129">
        <v>0</v>
      </c>
      <c r="AI374" s="126">
        <v>0</v>
      </c>
      <c r="AJ374" s="131">
        <v>7</v>
      </c>
    </row>
    <row r="375" spans="1:36" x14ac:dyDescent="0.35">
      <c r="A375" s="127" t="s">
        <v>942</v>
      </c>
      <c r="B375" s="127" t="s">
        <v>1254</v>
      </c>
      <c r="C375" s="129">
        <v>6</v>
      </c>
      <c r="D375" s="129">
        <v>0</v>
      </c>
      <c r="E375" s="129">
        <v>0</v>
      </c>
      <c r="F375" s="129">
        <v>0</v>
      </c>
      <c r="G375" s="129">
        <v>6</v>
      </c>
      <c r="H375" s="129">
        <v>0</v>
      </c>
      <c r="I375" s="129">
        <v>0</v>
      </c>
      <c r="J375" s="129">
        <v>0</v>
      </c>
      <c r="K375" s="129">
        <v>0</v>
      </c>
      <c r="L375" s="129">
        <v>0</v>
      </c>
      <c r="M375" s="129">
        <v>1</v>
      </c>
      <c r="N375" s="129">
        <v>0</v>
      </c>
      <c r="O375" s="129">
        <v>0</v>
      </c>
      <c r="P375" s="129">
        <v>0</v>
      </c>
      <c r="Q375" s="129">
        <v>1</v>
      </c>
      <c r="R375" s="129">
        <v>2</v>
      </c>
      <c r="S375" s="129">
        <v>0</v>
      </c>
      <c r="T375" s="129">
        <v>0</v>
      </c>
      <c r="U375" s="129">
        <v>0</v>
      </c>
      <c r="V375" s="129">
        <v>2</v>
      </c>
      <c r="W375" s="129">
        <v>1</v>
      </c>
      <c r="X375" s="129">
        <v>0</v>
      </c>
      <c r="Y375" s="129">
        <v>0</v>
      </c>
      <c r="Z375" s="129">
        <v>0</v>
      </c>
      <c r="AA375" s="129">
        <v>1</v>
      </c>
      <c r="AB375" s="129">
        <v>0</v>
      </c>
      <c r="AC375" s="129">
        <v>0</v>
      </c>
      <c r="AD375" s="129">
        <v>0</v>
      </c>
      <c r="AE375" s="129">
        <v>0</v>
      </c>
      <c r="AF375" s="129">
        <v>0</v>
      </c>
      <c r="AG375" s="129">
        <v>0</v>
      </c>
      <c r="AH375" s="129">
        <v>0</v>
      </c>
      <c r="AI375" s="126">
        <v>0</v>
      </c>
      <c r="AJ375" s="131">
        <v>10</v>
      </c>
    </row>
    <row r="376" spans="1:36" x14ac:dyDescent="0.35">
      <c r="A376" s="127" t="s">
        <v>1420</v>
      </c>
      <c r="B376" s="127" t="s">
        <v>1421</v>
      </c>
      <c r="C376" s="129">
        <v>0</v>
      </c>
      <c r="D376" s="129">
        <v>0</v>
      </c>
      <c r="E376" s="129">
        <v>0</v>
      </c>
      <c r="F376" s="129">
        <v>0</v>
      </c>
      <c r="G376" s="129">
        <v>0</v>
      </c>
      <c r="H376" s="129">
        <v>0</v>
      </c>
      <c r="I376" s="129">
        <v>0</v>
      </c>
      <c r="J376" s="129">
        <v>0</v>
      </c>
      <c r="K376" s="129">
        <v>0</v>
      </c>
      <c r="L376" s="129">
        <v>0</v>
      </c>
      <c r="M376" s="129">
        <v>0</v>
      </c>
      <c r="N376" s="129">
        <v>0</v>
      </c>
      <c r="O376" s="129">
        <v>0</v>
      </c>
      <c r="P376" s="129">
        <v>0</v>
      </c>
      <c r="Q376" s="129">
        <v>0</v>
      </c>
      <c r="R376" s="129">
        <v>0</v>
      </c>
      <c r="S376" s="129">
        <v>0</v>
      </c>
      <c r="T376" s="129">
        <v>0</v>
      </c>
      <c r="U376" s="129">
        <v>0</v>
      </c>
      <c r="V376" s="129">
        <v>0</v>
      </c>
      <c r="W376" s="129">
        <v>0</v>
      </c>
      <c r="X376" s="129">
        <v>0</v>
      </c>
      <c r="Y376" s="129">
        <v>0</v>
      </c>
      <c r="Z376" s="129">
        <v>0</v>
      </c>
      <c r="AA376" s="129">
        <v>0</v>
      </c>
      <c r="AB376" s="129">
        <v>0</v>
      </c>
      <c r="AC376" s="129">
        <v>0</v>
      </c>
      <c r="AD376" s="129">
        <v>0</v>
      </c>
      <c r="AE376" s="129">
        <v>0</v>
      </c>
      <c r="AF376" s="129">
        <v>0</v>
      </c>
      <c r="AG376" s="129">
        <v>0</v>
      </c>
      <c r="AH376" s="129">
        <v>0</v>
      </c>
      <c r="AI376" s="126">
        <v>0</v>
      </c>
      <c r="AJ376" s="131">
        <v>0</v>
      </c>
    </row>
    <row r="377" spans="1:36" x14ac:dyDescent="0.35">
      <c r="A377" s="127" t="s">
        <v>1379</v>
      </c>
      <c r="B377" s="127" t="s">
        <v>1380</v>
      </c>
      <c r="C377" s="129">
        <v>1</v>
      </c>
      <c r="D377" s="129">
        <v>0</v>
      </c>
      <c r="E377" s="129">
        <v>0</v>
      </c>
      <c r="F377" s="129">
        <v>0</v>
      </c>
      <c r="G377" s="129">
        <v>1</v>
      </c>
      <c r="H377" s="129">
        <v>0</v>
      </c>
      <c r="I377" s="129">
        <v>0</v>
      </c>
      <c r="J377" s="129">
        <v>0</v>
      </c>
      <c r="K377" s="129">
        <v>0</v>
      </c>
      <c r="L377" s="129">
        <v>0</v>
      </c>
      <c r="M377" s="129">
        <v>0</v>
      </c>
      <c r="N377" s="129">
        <v>0</v>
      </c>
      <c r="O377" s="129">
        <v>0</v>
      </c>
      <c r="P377" s="129">
        <v>0</v>
      </c>
      <c r="Q377" s="129">
        <v>0</v>
      </c>
      <c r="R377" s="129">
        <v>0</v>
      </c>
      <c r="S377" s="129">
        <v>0</v>
      </c>
      <c r="T377" s="129">
        <v>0</v>
      </c>
      <c r="U377" s="129">
        <v>0</v>
      </c>
      <c r="V377" s="129">
        <v>0</v>
      </c>
      <c r="W377" s="129">
        <v>0</v>
      </c>
      <c r="X377" s="129">
        <v>0</v>
      </c>
      <c r="Y377" s="129">
        <v>0</v>
      </c>
      <c r="Z377" s="129">
        <v>0</v>
      </c>
      <c r="AA377" s="129">
        <v>0</v>
      </c>
      <c r="AB377" s="129">
        <v>0</v>
      </c>
      <c r="AC377" s="129">
        <v>0</v>
      </c>
      <c r="AD377" s="129">
        <v>0</v>
      </c>
      <c r="AE377" s="129">
        <v>0</v>
      </c>
      <c r="AF377" s="129">
        <v>0</v>
      </c>
      <c r="AG377" s="129">
        <v>0</v>
      </c>
      <c r="AH377" s="129">
        <v>0</v>
      </c>
      <c r="AI377" s="126">
        <v>0</v>
      </c>
      <c r="AJ377" s="131">
        <v>1</v>
      </c>
    </row>
    <row r="378" spans="1:36" x14ac:dyDescent="0.35">
      <c r="A378" s="127" t="s">
        <v>943</v>
      </c>
      <c r="B378" s="127" t="s">
        <v>1255</v>
      </c>
      <c r="C378" s="129">
        <v>0</v>
      </c>
      <c r="D378" s="129">
        <v>0</v>
      </c>
      <c r="E378" s="129">
        <v>0</v>
      </c>
      <c r="F378" s="129">
        <v>1</v>
      </c>
      <c r="G378" s="129">
        <v>1</v>
      </c>
      <c r="H378" s="129">
        <v>0</v>
      </c>
      <c r="I378" s="129">
        <v>0</v>
      </c>
      <c r="J378" s="129">
        <v>0</v>
      </c>
      <c r="K378" s="129">
        <v>0</v>
      </c>
      <c r="L378" s="129">
        <v>0</v>
      </c>
      <c r="M378" s="129">
        <v>0</v>
      </c>
      <c r="N378" s="129">
        <v>0</v>
      </c>
      <c r="O378" s="129">
        <v>0</v>
      </c>
      <c r="P378" s="129">
        <v>0</v>
      </c>
      <c r="Q378" s="129">
        <v>0</v>
      </c>
      <c r="R378" s="129">
        <v>0</v>
      </c>
      <c r="S378" s="129">
        <v>0</v>
      </c>
      <c r="T378" s="129">
        <v>0</v>
      </c>
      <c r="U378" s="129">
        <v>0</v>
      </c>
      <c r="V378" s="129">
        <v>0</v>
      </c>
      <c r="W378" s="129">
        <v>0</v>
      </c>
      <c r="X378" s="129">
        <v>0</v>
      </c>
      <c r="Y378" s="129">
        <v>0</v>
      </c>
      <c r="Z378" s="129">
        <v>0</v>
      </c>
      <c r="AA378" s="129">
        <v>0</v>
      </c>
      <c r="AB378" s="129">
        <v>0</v>
      </c>
      <c r="AC378" s="129">
        <v>0</v>
      </c>
      <c r="AD378" s="129">
        <v>0</v>
      </c>
      <c r="AE378" s="129">
        <v>0</v>
      </c>
      <c r="AF378" s="129">
        <v>0</v>
      </c>
      <c r="AG378" s="129">
        <v>0</v>
      </c>
      <c r="AH378" s="129">
        <v>0</v>
      </c>
      <c r="AI378" s="126">
        <v>0</v>
      </c>
      <c r="AJ378" s="131">
        <v>1</v>
      </c>
    </row>
    <row r="379" spans="1:36" x14ac:dyDescent="0.35">
      <c r="A379" s="127" t="s">
        <v>944</v>
      </c>
      <c r="B379" s="127" t="s">
        <v>945</v>
      </c>
      <c r="C379" s="129">
        <v>1</v>
      </c>
      <c r="D379" s="129">
        <v>1</v>
      </c>
      <c r="E379" s="129">
        <v>0</v>
      </c>
      <c r="F379" s="129">
        <v>0</v>
      </c>
      <c r="G379" s="129">
        <v>2</v>
      </c>
      <c r="H379" s="129">
        <v>0</v>
      </c>
      <c r="I379" s="129">
        <v>0</v>
      </c>
      <c r="J379" s="129">
        <v>0</v>
      </c>
      <c r="K379" s="129">
        <v>0</v>
      </c>
      <c r="L379" s="129">
        <v>0</v>
      </c>
      <c r="M379" s="129">
        <v>0</v>
      </c>
      <c r="N379" s="129">
        <v>0</v>
      </c>
      <c r="O379" s="129">
        <v>0</v>
      </c>
      <c r="P379" s="129">
        <v>0</v>
      </c>
      <c r="Q379" s="129">
        <v>0</v>
      </c>
      <c r="R379" s="129">
        <v>0</v>
      </c>
      <c r="S379" s="129">
        <v>0</v>
      </c>
      <c r="T379" s="129">
        <v>0</v>
      </c>
      <c r="U379" s="129">
        <v>0</v>
      </c>
      <c r="V379" s="129">
        <v>0</v>
      </c>
      <c r="W379" s="129">
        <v>0</v>
      </c>
      <c r="X379" s="129">
        <v>0</v>
      </c>
      <c r="Y379" s="129">
        <v>0</v>
      </c>
      <c r="Z379" s="129">
        <v>0</v>
      </c>
      <c r="AA379" s="129">
        <v>0</v>
      </c>
      <c r="AB379" s="129">
        <v>0</v>
      </c>
      <c r="AC379" s="129">
        <v>0</v>
      </c>
      <c r="AD379" s="129">
        <v>0</v>
      </c>
      <c r="AE379" s="129">
        <v>0</v>
      </c>
      <c r="AF379" s="129">
        <v>0</v>
      </c>
      <c r="AG379" s="129">
        <v>0</v>
      </c>
      <c r="AH379" s="129">
        <v>0</v>
      </c>
      <c r="AI379" s="126">
        <v>0</v>
      </c>
      <c r="AJ379" s="131">
        <v>2</v>
      </c>
    </row>
    <row r="380" spans="1:36" x14ac:dyDescent="0.35">
      <c r="A380" s="127" t="s">
        <v>946</v>
      </c>
      <c r="B380" s="127" t="s">
        <v>947</v>
      </c>
      <c r="C380" s="129">
        <v>9</v>
      </c>
      <c r="D380" s="129">
        <v>3</v>
      </c>
      <c r="E380" s="129">
        <v>1</v>
      </c>
      <c r="F380" s="129">
        <v>2</v>
      </c>
      <c r="G380" s="129">
        <v>15</v>
      </c>
      <c r="H380" s="129">
        <v>0</v>
      </c>
      <c r="I380" s="129">
        <v>0</v>
      </c>
      <c r="J380" s="129">
        <v>0</v>
      </c>
      <c r="K380" s="129">
        <v>0</v>
      </c>
      <c r="L380" s="129">
        <v>0</v>
      </c>
      <c r="M380" s="129">
        <v>0</v>
      </c>
      <c r="N380" s="129">
        <v>0</v>
      </c>
      <c r="O380" s="129">
        <v>0</v>
      </c>
      <c r="P380" s="129">
        <v>0</v>
      </c>
      <c r="Q380" s="129">
        <v>0</v>
      </c>
      <c r="R380" s="129">
        <v>0</v>
      </c>
      <c r="S380" s="129">
        <v>0</v>
      </c>
      <c r="T380" s="129">
        <v>0</v>
      </c>
      <c r="U380" s="129">
        <v>0</v>
      </c>
      <c r="V380" s="129">
        <v>0</v>
      </c>
      <c r="W380" s="129">
        <v>0</v>
      </c>
      <c r="X380" s="129">
        <v>0</v>
      </c>
      <c r="Y380" s="129">
        <v>0</v>
      </c>
      <c r="Z380" s="129">
        <v>0</v>
      </c>
      <c r="AA380" s="129">
        <v>0</v>
      </c>
      <c r="AB380" s="129">
        <v>0</v>
      </c>
      <c r="AC380" s="129">
        <v>0</v>
      </c>
      <c r="AD380" s="129">
        <v>0</v>
      </c>
      <c r="AE380" s="129">
        <v>0</v>
      </c>
      <c r="AF380" s="129">
        <v>0</v>
      </c>
      <c r="AG380" s="129">
        <v>0</v>
      </c>
      <c r="AH380" s="129">
        <v>0</v>
      </c>
      <c r="AI380" s="126">
        <v>0</v>
      </c>
      <c r="AJ380" s="131">
        <v>15</v>
      </c>
    </row>
    <row r="381" spans="1:36" x14ac:dyDescent="0.35">
      <c r="A381" s="127" t="s">
        <v>948</v>
      </c>
      <c r="B381" s="127" t="s">
        <v>949</v>
      </c>
      <c r="C381" s="129">
        <v>23</v>
      </c>
      <c r="D381" s="129">
        <v>37</v>
      </c>
      <c r="E381" s="129">
        <v>37</v>
      </c>
      <c r="F381" s="129">
        <v>29</v>
      </c>
      <c r="G381" s="129">
        <v>126</v>
      </c>
      <c r="H381" s="129">
        <v>0</v>
      </c>
      <c r="I381" s="129">
        <v>1</v>
      </c>
      <c r="J381" s="129">
        <v>1</v>
      </c>
      <c r="K381" s="129">
        <v>0</v>
      </c>
      <c r="L381" s="129">
        <v>2</v>
      </c>
      <c r="M381" s="129">
        <v>0</v>
      </c>
      <c r="N381" s="129">
        <v>0</v>
      </c>
      <c r="O381" s="129">
        <v>0</v>
      </c>
      <c r="P381" s="129">
        <v>0</v>
      </c>
      <c r="Q381" s="129">
        <v>0</v>
      </c>
      <c r="R381" s="129">
        <v>0</v>
      </c>
      <c r="S381" s="129">
        <v>0</v>
      </c>
      <c r="T381" s="129">
        <v>0</v>
      </c>
      <c r="U381" s="129">
        <v>0</v>
      </c>
      <c r="V381" s="129">
        <v>0</v>
      </c>
      <c r="W381" s="129">
        <v>1</v>
      </c>
      <c r="X381" s="129">
        <v>1</v>
      </c>
      <c r="Y381" s="129">
        <v>1</v>
      </c>
      <c r="Z381" s="129">
        <v>0</v>
      </c>
      <c r="AA381" s="129">
        <v>3</v>
      </c>
      <c r="AB381" s="129">
        <v>0</v>
      </c>
      <c r="AC381" s="129">
        <v>0</v>
      </c>
      <c r="AD381" s="129">
        <v>0</v>
      </c>
      <c r="AE381" s="129">
        <v>0</v>
      </c>
      <c r="AF381" s="129">
        <v>0</v>
      </c>
      <c r="AG381" s="129">
        <v>0</v>
      </c>
      <c r="AH381" s="129">
        <v>0</v>
      </c>
      <c r="AI381" s="126">
        <v>0</v>
      </c>
      <c r="AJ381" s="131">
        <v>131</v>
      </c>
    </row>
    <row r="382" spans="1:36" x14ac:dyDescent="0.35">
      <c r="A382" s="127" t="s">
        <v>950</v>
      </c>
      <c r="B382" s="127" t="s">
        <v>1256</v>
      </c>
      <c r="C382" s="129">
        <v>5</v>
      </c>
      <c r="D382" s="129">
        <v>0</v>
      </c>
      <c r="E382" s="129">
        <v>0</v>
      </c>
      <c r="F382" s="129">
        <v>0</v>
      </c>
      <c r="G382" s="129">
        <v>5</v>
      </c>
      <c r="H382" s="129">
        <v>0</v>
      </c>
      <c r="I382" s="129">
        <v>0</v>
      </c>
      <c r="J382" s="129">
        <v>0</v>
      </c>
      <c r="K382" s="129">
        <v>0</v>
      </c>
      <c r="L382" s="129">
        <v>0</v>
      </c>
      <c r="M382" s="129">
        <v>0</v>
      </c>
      <c r="N382" s="129">
        <v>0</v>
      </c>
      <c r="O382" s="129">
        <v>0</v>
      </c>
      <c r="P382" s="129">
        <v>0</v>
      </c>
      <c r="Q382" s="129">
        <v>0</v>
      </c>
      <c r="R382" s="129">
        <v>0</v>
      </c>
      <c r="S382" s="129">
        <v>0</v>
      </c>
      <c r="T382" s="129">
        <v>0</v>
      </c>
      <c r="U382" s="129">
        <v>0</v>
      </c>
      <c r="V382" s="129">
        <v>0</v>
      </c>
      <c r="W382" s="129">
        <v>0</v>
      </c>
      <c r="X382" s="129">
        <v>0</v>
      </c>
      <c r="Y382" s="129">
        <v>0</v>
      </c>
      <c r="Z382" s="129">
        <v>0</v>
      </c>
      <c r="AA382" s="129">
        <v>0</v>
      </c>
      <c r="AB382" s="129">
        <v>0</v>
      </c>
      <c r="AC382" s="129">
        <v>0</v>
      </c>
      <c r="AD382" s="129">
        <v>0</v>
      </c>
      <c r="AE382" s="129">
        <v>0</v>
      </c>
      <c r="AF382" s="129">
        <v>0</v>
      </c>
      <c r="AG382" s="129">
        <v>0</v>
      </c>
      <c r="AH382" s="129">
        <v>0</v>
      </c>
      <c r="AI382" s="126">
        <v>0</v>
      </c>
      <c r="AJ382" s="131">
        <v>5</v>
      </c>
    </row>
    <row r="383" spans="1:36" x14ac:dyDescent="0.35">
      <c r="A383" s="127" t="s">
        <v>951</v>
      </c>
      <c r="B383" s="127" t="s">
        <v>952</v>
      </c>
      <c r="C383" s="129">
        <v>73</v>
      </c>
      <c r="D383" s="129">
        <v>12</v>
      </c>
      <c r="E383" s="129">
        <v>1</v>
      </c>
      <c r="F383" s="129">
        <v>0</v>
      </c>
      <c r="G383" s="129">
        <v>86</v>
      </c>
      <c r="H383" s="129">
        <v>0</v>
      </c>
      <c r="I383" s="129">
        <v>0</v>
      </c>
      <c r="J383" s="129">
        <v>0</v>
      </c>
      <c r="K383" s="129">
        <v>0</v>
      </c>
      <c r="L383" s="129">
        <v>0</v>
      </c>
      <c r="M383" s="129">
        <v>0</v>
      </c>
      <c r="N383" s="129">
        <v>0</v>
      </c>
      <c r="O383" s="129">
        <v>0</v>
      </c>
      <c r="P383" s="129">
        <v>0</v>
      </c>
      <c r="Q383" s="129">
        <v>0</v>
      </c>
      <c r="R383" s="129">
        <v>0</v>
      </c>
      <c r="S383" s="129">
        <v>0</v>
      </c>
      <c r="T383" s="129">
        <v>0</v>
      </c>
      <c r="U383" s="129">
        <v>0</v>
      </c>
      <c r="V383" s="129">
        <v>0</v>
      </c>
      <c r="W383" s="129">
        <v>2</v>
      </c>
      <c r="X383" s="129">
        <v>0</v>
      </c>
      <c r="Y383" s="129">
        <v>0</v>
      </c>
      <c r="Z383" s="129">
        <v>0</v>
      </c>
      <c r="AA383" s="129">
        <v>2</v>
      </c>
      <c r="AB383" s="129">
        <v>1</v>
      </c>
      <c r="AC383" s="129">
        <v>0</v>
      </c>
      <c r="AD383" s="129">
        <v>0</v>
      </c>
      <c r="AE383" s="129">
        <v>0</v>
      </c>
      <c r="AF383" s="129">
        <v>1</v>
      </c>
      <c r="AG383" s="129">
        <v>0</v>
      </c>
      <c r="AH383" s="129">
        <v>0</v>
      </c>
      <c r="AI383" s="126">
        <v>0</v>
      </c>
      <c r="AJ383" s="131">
        <v>89</v>
      </c>
    </row>
    <row r="384" spans="1:36" x14ac:dyDescent="0.35">
      <c r="A384" s="127" t="s">
        <v>953</v>
      </c>
      <c r="B384" s="127" t="s">
        <v>954</v>
      </c>
      <c r="C384" s="129">
        <v>58</v>
      </c>
      <c r="D384" s="129">
        <v>46</v>
      </c>
      <c r="E384" s="129">
        <v>16</v>
      </c>
      <c r="F384" s="129">
        <v>11</v>
      </c>
      <c r="G384" s="129">
        <v>131</v>
      </c>
      <c r="H384" s="129">
        <v>2</v>
      </c>
      <c r="I384" s="129">
        <v>2</v>
      </c>
      <c r="J384" s="129">
        <v>2</v>
      </c>
      <c r="K384" s="129">
        <v>0</v>
      </c>
      <c r="L384" s="129">
        <v>6</v>
      </c>
      <c r="M384" s="129">
        <v>0</v>
      </c>
      <c r="N384" s="129">
        <v>0</v>
      </c>
      <c r="O384" s="129">
        <v>0</v>
      </c>
      <c r="P384" s="129">
        <v>0</v>
      </c>
      <c r="Q384" s="129">
        <v>0</v>
      </c>
      <c r="R384" s="129">
        <v>0</v>
      </c>
      <c r="S384" s="129">
        <v>0</v>
      </c>
      <c r="T384" s="129">
        <v>0</v>
      </c>
      <c r="U384" s="129">
        <v>0</v>
      </c>
      <c r="V384" s="129">
        <v>0</v>
      </c>
      <c r="W384" s="129">
        <v>1</v>
      </c>
      <c r="X384" s="129">
        <v>1</v>
      </c>
      <c r="Y384" s="129">
        <v>0</v>
      </c>
      <c r="Z384" s="129">
        <v>0</v>
      </c>
      <c r="AA384" s="129">
        <v>2</v>
      </c>
      <c r="AB384" s="129">
        <v>1</v>
      </c>
      <c r="AC384" s="129">
        <v>0</v>
      </c>
      <c r="AD384" s="129">
        <v>0</v>
      </c>
      <c r="AE384" s="129">
        <v>0</v>
      </c>
      <c r="AF384" s="129">
        <v>1</v>
      </c>
      <c r="AG384" s="129">
        <v>0</v>
      </c>
      <c r="AH384" s="129">
        <v>0</v>
      </c>
      <c r="AI384" s="126">
        <v>0</v>
      </c>
      <c r="AJ384" s="131">
        <v>140</v>
      </c>
    </row>
    <row r="385" spans="1:36" x14ac:dyDescent="0.35">
      <c r="A385" s="127" t="s">
        <v>955</v>
      </c>
      <c r="B385" s="127" t="s">
        <v>956</v>
      </c>
      <c r="C385" s="129">
        <v>975</v>
      </c>
      <c r="D385" s="129">
        <v>111</v>
      </c>
      <c r="E385" s="129">
        <v>8</v>
      </c>
      <c r="F385" s="129">
        <v>0</v>
      </c>
      <c r="G385" s="129">
        <v>1094</v>
      </c>
      <c r="H385" s="129">
        <v>7</v>
      </c>
      <c r="I385" s="129">
        <v>0</v>
      </c>
      <c r="J385" s="129">
        <v>0</v>
      </c>
      <c r="K385" s="129">
        <v>0</v>
      </c>
      <c r="L385" s="129">
        <v>7</v>
      </c>
      <c r="M385" s="129">
        <v>5</v>
      </c>
      <c r="N385" s="129">
        <v>0</v>
      </c>
      <c r="O385" s="129">
        <v>0</v>
      </c>
      <c r="P385" s="129">
        <v>0</v>
      </c>
      <c r="Q385" s="129">
        <v>5</v>
      </c>
      <c r="R385" s="129">
        <v>4</v>
      </c>
      <c r="S385" s="129">
        <v>0</v>
      </c>
      <c r="T385" s="129">
        <v>0</v>
      </c>
      <c r="U385" s="129">
        <v>0</v>
      </c>
      <c r="V385" s="129">
        <v>4</v>
      </c>
      <c r="W385" s="129">
        <v>41</v>
      </c>
      <c r="X385" s="129">
        <v>1</v>
      </c>
      <c r="Y385" s="129">
        <v>0</v>
      </c>
      <c r="Z385" s="129">
        <v>0</v>
      </c>
      <c r="AA385" s="129">
        <v>42</v>
      </c>
      <c r="AB385" s="129">
        <v>1</v>
      </c>
      <c r="AC385" s="129">
        <v>0</v>
      </c>
      <c r="AD385" s="129">
        <v>0</v>
      </c>
      <c r="AE385" s="129">
        <v>0</v>
      </c>
      <c r="AF385" s="129">
        <v>1</v>
      </c>
      <c r="AG385" s="129">
        <v>0</v>
      </c>
      <c r="AH385" s="129">
        <v>0</v>
      </c>
      <c r="AI385" s="126">
        <v>0</v>
      </c>
      <c r="AJ385" s="131">
        <v>1153</v>
      </c>
    </row>
    <row r="386" spans="1:36" x14ac:dyDescent="0.35">
      <c r="A386" s="127" t="s">
        <v>957</v>
      </c>
      <c r="B386" s="127" t="s">
        <v>958</v>
      </c>
      <c r="C386" s="129">
        <v>22</v>
      </c>
      <c r="D386" s="129">
        <v>5</v>
      </c>
      <c r="E386" s="129">
        <v>1</v>
      </c>
      <c r="F386" s="129">
        <v>0</v>
      </c>
      <c r="G386" s="129">
        <v>28</v>
      </c>
      <c r="H386" s="129">
        <v>0</v>
      </c>
      <c r="I386" s="129">
        <v>0</v>
      </c>
      <c r="J386" s="129">
        <v>0</v>
      </c>
      <c r="K386" s="129">
        <v>0</v>
      </c>
      <c r="L386" s="129">
        <v>0</v>
      </c>
      <c r="M386" s="129">
        <v>0</v>
      </c>
      <c r="N386" s="129">
        <v>0</v>
      </c>
      <c r="O386" s="129">
        <v>0</v>
      </c>
      <c r="P386" s="129">
        <v>0</v>
      </c>
      <c r="Q386" s="129">
        <v>0</v>
      </c>
      <c r="R386" s="129">
        <v>0</v>
      </c>
      <c r="S386" s="129">
        <v>0</v>
      </c>
      <c r="T386" s="129">
        <v>0</v>
      </c>
      <c r="U386" s="129">
        <v>0</v>
      </c>
      <c r="V386" s="129">
        <v>0</v>
      </c>
      <c r="W386" s="129">
        <v>0</v>
      </c>
      <c r="X386" s="129">
        <v>0</v>
      </c>
      <c r="Y386" s="129">
        <v>0</v>
      </c>
      <c r="Z386" s="129">
        <v>0</v>
      </c>
      <c r="AA386" s="129">
        <v>0</v>
      </c>
      <c r="AB386" s="129">
        <v>0</v>
      </c>
      <c r="AC386" s="129">
        <v>0</v>
      </c>
      <c r="AD386" s="129">
        <v>0</v>
      </c>
      <c r="AE386" s="129">
        <v>0</v>
      </c>
      <c r="AF386" s="129">
        <v>0</v>
      </c>
      <c r="AG386" s="129">
        <v>0</v>
      </c>
      <c r="AH386" s="129">
        <v>0</v>
      </c>
      <c r="AI386" s="126">
        <v>0</v>
      </c>
      <c r="AJ386" s="131">
        <v>28</v>
      </c>
    </row>
    <row r="387" spans="1:36" x14ac:dyDescent="0.35">
      <c r="A387" s="127" t="s">
        <v>959</v>
      </c>
      <c r="B387" s="127" t="s">
        <v>960</v>
      </c>
      <c r="C387" s="129">
        <v>1</v>
      </c>
      <c r="D387" s="129">
        <v>0</v>
      </c>
      <c r="E387" s="129">
        <v>3</v>
      </c>
      <c r="F387" s="129">
        <v>2</v>
      </c>
      <c r="G387" s="129">
        <v>6</v>
      </c>
      <c r="H387" s="129">
        <v>0</v>
      </c>
      <c r="I387" s="129">
        <v>0</v>
      </c>
      <c r="J387" s="129">
        <v>0</v>
      </c>
      <c r="K387" s="129">
        <v>0</v>
      </c>
      <c r="L387" s="129">
        <v>0</v>
      </c>
      <c r="M387" s="129">
        <v>0</v>
      </c>
      <c r="N387" s="129">
        <v>0</v>
      </c>
      <c r="O387" s="129">
        <v>0</v>
      </c>
      <c r="P387" s="129">
        <v>0</v>
      </c>
      <c r="Q387" s="129">
        <v>0</v>
      </c>
      <c r="R387" s="129">
        <v>0</v>
      </c>
      <c r="S387" s="129">
        <v>0</v>
      </c>
      <c r="T387" s="129">
        <v>0</v>
      </c>
      <c r="U387" s="129">
        <v>0</v>
      </c>
      <c r="V387" s="129">
        <v>0</v>
      </c>
      <c r="W387" s="129">
        <v>0</v>
      </c>
      <c r="X387" s="129">
        <v>0</v>
      </c>
      <c r="Y387" s="129">
        <v>0</v>
      </c>
      <c r="Z387" s="129">
        <v>0</v>
      </c>
      <c r="AA387" s="129">
        <v>0</v>
      </c>
      <c r="AB387" s="129">
        <v>0</v>
      </c>
      <c r="AC387" s="129">
        <v>0</v>
      </c>
      <c r="AD387" s="129">
        <v>0</v>
      </c>
      <c r="AE387" s="129">
        <v>0</v>
      </c>
      <c r="AF387" s="129">
        <v>0</v>
      </c>
      <c r="AG387" s="129">
        <v>0</v>
      </c>
      <c r="AH387" s="129">
        <v>0</v>
      </c>
      <c r="AI387" s="126">
        <v>0</v>
      </c>
      <c r="AJ387" s="131">
        <v>6</v>
      </c>
    </row>
    <row r="388" spans="1:36" x14ac:dyDescent="0.35">
      <c r="A388" s="127" t="s">
        <v>961</v>
      </c>
      <c r="B388" s="127" t="s">
        <v>962</v>
      </c>
      <c r="C388" s="129">
        <v>4642</v>
      </c>
      <c r="D388" s="129">
        <v>2296</v>
      </c>
      <c r="E388" s="129">
        <v>762</v>
      </c>
      <c r="F388" s="129">
        <v>127</v>
      </c>
      <c r="G388" s="129">
        <v>7827</v>
      </c>
      <c r="H388" s="129">
        <v>56</v>
      </c>
      <c r="I388" s="129">
        <v>14</v>
      </c>
      <c r="J388" s="129">
        <v>4</v>
      </c>
      <c r="K388" s="129">
        <v>1</v>
      </c>
      <c r="L388" s="129">
        <v>75</v>
      </c>
      <c r="M388" s="129">
        <v>47</v>
      </c>
      <c r="N388" s="129">
        <v>7</v>
      </c>
      <c r="O388" s="129">
        <v>2</v>
      </c>
      <c r="P388" s="129">
        <v>0</v>
      </c>
      <c r="Q388" s="129">
        <v>56</v>
      </c>
      <c r="R388" s="129">
        <v>16</v>
      </c>
      <c r="S388" s="129">
        <v>0</v>
      </c>
      <c r="T388" s="129">
        <v>0</v>
      </c>
      <c r="U388" s="129">
        <v>0</v>
      </c>
      <c r="V388" s="129">
        <v>16</v>
      </c>
      <c r="W388" s="129">
        <v>182</v>
      </c>
      <c r="X388" s="129">
        <v>22</v>
      </c>
      <c r="Y388" s="129">
        <v>4</v>
      </c>
      <c r="Z388" s="129">
        <v>2</v>
      </c>
      <c r="AA388" s="129">
        <v>210</v>
      </c>
      <c r="AB388" s="129">
        <v>33</v>
      </c>
      <c r="AC388" s="129">
        <v>6</v>
      </c>
      <c r="AD388" s="129">
        <v>2</v>
      </c>
      <c r="AE388" s="129">
        <v>0</v>
      </c>
      <c r="AF388" s="129">
        <v>41</v>
      </c>
      <c r="AG388" s="129">
        <v>0</v>
      </c>
      <c r="AH388" s="129">
        <v>1</v>
      </c>
      <c r="AI388" s="126">
        <v>1</v>
      </c>
      <c r="AJ388" s="131">
        <v>8226</v>
      </c>
    </row>
    <row r="389" spans="1:36" x14ac:dyDescent="0.35">
      <c r="A389" s="127" t="s">
        <v>963</v>
      </c>
      <c r="B389" s="127" t="s">
        <v>1257</v>
      </c>
      <c r="C389" s="129">
        <v>923</v>
      </c>
      <c r="D389" s="129">
        <v>235</v>
      </c>
      <c r="E389" s="129">
        <v>82</v>
      </c>
      <c r="F389" s="129">
        <v>7</v>
      </c>
      <c r="G389" s="129">
        <v>1247</v>
      </c>
      <c r="H389" s="129">
        <v>11</v>
      </c>
      <c r="I389" s="129">
        <v>3</v>
      </c>
      <c r="J389" s="129">
        <v>0</v>
      </c>
      <c r="K389" s="129">
        <v>0</v>
      </c>
      <c r="L389" s="129">
        <v>14</v>
      </c>
      <c r="M389" s="129">
        <v>8</v>
      </c>
      <c r="N389" s="129">
        <v>1</v>
      </c>
      <c r="O389" s="129">
        <v>0</v>
      </c>
      <c r="P389" s="129">
        <v>0</v>
      </c>
      <c r="Q389" s="129">
        <v>9</v>
      </c>
      <c r="R389" s="129">
        <v>7</v>
      </c>
      <c r="S389" s="129">
        <v>1</v>
      </c>
      <c r="T389" s="129">
        <v>0</v>
      </c>
      <c r="U389" s="129">
        <v>0</v>
      </c>
      <c r="V389" s="129">
        <v>8</v>
      </c>
      <c r="W389" s="129">
        <v>73</v>
      </c>
      <c r="X389" s="129">
        <v>2</v>
      </c>
      <c r="Y389" s="129">
        <v>1</v>
      </c>
      <c r="Z389" s="129">
        <v>0</v>
      </c>
      <c r="AA389" s="129">
        <v>76</v>
      </c>
      <c r="AB389" s="129">
        <v>19</v>
      </c>
      <c r="AC389" s="129">
        <v>1</v>
      </c>
      <c r="AD389" s="129">
        <v>0</v>
      </c>
      <c r="AE389" s="129">
        <v>0</v>
      </c>
      <c r="AF389" s="129">
        <v>20</v>
      </c>
      <c r="AG389" s="129">
        <v>0</v>
      </c>
      <c r="AH389" s="129">
        <v>0</v>
      </c>
      <c r="AI389" s="126">
        <v>0</v>
      </c>
      <c r="AJ389" s="131">
        <v>1374</v>
      </c>
    </row>
    <row r="390" spans="1:36" x14ac:dyDescent="0.35">
      <c r="A390" s="127" t="s">
        <v>964</v>
      </c>
      <c r="B390" s="127" t="s">
        <v>965</v>
      </c>
      <c r="C390" s="129">
        <v>1210</v>
      </c>
      <c r="D390" s="129">
        <v>138</v>
      </c>
      <c r="E390" s="129">
        <v>6</v>
      </c>
      <c r="F390" s="129">
        <v>1</v>
      </c>
      <c r="G390" s="129">
        <v>1355</v>
      </c>
      <c r="H390" s="129">
        <v>12</v>
      </c>
      <c r="I390" s="129">
        <v>0</v>
      </c>
      <c r="J390" s="129">
        <v>0</v>
      </c>
      <c r="K390" s="129">
        <v>0</v>
      </c>
      <c r="L390" s="129">
        <v>12</v>
      </c>
      <c r="M390" s="129">
        <v>11</v>
      </c>
      <c r="N390" s="129">
        <v>0</v>
      </c>
      <c r="O390" s="129">
        <v>0</v>
      </c>
      <c r="P390" s="129">
        <v>0</v>
      </c>
      <c r="Q390" s="129">
        <v>11</v>
      </c>
      <c r="R390" s="129">
        <v>3</v>
      </c>
      <c r="S390" s="129">
        <v>0</v>
      </c>
      <c r="T390" s="129">
        <v>0</v>
      </c>
      <c r="U390" s="129">
        <v>0</v>
      </c>
      <c r="V390" s="129">
        <v>3</v>
      </c>
      <c r="W390" s="129">
        <v>56</v>
      </c>
      <c r="X390" s="129">
        <v>1</v>
      </c>
      <c r="Y390" s="129">
        <v>0</v>
      </c>
      <c r="Z390" s="129">
        <v>0</v>
      </c>
      <c r="AA390" s="129">
        <v>57</v>
      </c>
      <c r="AB390" s="129">
        <v>8</v>
      </c>
      <c r="AC390" s="129">
        <v>2</v>
      </c>
      <c r="AD390" s="129">
        <v>0</v>
      </c>
      <c r="AE390" s="129">
        <v>0</v>
      </c>
      <c r="AF390" s="129">
        <v>10</v>
      </c>
      <c r="AG390" s="129">
        <v>0</v>
      </c>
      <c r="AH390" s="129">
        <v>0</v>
      </c>
      <c r="AI390" s="126">
        <v>0</v>
      </c>
      <c r="AJ390" s="131">
        <v>1448</v>
      </c>
    </row>
    <row r="391" spans="1:36" x14ac:dyDescent="0.35">
      <c r="A391" s="126" t="s">
        <v>966</v>
      </c>
      <c r="B391" s="127" t="s">
        <v>967</v>
      </c>
      <c r="C391" s="129">
        <v>451</v>
      </c>
      <c r="D391" s="129">
        <v>57</v>
      </c>
      <c r="E391" s="129">
        <v>1</v>
      </c>
      <c r="F391" s="129">
        <v>0</v>
      </c>
      <c r="G391" s="129">
        <v>509</v>
      </c>
      <c r="H391" s="129">
        <v>8</v>
      </c>
      <c r="I391" s="129">
        <v>0</v>
      </c>
      <c r="J391" s="129">
        <v>0</v>
      </c>
      <c r="K391" s="129">
        <v>0</v>
      </c>
      <c r="L391" s="129">
        <v>8</v>
      </c>
      <c r="M391" s="129">
        <v>11</v>
      </c>
      <c r="N391" s="129">
        <v>1</v>
      </c>
      <c r="O391" s="129">
        <v>0</v>
      </c>
      <c r="P391" s="129">
        <v>0</v>
      </c>
      <c r="Q391" s="129">
        <v>12</v>
      </c>
      <c r="R391" s="129">
        <v>11</v>
      </c>
      <c r="S391" s="129">
        <v>0</v>
      </c>
      <c r="T391" s="129">
        <v>0</v>
      </c>
      <c r="U391" s="129">
        <v>0</v>
      </c>
      <c r="V391" s="129">
        <v>11</v>
      </c>
      <c r="W391" s="129">
        <v>35</v>
      </c>
      <c r="X391" s="129">
        <v>0</v>
      </c>
      <c r="Y391" s="129">
        <v>0</v>
      </c>
      <c r="Z391" s="129">
        <v>0</v>
      </c>
      <c r="AA391" s="129">
        <v>35</v>
      </c>
      <c r="AB391" s="129">
        <v>5</v>
      </c>
      <c r="AC391" s="129">
        <v>0</v>
      </c>
      <c r="AD391" s="129">
        <v>0</v>
      </c>
      <c r="AE391" s="129">
        <v>0</v>
      </c>
      <c r="AF391" s="129">
        <v>5</v>
      </c>
      <c r="AG391" s="129">
        <v>0</v>
      </c>
      <c r="AH391" s="129">
        <v>0</v>
      </c>
      <c r="AI391" s="126">
        <v>0</v>
      </c>
      <c r="AJ391" s="131">
        <v>580</v>
      </c>
    </row>
    <row r="392" spans="1:36" x14ac:dyDescent="0.35">
      <c r="A392" s="126" t="s">
        <v>968</v>
      </c>
      <c r="B392" s="127" t="s">
        <v>969</v>
      </c>
      <c r="C392" s="129">
        <v>1369</v>
      </c>
      <c r="D392" s="129">
        <v>524</v>
      </c>
      <c r="E392" s="129">
        <v>193</v>
      </c>
      <c r="F392" s="129">
        <v>67</v>
      </c>
      <c r="G392" s="129">
        <v>2153</v>
      </c>
      <c r="H392" s="129">
        <v>3</v>
      </c>
      <c r="I392" s="129">
        <v>2</v>
      </c>
      <c r="J392" s="129">
        <v>1</v>
      </c>
      <c r="K392" s="129">
        <v>0</v>
      </c>
      <c r="L392" s="129">
        <v>6</v>
      </c>
      <c r="M392" s="129">
        <v>8</v>
      </c>
      <c r="N392" s="129">
        <v>4</v>
      </c>
      <c r="O392" s="129">
        <v>0</v>
      </c>
      <c r="P392" s="129">
        <v>0</v>
      </c>
      <c r="Q392" s="129">
        <v>12</v>
      </c>
      <c r="R392" s="129">
        <v>6</v>
      </c>
      <c r="S392" s="129">
        <v>0</v>
      </c>
      <c r="T392" s="129">
        <v>0</v>
      </c>
      <c r="U392" s="129">
        <v>0</v>
      </c>
      <c r="V392" s="129">
        <v>6</v>
      </c>
      <c r="W392" s="129">
        <v>31</v>
      </c>
      <c r="X392" s="129">
        <v>1</v>
      </c>
      <c r="Y392" s="129">
        <v>1</v>
      </c>
      <c r="Z392" s="129">
        <v>0</v>
      </c>
      <c r="AA392" s="129">
        <v>33</v>
      </c>
      <c r="AB392" s="129">
        <v>8</v>
      </c>
      <c r="AC392" s="129">
        <v>0</v>
      </c>
      <c r="AD392" s="129">
        <v>0</v>
      </c>
      <c r="AE392" s="129">
        <v>0</v>
      </c>
      <c r="AF392" s="129">
        <v>8</v>
      </c>
      <c r="AG392" s="129">
        <v>0</v>
      </c>
      <c r="AH392" s="129">
        <v>0</v>
      </c>
      <c r="AI392" s="126">
        <v>0</v>
      </c>
      <c r="AJ392" s="131">
        <v>2218</v>
      </c>
    </row>
    <row r="393" spans="1:36" x14ac:dyDescent="0.35">
      <c r="A393" s="127" t="s">
        <v>970</v>
      </c>
      <c r="B393" s="127" t="s">
        <v>1258</v>
      </c>
      <c r="C393" s="129">
        <v>2109</v>
      </c>
      <c r="D393" s="129">
        <v>265</v>
      </c>
      <c r="E393" s="129">
        <v>47</v>
      </c>
      <c r="F393" s="129">
        <v>8</v>
      </c>
      <c r="G393" s="129">
        <v>2429</v>
      </c>
      <c r="H393" s="129">
        <v>25</v>
      </c>
      <c r="I393" s="129">
        <v>1</v>
      </c>
      <c r="J393" s="129">
        <v>0</v>
      </c>
      <c r="K393" s="129">
        <v>0</v>
      </c>
      <c r="L393" s="129">
        <v>26</v>
      </c>
      <c r="M393" s="129">
        <v>11</v>
      </c>
      <c r="N393" s="129">
        <v>0</v>
      </c>
      <c r="O393" s="129">
        <v>0</v>
      </c>
      <c r="P393" s="129">
        <v>0</v>
      </c>
      <c r="Q393" s="129">
        <v>11</v>
      </c>
      <c r="R393" s="129">
        <v>8</v>
      </c>
      <c r="S393" s="129">
        <v>0</v>
      </c>
      <c r="T393" s="129">
        <v>0</v>
      </c>
      <c r="U393" s="129">
        <v>0</v>
      </c>
      <c r="V393" s="129">
        <v>8</v>
      </c>
      <c r="W393" s="129">
        <v>112</v>
      </c>
      <c r="X393" s="129">
        <v>3</v>
      </c>
      <c r="Y393" s="129">
        <v>0</v>
      </c>
      <c r="Z393" s="129">
        <v>0</v>
      </c>
      <c r="AA393" s="129">
        <v>115</v>
      </c>
      <c r="AB393" s="129">
        <v>10</v>
      </c>
      <c r="AC393" s="129">
        <v>3</v>
      </c>
      <c r="AD393" s="129">
        <v>0</v>
      </c>
      <c r="AE393" s="129">
        <v>0</v>
      </c>
      <c r="AF393" s="129">
        <v>13</v>
      </c>
      <c r="AG393" s="129">
        <v>0</v>
      </c>
      <c r="AH393" s="129">
        <v>0</v>
      </c>
      <c r="AI393" s="126">
        <v>0</v>
      </c>
      <c r="AJ393" s="131">
        <v>2602</v>
      </c>
    </row>
    <row r="394" spans="1:36" x14ac:dyDescent="0.35">
      <c r="A394" s="127" t="s">
        <v>1200</v>
      </c>
      <c r="B394" s="127" t="s">
        <v>1259</v>
      </c>
      <c r="C394" s="129">
        <v>435</v>
      </c>
      <c r="D394" s="129">
        <v>78</v>
      </c>
      <c r="E394" s="129">
        <v>8</v>
      </c>
      <c r="F394" s="129">
        <v>3</v>
      </c>
      <c r="G394" s="129">
        <v>524</v>
      </c>
      <c r="H394" s="129">
        <v>10</v>
      </c>
      <c r="I394" s="129">
        <v>0</v>
      </c>
      <c r="J394" s="129">
        <v>0</v>
      </c>
      <c r="K394" s="129">
        <v>0</v>
      </c>
      <c r="L394" s="129">
        <v>10</v>
      </c>
      <c r="M394" s="129">
        <v>2</v>
      </c>
      <c r="N394" s="129">
        <v>0</v>
      </c>
      <c r="O394" s="129">
        <v>0</v>
      </c>
      <c r="P394" s="129">
        <v>0</v>
      </c>
      <c r="Q394" s="129">
        <v>2</v>
      </c>
      <c r="R394" s="129">
        <v>2</v>
      </c>
      <c r="S394" s="129">
        <v>0</v>
      </c>
      <c r="T394" s="129">
        <v>0</v>
      </c>
      <c r="U394" s="129">
        <v>0</v>
      </c>
      <c r="V394" s="129">
        <v>2</v>
      </c>
      <c r="W394" s="129">
        <v>21</v>
      </c>
      <c r="X394" s="129">
        <v>1</v>
      </c>
      <c r="Y394" s="129">
        <v>0</v>
      </c>
      <c r="Z394" s="129">
        <v>0</v>
      </c>
      <c r="AA394" s="129">
        <v>22</v>
      </c>
      <c r="AB394" s="129">
        <v>7</v>
      </c>
      <c r="AC394" s="129">
        <v>1</v>
      </c>
      <c r="AD394" s="129">
        <v>0</v>
      </c>
      <c r="AE394" s="129">
        <v>0</v>
      </c>
      <c r="AF394" s="129">
        <v>8</v>
      </c>
      <c r="AG394" s="129">
        <v>0</v>
      </c>
      <c r="AH394" s="129">
        <v>0</v>
      </c>
      <c r="AI394" s="126">
        <v>0</v>
      </c>
      <c r="AJ394" s="131">
        <v>568</v>
      </c>
    </row>
    <row r="395" spans="1:36" x14ac:dyDescent="0.35">
      <c r="A395" s="127" t="s">
        <v>1201</v>
      </c>
      <c r="B395" s="127" t="s">
        <v>1260</v>
      </c>
      <c r="C395" s="129">
        <v>878</v>
      </c>
      <c r="D395" s="129">
        <v>238</v>
      </c>
      <c r="E395" s="129">
        <v>48</v>
      </c>
      <c r="F395" s="129">
        <v>13</v>
      </c>
      <c r="G395" s="129">
        <v>1177</v>
      </c>
      <c r="H395" s="129">
        <v>14</v>
      </c>
      <c r="I395" s="129">
        <v>2</v>
      </c>
      <c r="J395" s="129">
        <v>0</v>
      </c>
      <c r="K395" s="129">
        <v>0</v>
      </c>
      <c r="L395" s="129">
        <v>16</v>
      </c>
      <c r="M395" s="129">
        <v>10</v>
      </c>
      <c r="N395" s="129">
        <v>2</v>
      </c>
      <c r="O395" s="129">
        <v>0</v>
      </c>
      <c r="P395" s="129">
        <v>0</v>
      </c>
      <c r="Q395" s="129">
        <v>12</v>
      </c>
      <c r="R395" s="129">
        <v>15</v>
      </c>
      <c r="S395" s="129">
        <v>3</v>
      </c>
      <c r="T395" s="129">
        <v>0</v>
      </c>
      <c r="U395" s="129">
        <v>0</v>
      </c>
      <c r="V395" s="129">
        <v>18</v>
      </c>
      <c r="W395" s="129">
        <v>55</v>
      </c>
      <c r="X395" s="129">
        <v>8</v>
      </c>
      <c r="Y395" s="129">
        <v>0</v>
      </c>
      <c r="Z395" s="129">
        <v>0</v>
      </c>
      <c r="AA395" s="129">
        <v>63</v>
      </c>
      <c r="AB395" s="129">
        <v>9</v>
      </c>
      <c r="AC395" s="129">
        <v>0</v>
      </c>
      <c r="AD395" s="129">
        <v>1</v>
      </c>
      <c r="AE395" s="129">
        <v>0</v>
      </c>
      <c r="AF395" s="129">
        <v>10</v>
      </c>
      <c r="AG395" s="129">
        <v>0</v>
      </c>
      <c r="AH395" s="129">
        <v>0</v>
      </c>
      <c r="AI395" s="126">
        <v>0</v>
      </c>
      <c r="AJ395" s="131">
        <v>1296</v>
      </c>
    </row>
    <row r="396" spans="1:36" x14ac:dyDescent="0.35">
      <c r="A396" s="127" t="s">
        <v>971</v>
      </c>
      <c r="B396" s="127" t="s">
        <v>972</v>
      </c>
      <c r="C396" s="129">
        <v>81</v>
      </c>
      <c r="D396" s="129">
        <v>51</v>
      </c>
      <c r="E396" s="129">
        <v>2</v>
      </c>
      <c r="F396" s="129">
        <v>0</v>
      </c>
      <c r="G396" s="129">
        <v>134</v>
      </c>
      <c r="H396" s="129">
        <v>4</v>
      </c>
      <c r="I396" s="129">
        <v>2</v>
      </c>
      <c r="J396" s="129">
        <v>0</v>
      </c>
      <c r="K396" s="129">
        <v>0</v>
      </c>
      <c r="L396" s="129">
        <v>6</v>
      </c>
      <c r="M396" s="129">
        <v>0</v>
      </c>
      <c r="N396" s="129">
        <v>3</v>
      </c>
      <c r="O396" s="129">
        <v>0</v>
      </c>
      <c r="P396" s="129">
        <v>0</v>
      </c>
      <c r="Q396" s="129">
        <v>3</v>
      </c>
      <c r="R396" s="129">
        <v>1</v>
      </c>
      <c r="S396" s="129">
        <v>1</v>
      </c>
      <c r="T396" s="129">
        <v>0</v>
      </c>
      <c r="U396" s="129">
        <v>0</v>
      </c>
      <c r="V396" s="129">
        <v>2</v>
      </c>
      <c r="W396" s="129">
        <v>15</v>
      </c>
      <c r="X396" s="129">
        <v>2</v>
      </c>
      <c r="Y396" s="129">
        <v>0</v>
      </c>
      <c r="Z396" s="129">
        <v>0</v>
      </c>
      <c r="AA396" s="129">
        <v>17</v>
      </c>
      <c r="AB396" s="129">
        <v>3</v>
      </c>
      <c r="AC396" s="129">
        <v>0</v>
      </c>
      <c r="AD396" s="129">
        <v>0</v>
      </c>
      <c r="AE396" s="129">
        <v>0</v>
      </c>
      <c r="AF396" s="129">
        <v>3</v>
      </c>
      <c r="AG396" s="129">
        <v>0</v>
      </c>
      <c r="AH396" s="129">
        <v>0</v>
      </c>
      <c r="AI396" s="126">
        <v>0</v>
      </c>
      <c r="AJ396" s="131">
        <v>165</v>
      </c>
    </row>
    <row r="397" spans="1:36" x14ac:dyDescent="0.35">
      <c r="A397" s="127" t="s">
        <v>973</v>
      </c>
      <c r="B397" s="127" t="s">
        <v>1261</v>
      </c>
      <c r="C397" s="129">
        <v>68</v>
      </c>
      <c r="D397" s="129">
        <v>10</v>
      </c>
      <c r="E397" s="129">
        <v>0</v>
      </c>
      <c r="F397" s="129">
        <v>2</v>
      </c>
      <c r="G397" s="129">
        <v>80</v>
      </c>
      <c r="H397" s="129">
        <v>2</v>
      </c>
      <c r="I397" s="129">
        <v>0</v>
      </c>
      <c r="J397" s="129">
        <v>0</v>
      </c>
      <c r="K397" s="129">
        <v>0</v>
      </c>
      <c r="L397" s="129">
        <v>2</v>
      </c>
      <c r="M397" s="129">
        <v>1</v>
      </c>
      <c r="N397" s="129">
        <v>0</v>
      </c>
      <c r="O397" s="129">
        <v>0</v>
      </c>
      <c r="P397" s="129">
        <v>0</v>
      </c>
      <c r="Q397" s="129">
        <v>1</v>
      </c>
      <c r="R397" s="129">
        <v>2</v>
      </c>
      <c r="S397" s="129">
        <v>0</v>
      </c>
      <c r="T397" s="129">
        <v>0</v>
      </c>
      <c r="U397" s="129">
        <v>0</v>
      </c>
      <c r="V397" s="129">
        <v>2</v>
      </c>
      <c r="W397" s="129">
        <v>6</v>
      </c>
      <c r="X397" s="129">
        <v>1</v>
      </c>
      <c r="Y397" s="129">
        <v>0</v>
      </c>
      <c r="Z397" s="129">
        <v>0</v>
      </c>
      <c r="AA397" s="129">
        <v>7</v>
      </c>
      <c r="AB397" s="129">
        <v>0</v>
      </c>
      <c r="AC397" s="129">
        <v>0</v>
      </c>
      <c r="AD397" s="129">
        <v>0</v>
      </c>
      <c r="AE397" s="129">
        <v>0</v>
      </c>
      <c r="AF397" s="129">
        <v>0</v>
      </c>
      <c r="AG397" s="129">
        <v>0</v>
      </c>
      <c r="AH397" s="129">
        <v>0</v>
      </c>
      <c r="AI397" s="126">
        <v>0</v>
      </c>
      <c r="AJ397" s="131">
        <v>92</v>
      </c>
    </row>
    <row r="398" spans="1:36" x14ac:dyDescent="0.35">
      <c r="A398" s="127" t="s">
        <v>974</v>
      </c>
      <c r="B398" s="127" t="s">
        <v>975</v>
      </c>
      <c r="C398" s="129">
        <v>50</v>
      </c>
      <c r="D398" s="129">
        <v>6</v>
      </c>
      <c r="E398" s="129">
        <v>0</v>
      </c>
      <c r="F398" s="129">
        <v>0</v>
      </c>
      <c r="G398" s="129">
        <v>56</v>
      </c>
      <c r="H398" s="129">
        <v>0</v>
      </c>
      <c r="I398" s="129">
        <v>0</v>
      </c>
      <c r="J398" s="129">
        <v>0</v>
      </c>
      <c r="K398" s="129">
        <v>0</v>
      </c>
      <c r="L398" s="129">
        <v>0</v>
      </c>
      <c r="M398" s="129">
        <v>1</v>
      </c>
      <c r="N398" s="129">
        <v>0</v>
      </c>
      <c r="O398" s="129">
        <v>0</v>
      </c>
      <c r="P398" s="129">
        <v>0</v>
      </c>
      <c r="Q398" s="129">
        <v>1</v>
      </c>
      <c r="R398" s="129">
        <v>1</v>
      </c>
      <c r="S398" s="129">
        <v>0</v>
      </c>
      <c r="T398" s="129">
        <v>0</v>
      </c>
      <c r="U398" s="129">
        <v>0</v>
      </c>
      <c r="V398" s="129">
        <v>1</v>
      </c>
      <c r="W398" s="129">
        <v>4</v>
      </c>
      <c r="X398" s="129">
        <v>0</v>
      </c>
      <c r="Y398" s="129">
        <v>0</v>
      </c>
      <c r="Z398" s="129">
        <v>0</v>
      </c>
      <c r="AA398" s="129">
        <v>4</v>
      </c>
      <c r="AB398" s="129">
        <v>0</v>
      </c>
      <c r="AC398" s="129">
        <v>0</v>
      </c>
      <c r="AD398" s="129">
        <v>0</v>
      </c>
      <c r="AE398" s="129">
        <v>0</v>
      </c>
      <c r="AF398" s="129">
        <v>0</v>
      </c>
      <c r="AG398" s="129">
        <v>0</v>
      </c>
      <c r="AH398" s="129">
        <v>0</v>
      </c>
      <c r="AI398" s="126">
        <v>0</v>
      </c>
      <c r="AJ398" s="131">
        <v>62</v>
      </c>
    </row>
    <row r="399" spans="1:36" x14ac:dyDescent="0.35">
      <c r="A399" s="127" t="s">
        <v>976</v>
      </c>
      <c r="B399" s="127" t="s">
        <v>977</v>
      </c>
      <c r="C399" s="129">
        <v>1345</v>
      </c>
      <c r="D399" s="129">
        <v>102</v>
      </c>
      <c r="E399" s="129">
        <v>14</v>
      </c>
      <c r="F399" s="129">
        <v>1</v>
      </c>
      <c r="G399" s="129">
        <v>1462</v>
      </c>
      <c r="H399" s="129">
        <v>11</v>
      </c>
      <c r="I399" s="129">
        <v>0</v>
      </c>
      <c r="J399" s="129">
        <v>0</v>
      </c>
      <c r="K399" s="129">
        <v>0</v>
      </c>
      <c r="L399" s="129">
        <v>11</v>
      </c>
      <c r="M399" s="129">
        <v>8</v>
      </c>
      <c r="N399" s="129">
        <v>0</v>
      </c>
      <c r="O399" s="129">
        <v>0</v>
      </c>
      <c r="P399" s="129">
        <v>0</v>
      </c>
      <c r="Q399" s="129">
        <v>8</v>
      </c>
      <c r="R399" s="129">
        <v>24</v>
      </c>
      <c r="S399" s="129">
        <v>0</v>
      </c>
      <c r="T399" s="129">
        <v>0</v>
      </c>
      <c r="U399" s="129">
        <v>0</v>
      </c>
      <c r="V399" s="129">
        <v>24</v>
      </c>
      <c r="W399" s="129">
        <v>103</v>
      </c>
      <c r="X399" s="129">
        <v>0</v>
      </c>
      <c r="Y399" s="129">
        <v>0</v>
      </c>
      <c r="Z399" s="129">
        <v>0</v>
      </c>
      <c r="AA399" s="129">
        <v>103</v>
      </c>
      <c r="AB399" s="129">
        <v>8</v>
      </c>
      <c r="AC399" s="129">
        <v>0</v>
      </c>
      <c r="AD399" s="129">
        <v>0</v>
      </c>
      <c r="AE399" s="129">
        <v>0</v>
      </c>
      <c r="AF399" s="129">
        <v>8</v>
      </c>
      <c r="AG399" s="129">
        <v>0</v>
      </c>
      <c r="AH399" s="129">
        <v>0</v>
      </c>
      <c r="AI399" s="126">
        <v>0</v>
      </c>
      <c r="AJ399" s="131">
        <v>1616</v>
      </c>
    </row>
    <row r="400" spans="1:36" x14ac:dyDescent="0.35">
      <c r="A400" s="127" t="s">
        <v>978</v>
      </c>
      <c r="B400" s="127" t="s">
        <v>979</v>
      </c>
      <c r="C400" s="129">
        <v>37</v>
      </c>
      <c r="D400" s="129">
        <v>5</v>
      </c>
      <c r="E400" s="129">
        <v>1</v>
      </c>
      <c r="F400" s="129">
        <v>0</v>
      </c>
      <c r="G400" s="129">
        <v>43</v>
      </c>
      <c r="H400" s="129">
        <v>0</v>
      </c>
      <c r="I400" s="129">
        <v>0</v>
      </c>
      <c r="J400" s="129">
        <v>0</v>
      </c>
      <c r="K400" s="129">
        <v>0</v>
      </c>
      <c r="L400" s="129">
        <v>0</v>
      </c>
      <c r="M400" s="129">
        <v>0</v>
      </c>
      <c r="N400" s="129">
        <v>0</v>
      </c>
      <c r="O400" s="129">
        <v>0</v>
      </c>
      <c r="P400" s="129">
        <v>0</v>
      </c>
      <c r="Q400" s="129">
        <v>0</v>
      </c>
      <c r="R400" s="129">
        <v>0</v>
      </c>
      <c r="S400" s="129">
        <v>0</v>
      </c>
      <c r="T400" s="129">
        <v>0</v>
      </c>
      <c r="U400" s="129">
        <v>0</v>
      </c>
      <c r="V400" s="129">
        <v>0</v>
      </c>
      <c r="W400" s="129">
        <v>0</v>
      </c>
      <c r="X400" s="129">
        <v>0</v>
      </c>
      <c r="Y400" s="129">
        <v>0</v>
      </c>
      <c r="Z400" s="129">
        <v>0</v>
      </c>
      <c r="AA400" s="129">
        <v>0</v>
      </c>
      <c r="AB400" s="129">
        <v>1</v>
      </c>
      <c r="AC400" s="129">
        <v>0</v>
      </c>
      <c r="AD400" s="129">
        <v>0</v>
      </c>
      <c r="AE400" s="129">
        <v>0</v>
      </c>
      <c r="AF400" s="129">
        <v>1</v>
      </c>
      <c r="AG400" s="129">
        <v>0</v>
      </c>
      <c r="AH400" s="129">
        <v>0</v>
      </c>
      <c r="AI400" s="126">
        <v>0</v>
      </c>
      <c r="AJ400" s="131">
        <v>44</v>
      </c>
    </row>
    <row r="401" spans="1:36" x14ac:dyDescent="0.35">
      <c r="A401" s="127" t="s">
        <v>980</v>
      </c>
      <c r="B401" s="127" t="s">
        <v>1262</v>
      </c>
      <c r="C401" s="129">
        <v>427</v>
      </c>
      <c r="D401" s="129">
        <v>52</v>
      </c>
      <c r="E401" s="129">
        <v>2</v>
      </c>
      <c r="F401" s="129">
        <v>0</v>
      </c>
      <c r="G401" s="129">
        <v>481</v>
      </c>
      <c r="H401" s="129">
        <v>3</v>
      </c>
      <c r="I401" s="129">
        <v>0</v>
      </c>
      <c r="J401" s="129">
        <v>0</v>
      </c>
      <c r="K401" s="129">
        <v>0</v>
      </c>
      <c r="L401" s="129">
        <v>3</v>
      </c>
      <c r="M401" s="129">
        <v>3</v>
      </c>
      <c r="N401" s="129">
        <v>0</v>
      </c>
      <c r="O401" s="129">
        <v>0</v>
      </c>
      <c r="P401" s="129">
        <v>0</v>
      </c>
      <c r="Q401" s="129">
        <v>3</v>
      </c>
      <c r="R401" s="129">
        <v>3</v>
      </c>
      <c r="S401" s="129">
        <v>0</v>
      </c>
      <c r="T401" s="129">
        <v>0</v>
      </c>
      <c r="U401" s="129">
        <v>0</v>
      </c>
      <c r="V401" s="129">
        <v>3</v>
      </c>
      <c r="W401" s="129">
        <v>30</v>
      </c>
      <c r="X401" s="129">
        <v>0</v>
      </c>
      <c r="Y401" s="129">
        <v>0</v>
      </c>
      <c r="Z401" s="129">
        <v>0</v>
      </c>
      <c r="AA401" s="129">
        <v>30</v>
      </c>
      <c r="AB401" s="129">
        <v>4</v>
      </c>
      <c r="AC401" s="129">
        <v>0</v>
      </c>
      <c r="AD401" s="129">
        <v>0</v>
      </c>
      <c r="AE401" s="129">
        <v>0</v>
      </c>
      <c r="AF401" s="129">
        <v>4</v>
      </c>
      <c r="AG401" s="129">
        <v>0</v>
      </c>
      <c r="AH401" s="129">
        <v>0</v>
      </c>
      <c r="AI401" s="126">
        <v>0</v>
      </c>
      <c r="AJ401" s="131">
        <v>524</v>
      </c>
    </row>
    <row r="402" spans="1:36" x14ac:dyDescent="0.35">
      <c r="A402" s="127" t="s">
        <v>981</v>
      </c>
      <c r="B402" s="127" t="s">
        <v>982</v>
      </c>
      <c r="C402" s="129">
        <v>173</v>
      </c>
      <c r="D402" s="129">
        <v>12</v>
      </c>
      <c r="E402" s="129">
        <v>1</v>
      </c>
      <c r="F402" s="129">
        <v>0</v>
      </c>
      <c r="G402" s="129">
        <v>186</v>
      </c>
      <c r="H402" s="129">
        <v>14</v>
      </c>
      <c r="I402" s="129">
        <v>0</v>
      </c>
      <c r="J402" s="129">
        <v>0</v>
      </c>
      <c r="K402" s="129">
        <v>0</v>
      </c>
      <c r="L402" s="129">
        <v>14</v>
      </c>
      <c r="M402" s="129">
        <v>20</v>
      </c>
      <c r="N402" s="129">
        <v>0</v>
      </c>
      <c r="O402" s="129">
        <v>0</v>
      </c>
      <c r="P402" s="129">
        <v>0</v>
      </c>
      <c r="Q402" s="129">
        <v>20</v>
      </c>
      <c r="R402" s="129">
        <v>6</v>
      </c>
      <c r="S402" s="129">
        <v>0</v>
      </c>
      <c r="T402" s="129">
        <v>0</v>
      </c>
      <c r="U402" s="129">
        <v>0</v>
      </c>
      <c r="V402" s="129">
        <v>6</v>
      </c>
      <c r="W402" s="129">
        <v>22</v>
      </c>
      <c r="X402" s="129">
        <v>0</v>
      </c>
      <c r="Y402" s="129">
        <v>0</v>
      </c>
      <c r="Z402" s="129">
        <v>0</v>
      </c>
      <c r="AA402" s="129">
        <v>22</v>
      </c>
      <c r="AB402" s="129">
        <v>9</v>
      </c>
      <c r="AC402" s="129">
        <v>0</v>
      </c>
      <c r="AD402" s="129">
        <v>0</v>
      </c>
      <c r="AE402" s="129">
        <v>0</v>
      </c>
      <c r="AF402" s="129">
        <v>9</v>
      </c>
      <c r="AG402" s="129">
        <v>0</v>
      </c>
      <c r="AH402" s="129">
        <v>0</v>
      </c>
      <c r="AI402" s="126">
        <v>0</v>
      </c>
      <c r="AJ402" s="131">
        <v>257</v>
      </c>
    </row>
    <row r="403" spans="1:36" x14ac:dyDescent="0.35">
      <c r="A403" s="127" t="s">
        <v>983</v>
      </c>
      <c r="B403" s="127" t="s">
        <v>984</v>
      </c>
      <c r="C403" s="129">
        <v>864</v>
      </c>
      <c r="D403" s="129">
        <v>264</v>
      </c>
      <c r="E403" s="129">
        <v>106</v>
      </c>
      <c r="F403" s="129">
        <v>26</v>
      </c>
      <c r="G403" s="129">
        <v>1260</v>
      </c>
      <c r="H403" s="129">
        <v>9</v>
      </c>
      <c r="I403" s="129">
        <v>0</v>
      </c>
      <c r="J403" s="129">
        <v>0</v>
      </c>
      <c r="K403" s="129">
        <v>0</v>
      </c>
      <c r="L403" s="129">
        <v>9</v>
      </c>
      <c r="M403" s="129">
        <v>16</v>
      </c>
      <c r="N403" s="129">
        <v>0</v>
      </c>
      <c r="O403" s="129">
        <v>0</v>
      </c>
      <c r="P403" s="129">
        <v>0</v>
      </c>
      <c r="Q403" s="129">
        <v>16</v>
      </c>
      <c r="R403" s="129">
        <v>11</v>
      </c>
      <c r="S403" s="129">
        <v>0</v>
      </c>
      <c r="T403" s="129">
        <v>0</v>
      </c>
      <c r="U403" s="129">
        <v>0</v>
      </c>
      <c r="V403" s="129">
        <v>11</v>
      </c>
      <c r="W403" s="129">
        <v>50</v>
      </c>
      <c r="X403" s="129">
        <v>1</v>
      </c>
      <c r="Y403" s="129">
        <v>0</v>
      </c>
      <c r="Z403" s="129">
        <v>0</v>
      </c>
      <c r="AA403" s="129">
        <v>51</v>
      </c>
      <c r="AB403" s="129">
        <v>9</v>
      </c>
      <c r="AC403" s="129">
        <v>1</v>
      </c>
      <c r="AD403" s="129">
        <v>0</v>
      </c>
      <c r="AE403" s="129">
        <v>0</v>
      </c>
      <c r="AF403" s="129">
        <v>10</v>
      </c>
      <c r="AG403" s="129">
        <v>0</v>
      </c>
      <c r="AH403" s="129">
        <v>0</v>
      </c>
      <c r="AI403" s="126">
        <v>0</v>
      </c>
      <c r="AJ403" s="131">
        <v>1357</v>
      </c>
    </row>
    <row r="404" spans="1:36" x14ac:dyDescent="0.35">
      <c r="A404" s="127" t="s">
        <v>985</v>
      </c>
      <c r="B404" s="127" t="s">
        <v>219</v>
      </c>
      <c r="C404" s="129">
        <v>273</v>
      </c>
      <c r="D404" s="129">
        <v>8</v>
      </c>
      <c r="E404" s="129">
        <v>0</v>
      </c>
      <c r="F404" s="129">
        <v>0</v>
      </c>
      <c r="G404" s="129">
        <v>281</v>
      </c>
      <c r="H404" s="129">
        <v>18</v>
      </c>
      <c r="I404" s="129">
        <v>0</v>
      </c>
      <c r="J404" s="129">
        <v>0</v>
      </c>
      <c r="K404" s="129">
        <v>0</v>
      </c>
      <c r="L404" s="129">
        <v>18</v>
      </c>
      <c r="M404" s="129">
        <v>6</v>
      </c>
      <c r="N404" s="129">
        <v>0</v>
      </c>
      <c r="O404" s="129">
        <v>0</v>
      </c>
      <c r="P404" s="129">
        <v>0</v>
      </c>
      <c r="Q404" s="129">
        <v>6</v>
      </c>
      <c r="R404" s="129">
        <v>5</v>
      </c>
      <c r="S404" s="129">
        <v>0</v>
      </c>
      <c r="T404" s="129">
        <v>0</v>
      </c>
      <c r="U404" s="129">
        <v>0</v>
      </c>
      <c r="V404" s="129">
        <v>5</v>
      </c>
      <c r="W404" s="129">
        <v>54</v>
      </c>
      <c r="X404" s="129">
        <v>0</v>
      </c>
      <c r="Y404" s="129">
        <v>0</v>
      </c>
      <c r="Z404" s="129">
        <v>0</v>
      </c>
      <c r="AA404" s="129">
        <v>54</v>
      </c>
      <c r="AB404" s="129">
        <v>3</v>
      </c>
      <c r="AC404" s="129">
        <v>0</v>
      </c>
      <c r="AD404" s="129">
        <v>0</v>
      </c>
      <c r="AE404" s="129">
        <v>0</v>
      </c>
      <c r="AF404" s="129">
        <v>3</v>
      </c>
      <c r="AG404" s="129">
        <v>0</v>
      </c>
      <c r="AH404" s="129">
        <v>0</v>
      </c>
      <c r="AI404" s="126">
        <v>0</v>
      </c>
      <c r="AJ404" s="131">
        <v>367</v>
      </c>
    </row>
    <row r="405" spans="1:36" x14ac:dyDescent="0.35">
      <c r="A405" s="127" t="s">
        <v>986</v>
      </c>
      <c r="B405" s="127" t="s">
        <v>987</v>
      </c>
      <c r="C405" s="129">
        <v>133</v>
      </c>
      <c r="D405" s="129">
        <v>15</v>
      </c>
      <c r="E405" s="129">
        <v>1</v>
      </c>
      <c r="F405" s="129">
        <v>1</v>
      </c>
      <c r="G405" s="129">
        <v>150</v>
      </c>
      <c r="H405" s="129">
        <v>12</v>
      </c>
      <c r="I405" s="129">
        <v>0</v>
      </c>
      <c r="J405" s="129">
        <v>0</v>
      </c>
      <c r="K405" s="129">
        <v>0</v>
      </c>
      <c r="L405" s="129">
        <v>12</v>
      </c>
      <c r="M405" s="129">
        <v>0</v>
      </c>
      <c r="N405" s="129">
        <v>0</v>
      </c>
      <c r="O405" s="129">
        <v>0</v>
      </c>
      <c r="P405" s="129">
        <v>0</v>
      </c>
      <c r="Q405" s="129">
        <v>0</v>
      </c>
      <c r="R405" s="129">
        <v>4</v>
      </c>
      <c r="S405" s="129">
        <v>0</v>
      </c>
      <c r="T405" s="129">
        <v>0</v>
      </c>
      <c r="U405" s="129">
        <v>0</v>
      </c>
      <c r="V405" s="129">
        <v>4</v>
      </c>
      <c r="W405" s="129">
        <v>18</v>
      </c>
      <c r="X405" s="129">
        <v>0</v>
      </c>
      <c r="Y405" s="129">
        <v>0</v>
      </c>
      <c r="Z405" s="129">
        <v>0</v>
      </c>
      <c r="AA405" s="129">
        <v>18</v>
      </c>
      <c r="AB405" s="129">
        <v>4</v>
      </c>
      <c r="AC405" s="129">
        <v>0</v>
      </c>
      <c r="AD405" s="129">
        <v>0</v>
      </c>
      <c r="AE405" s="129">
        <v>0</v>
      </c>
      <c r="AF405" s="129">
        <v>4</v>
      </c>
      <c r="AG405" s="129">
        <v>0</v>
      </c>
      <c r="AH405" s="129">
        <v>0</v>
      </c>
      <c r="AI405" s="126">
        <v>0</v>
      </c>
      <c r="AJ405" s="131">
        <v>188</v>
      </c>
    </row>
    <row r="406" spans="1:36" x14ac:dyDescent="0.35">
      <c r="A406" s="127" t="s">
        <v>988</v>
      </c>
      <c r="B406" s="127" t="s">
        <v>989</v>
      </c>
      <c r="C406" s="129">
        <v>24</v>
      </c>
      <c r="D406" s="129">
        <v>1</v>
      </c>
      <c r="E406" s="129">
        <v>0</v>
      </c>
      <c r="F406" s="129">
        <v>0</v>
      </c>
      <c r="G406" s="129">
        <v>25</v>
      </c>
      <c r="H406" s="129">
        <v>1</v>
      </c>
      <c r="I406" s="129">
        <v>0</v>
      </c>
      <c r="J406" s="129">
        <v>0</v>
      </c>
      <c r="K406" s="129">
        <v>0</v>
      </c>
      <c r="L406" s="129">
        <v>1</v>
      </c>
      <c r="M406" s="129">
        <v>0</v>
      </c>
      <c r="N406" s="129">
        <v>0</v>
      </c>
      <c r="O406" s="129">
        <v>0</v>
      </c>
      <c r="P406" s="129">
        <v>0</v>
      </c>
      <c r="Q406" s="129">
        <v>0</v>
      </c>
      <c r="R406" s="129">
        <v>0</v>
      </c>
      <c r="S406" s="129">
        <v>0</v>
      </c>
      <c r="T406" s="129">
        <v>0</v>
      </c>
      <c r="U406" s="129">
        <v>0</v>
      </c>
      <c r="V406" s="129">
        <v>0</v>
      </c>
      <c r="W406" s="129">
        <v>0</v>
      </c>
      <c r="X406" s="129">
        <v>0</v>
      </c>
      <c r="Y406" s="129">
        <v>0</v>
      </c>
      <c r="Z406" s="129">
        <v>0</v>
      </c>
      <c r="AA406" s="129">
        <v>0</v>
      </c>
      <c r="AB406" s="129">
        <v>0</v>
      </c>
      <c r="AC406" s="129">
        <v>0</v>
      </c>
      <c r="AD406" s="129">
        <v>0</v>
      </c>
      <c r="AE406" s="129">
        <v>0</v>
      </c>
      <c r="AF406" s="129">
        <v>0</v>
      </c>
      <c r="AG406" s="129">
        <v>0</v>
      </c>
      <c r="AH406" s="129">
        <v>0</v>
      </c>
      <c r="AI406" s="126">
        <v>0</v>
      </c>
      <c r="AJ406" s="131">
        <v>26</v>
      </c>
    </row>
    <row r="407" spans="1:36" x14ac:dyDescent="0.35">
      <c r="A407" s="127" t="s">
        <v>990</v>
      </c>
      <c r="B407" s="127" t="s">
        <v>1263</v>
      </c>
      <c r="C407" s="129">
        <v>1</v>
      </c>
      <c r="D407" s="129">
        <v>0</v>
      </c>
      <c r="E407" s="129">
        <v>0</v>
      </c>
      <c r="F407" s="129">
        <v>0</v>
      </c>
      <c r="G407" s="129">
        <v>1</v>
      </c>
      <c r="H407" s="129">
        <v>1</v>
      </c>
      <c r="I407" s="129">
        <v>0</v>
      </c>
      <c r="J407" s="129">
        <v>0</v>
      </c>
      <c r="K407" s="129">
        <v>0</v>
      </c>
      <c r="L407" s="129">
        <v>1</v>
      </c>
      <c r="M407" s="129">
        <v>4</v>
      </c>
      <c r="N407" s="129">
        <v>0</v>
      </c>
      <c r="O407" s="129">
        <v>0</v>
      </c>
      <c r="P407" s="129">
        <v>0</v>
      </c>
      <c r="Q407" s="129">
        <v>4</v>
      </c>
      <c r="R407" s="129">
        <v>0</v>
      </c>
      <c r="S407" s="129">
        <v>0</v>
      </c>
      <c r="T407" s="129">
        <v>0</v>
      </c>
      <c r="U407" s="129">
        <v>0</v>
      </c>
      <c r="V407" s="129">
        <v>0</v>
      </c>
      <c r="W407" s="129">
        <v>0</v>
      </c>
      <c r="X407" s="129">
        <v>0</v>
      </c>
      <c r="Y407" s="129">
        <v>0</v>
      </c>
      <c r="Z407" s="129">
        <v>0</v>
      </c>
      <c r="AA407" s="129">
        <v>0</v>
      </c>
      <c r="AB407" s="129">
        <v>1</v>
      </c>
      <c r="AC407" s="129">
        <v>0</v>
      </c>
      <c r="AD407" s="129">
        <v>0</v>
      </c>
      <c r="AE407" s="129">
        <v>0</v>
      </c>
      <c r="AF407" s="129">
        <v>1</v>
      </c>
      <c r="AG407" s="129">
        <v>0</v>
      </c>
      <c r="AH407" s="129">
        <v>0</v>
      </c>
      <c r="AI407" s="126">
        <v>0</v>
      </c>
      <c r="AJ407" s="131">
        <v>7</v>
      </c>
    </row>
    <row r="408" spans="1:36" x14ac:dyDescent="0.35">
      <c r="A408" s="127" t="s">
        <v>991</v>
      </c>
      <c r="B408" s="127" t="s">
        <v>992</v>
      </c>
      <c r="C408" s="129">
        <v>136</v>
      </c>
      <c r="D408" s="129">
        <v>7</v>
      </c>
      <c r="E408" s="129">
        <v>1</v>
      </c>
      <c r="F408" s="129">
        <v>0</v>
      </c>
      <c r="G408" s="129">
        <v>144</v>
      </c>
      <c r="H408" s="129">
        <v>1</v>
      </c>
      <c r="I408" s="129">
        <v>0</v>
      </c>
      <c r="J408" s="129">
        <v>0</v>
      </c>
      <c r="K408" s="129">
        <v>0</v>
      </c>
      <c r="L408" s="129">
        <v>1</v>
      </c>
      <c r="M408" s="129">
        <v>4</v>
      </c>
      <c r="N408" s="129">
        <v>0</v>
      </c>
      <c r="O408" s="129">
        <v>0</v>
      </c>
      <c r="P408" s="129">
        <v>0</v>
      </c>
      <c r="Q408" s="129">
        <v>4</v>
      </c>
      <c r="R408" s="129">
        <v>2</v>
      </c>
      <c r="S408" s="129">
        <v>0</v>
      </c>
      <c r="T408" s="129">
        <v>0</v>
      </c>
      <c r="U408" s="129">
        <v>0</v>
      </c>
      <c r="V408" s="129">
        <v>2</v>
      </c>
      <c r="W408" s="129">
        <v>9</v>
      </c>
      <c r="X408" s="129">
        <v>0</v>
      </c>
      <c r="Y408" s="129">
        <v>0</v>
      </c>
      <c r="Z408" s="129">
        <v>0</v>
      </c>
      <c r="AA408" s="129">
        <v>9</v>
      </c>
      <c r="AB408" s="129">
        <v>0</v>
      </c>
      <c r="AC408" s="129">
        <v>0</v>
      </c>
      <c r="AD408" s="129">
        <v>0</v>
      </c>
      <c r="AE408" s="129">
        <v>0</v>
      </c>
      <c r="AF408" s="129">
        <v>0</v>
      </c>
      <c r="AG408" s="129">
        <v>0</v>
      </c>
      <c r="AH408" s="129">
        <v>0</v>
      </c>
      <c r="AI408" s="126">
        <v>0</v>
      </c>
      <c r="AJ408" s="131">
        <v>160</v>
      </c>
    </row>
    <row r="409" spans="1:36" x14ac:dyDescent="0.35">
      <c r="A409" s="127" t="s">
        <v>993</v>
      </c>
      <c r="B409" s="127" t="s">
        <v>994</v>
      </c>
      <c r="C409" s="129">
        <v>234</v>
      </c>
      <c r="D409" s="129">
        <v>81</v>
      </c>
      <c r="E409" s="129">
        <v>15</v>
      </c>
      <c r="F409" s="129">
        <v>4</v>
      </c>
      <c r="G409" s="129">
        <v>334</v>
      </c>
      <c r="H409" s="129">
        <v>14</v>
      </c>
      <c r="I409" s="129">
        <v>1</v>
      </c>
      <c r="J409" s="129">
        <v>0</v>
      </c>
      <c r="K409" s="129">
        <v>0</v>
      </c>
      <c r="L409" s="129">
        <v>15</v>
      </c>
      <c r="M409" s="129">
        <v>6</v>
      </c>
      <c r="N409" s="129">
        <v>1</v>
      </c>
      <c r="O409" s="129">
        <v>0</v>
      </c>
      <c r="P409" s="129">
        <v>0</v>
      </c>
      <c r="Q409" s="129">
        <v>7</v>
      </c>
      <c r="R409" s="129">
        <v>38</v>
      </c>
      <c r="S409" s="129">
        <v>4</v>
      </c>
      <c r="T409" s="129">
        <v>0</v>
      </c>
      <c r="U409" s="129">
        <v>0</v>
      </c>
      <c r="V409" s="129">
        <v>42</v>
      </c>
      <c r="W409" s="129">
        <v>31</v>
      </c>
      <c r="X409" s="129">
        <v>6</v>
      </c>
      <c r="Y409" s="129">
        <v>4</v>
      </c>
      <c r="Z409" s="129">
        <v>0</v>
      </c>
      <c r="AA409" s="129">
        <v>41</v>
      </c>
      <c r="AB409" s="129">
        <v>8</v>
      </c>
      <c r="AC409" s="129">
        <v>0</v>
      </c>
      <c r="AD409" s="129">
        <v>0</v>
      </c>
      <c r="AE409" s="129">
        <v>0</v>
      </c>
      <c r="AF409" s="129">
        <v>8</v>
      </c>
      <c r="AG409" s="129">
        <v>0</v>
      </c>
      <c r="AH409" s="129">
        <v>0</v>
      </c>
      <c r="AI409" s="126">
        <v>0</v>
      </c>
      <c r="AJ409" s="131">
        <v>447</v>
      </c>
    </row>
    <row r="410" spans="1:36" x14ac:dyDescent="0.35">
      <c r="A410" s="127" t="s">
        <v>995</v>
      </c>
      <c r="B410" s="127" t="s">
        <v>996</v>
      </c>
      <c r="C410" s="129">
        <v>15</v>
      </c>
      <c r="D410" s="129">
        <v>8</v>
      </c>
      <c r="E410" s="129">
        <v>1</v>
      </c>
      <c r="F410" s="129">
        <v>0</v>
      </c>
      <c r="G410" s="129">
        <v>24</v>
      </c>
      <c r="H410" s="129">
        <v>0</v>
      </c>
      <c r="I410" s="129">
        <v>0</v>
      </c>
      <c r="J410" s="129">
        <v>0</v>
      </c>
      <c r="K410" s="129">
        <v>0</v>
      </c>
      <c r="L410" s="129">
        <v>0</v>
      </c>
      <c r="M410" s="129">
        <v>0</v>
      </c>
      <c r="N410" s="129">
        <v>0</v>
      </c>
      <c r="O410" s="129">
        <v>0</v>
      </c>
      <c r="P410" s="129">
        <v>0</v>
      </c>
      <c r="Q410" s="129">
        <v>0</v>
      </c>
      <c r="R410" s="129">
        <v>0</v>
      </c>
      <c r="S410" s="129">
        <v>0</v>
      </c>
      <c r="T410" s="129">
        <v>0</v>
      </c>
      <c r="U410" s="129">
        <v>0</v>
      </c>
      <c r="V410" s="129">
        <v>0</v>
      </c>
      <c r="W410" s="129">
        <v>1</v>
      </c>
      <c r="X410" s="129">
        <v>0</v>
      </c>
      <c r="Y410" s="129">
        <v>0</v>
      </c>
      <c r="Z410" s="129">
        <v>0</v>
      </c>
      <c r="AA410" s="129">
        <v>1</v>
      </c>
      <c r="AB410" s="129">
        <v>0</v>
      </c>
      <c r="AC410" s="129">
        <v>0</v>
      </c>
      <c r="AD410" s="129">
        <v>0</v>
      </c>
      <c r="AE410" s="129">
        <v>0</v>
      </c>
      <c r="AF410" s="129">
        <v>0</v>
      </c>
      <c r="AG410" s="129">
        <v>0</v>
      </c>
      <c r="AH410" s="129">
        <v>0</v>
      </c>
      <c r="AI410" s="126">
        <v>0</v>
      </c>
      <c r="AJ410" s="131">
        <v>25</v>
      </c>
    </row>
    <row r="411" spans="1:36" x14ac:dyDescent="0.35">
      <c r="A411" s="127" t="s">
        <v>997</v>
      </c>
      <c r="B411" s="127" t="s">
        <v>1264</v>
      </c>
      <c r="C411" s="129">
        <v>32</v>
      </c>
      <c r="D411" s="129">
        <v>3</v>
      </c>
      <c r="E411" s="129">
        <v>0</v>
      </c>
      <c r="F411" s="129">
        <v>0</v>
      </c>
      <c r="G411" s="129">
        <v>35</v>
      </c>
      <c r="H411" s="129">
        <v>1</v>
      </c>
      <c r="I411" s="129">
        <v>0</v>
      </c>
      <c r="J411" s="129">
        <v>0</v>
      </c>
      <c r="K411" s="129">
        <v>0</v>
      </c>
      <c r="L411" s="129">
        <v>1</v>
      </c>
      <c r="M411" s="129">
        <v>0</v>
      </c>
      <c r="N411" s="129">
        <v>0</v>
      </c>
      <c r="O411" s="129">
        <v>0</v>
      </c>
      <c r="P411" s="129">
        <v>0</v>
      </c>
      <c r="Q411" s="129">
        <v>0</v>
      </c>
      <c r="R411" s="129">
        <v>0</v>
      </c>
      <c r="S411" s="129">
        <v>0</v>
      </c>
      <c r="T411" s="129">
        <v>0</v>
      </c>
      <c r="U411" s="129">
        <v>0</v>
      </c>
      <c r="V411" s="129">
        <v>0</v>
      </c>
      <c r="W411" s="129">
        <v>2</v>
      </c>
      <c r="X411" s="129">
        <v>0</v>
      </c>
      <c r="Y411" s="129">
        <v>0</v>
      </c>
      <c r="Z411" s="129">
        <v>0</v>
      </c>
      <c r="AA411" s="129">
        <v>2</v>
      </c>
      <c r="AB411" s="129">
        <v>0</v>
      </c>
      <c r="AC411" s="129">
        <v>0</v>
      </c>
      <c r="AD411" s="129">
        <v>0</v>
      </c>
      <c r="AE411" s="129">
        <v>0</v>
      </c>
      <c r="AF411" s="129">
        <v>0</v>
      </c>
      <c r="AG411" s="129">
        <v>0</v>
      </c>
      <c r="AH411" s="129">
        <v>0</v>
      </c>
      <c r="AI411" s="126">
        <v>0</v>
      </c>
      <c r="AJ411" s="131">
        <v>38</v>
      </c>
    </row>
    <row r="412" spans="1:36" x14ac:dyDescent="0.35">
      <c r="A412" s="127" t="s">
        <v>998</v>
      </c>
      <c r="B412" s="127" t="s">
        <v>1265</v>
      </c>
      <c r="C412" s="129">
        <v>28</v>
      </c>
      <c r="D412" s="129">
        <v>16</v>
      </c>
      <c r="E412" s="129">
        <v>12</v>
      </c>
      <c r="F412" s="129">
        <v>1</v>
      </c>
      <c r="G412" s="129">
        <v>57</v>
      </c>
      <c r="H412" s="129">
        <v>0</v>
      </c>
      <c r="I412" s="129">
        <v>0</v>
      </c>
      <c r="J412" s="129">
        <v>0</v>
      </c>
      <c r="K412" s="129">
        <v>0</v>
      </c>
      <c r="L412" s="129">
        <v>0</v>
      </c>
      <c r="M412" s="129">
        <v>0</v>
      </c>
      <c r="N412" s="129">
        <v>0</v>
      </c>
      <c r="O412" s="129">
        <v>0</v>
      </c>
      <c r="P412" s="129">
        <v>0</v>
      </c>
      <c r="Q412" s="129">
        <v>0</v>
      </c>
      <c r="R412" s="129">
        <v>0</v>
      </c>
      <c r="S412" s="129">
        <v>0</v>
      </c>
      <c r="T412" s="129">
        <v>0</v>
      </c>
      <c r="U412" s="129">
        <v>0</v>
      </c>
      <c r="V412" s="129">
        <v>0</v>
      </c>
      <c r="W412" s="129">
        <v>1</v>
      </c>
      <c r="X412" s="129">
        <v>0</v>
      </c>
      <c r="Y412" s="129">
        <v>0</v>
      </c>
      <c r="Z412" s="129">
        <v>0</v>
      </c>
      <c r="AA412" s="129">
        <v>1</v>
      </c>
      <c r="AB412" s="129">
        <v>1</v>
      </c>
      <c r="AC412" s="129">
        <v>0</v>
      </c>
      <c r="AD412" s="129">
        <v>0</v>
      </c>
      <c r="AE412" s="129">
        <v>0</v>
      </c>
      <c r="AF412" s="129">
        <v>1</v>
      </c>
      <c r="AG412" s="129">
        <v>0</v>
      </c>
      <c r="AH412" s="129">
        <v>0</v>
      </c>
      <c r="AI412" s="126">
        <v>0</v>
      </c>
      <c r="AJ412" s="131">
        <v>59</v>
      </c>
    </row>
    <row r="413" spans="1:36" x14ac:dyDescent="0.35">
      <c r="A413" s="127" t="s">
        <v>999</v>
      </c>
      <c r="B413" s="127" t="s">
        <v>1266</v>
      </c>
      <c r="C413" s="129">
        <v>57</v>
      </c>
      <c r="D413" s="129">
        <v>9</v>
      </c>
      <c r="E413" s="129">
        <v>1</v>
      </c>
      <c r="F413" s="129">
        <v>0</v>
      </c>
      <c r="G413" s="129">
        <v>67</v>
      </c>
      <c r="H413" s="129">
        <v>0</v>
      </c>
      <c r="I413" s="129">
        <v>0</v>
      </c>
      <c r="J413" s="129">
        <v>0</v>
      </c>
      <c r="K413" s="129">
        <v>0</v>
      </c>
      <c r="L413" s="129">
        <v>0</v>
      </c>
      <c r="M413" s="129">
        <v>0</v>
      </c>
      <c r="N413" s="129">
        <v>0</v>
      </c>
      <c r="O413" s="129">
        <v>0</v>
      </c>
      <c r="P413" s="129">
        <v>0</v>
      </c>
      <c r="Q413" s="129">
        <v>0</v>
      </c>
      <c r="R413" s="129">
        <v>0</v>
      </c>
      <c r="S413" s="129">
        <v>0</v>
      </c>
      <c r="T413" s="129">
        <v>0</v>
      </c>
      <c r="U413" s="129">
        <v>0</v>
      </c>
      <c r="V413" s="129">
        <v>0</v>
      </c>
      <c r="W413" s="129">
        <v>7</v>
      </c>
      <c r="X413" s="129">
        <v>0</v>
      </c>
      <c r="Y413" s="129">
        <v>0</v>
      </c>
      <c r="Z413" s="129">
        <v>0</v>
      </c>
      <c r="AA413" s="129">
        <v>7</v>
      </c>
      <c r="AB413" s="129">
        <v>1</v>
      </c>
      <c r="AC413" s="129">
        <v>0</v>
      </c>
      <c r="AD413" s="129">
        <v>0</v>
      </c>
      <c r="AE413" s="129">
        <v>0</v>
      </c>
      <c r="AF413" s="129">
        <v>1</v>
      </c>
      <c r="AG413" s="129">
        <v>0</v>
      </c>
      <c r="AH413" s="129">
        <v>0</v>
      </c>
      <c r="AI413" s="126">
        <v>0</v>
      </c>
      <c r="AJ413" s="131">
        <v>75</v>
      </c>
    </row>
    <row r="414" spans="1:36" x14ac:dyDescent="0.35">
      <c r="A414" s="127" t="s">
        <v>1000</v>
      </c>
      <c r="B414" s="127" t="s">
        <v>1001</v>
      </c>
      <c r="C414" s="129">
        <v>628</v>
      </c>
      <c r="D414" s="129">
        <v>38</v>
      </c>
      <c r="E414" s="129">
        <v>4</v>
      </c>
      <c r="F414" s="129">
        <v>0</v>
      </c>
      <c r="G414" s="129">
        <v>670</v>
      </c>
      <c r="H414" s="129">
        <v>49</v>
      </c>
      <c r="I414" s="129">
        <v>0</v>
      </c>
      <c r="J414" s="129">
        <v>0</v>
      </c>
      <c r="K414" s="129">
        <v>0</v>
      </c>
      <c r="L414" s="129">
        <v>49</v>
      </c>
      <c r="M414" s="129">
        <v>11</v>
      </c>
      <c r="N414" s="129">
        <v>0</v>
      </c>
      <c r="O414" s="129">
        <v>0</v>
      </c>
      <c r="P414" s="129">
        <v>0</v>
      </c>
      <c r="Q414" s="129">
        <v>11</v>
      </c>
      <c r="R414" s="129">
        <v>2</v>
      </c>
      <c r="S414" s="129">
        <v>0</v>
      </c>
      <c r="T414" s="129">
        <v>0</v>
      </c>
      <c r="U414" s="129">
        <v>0</v>
      </c>
      <c r="V414" s="129">
        <v>2</v>
      </c>
      <c r="W414" s="129">
        <v>115</v>
      </c>
      <c r="X414" s="129">
        <v>0</v>
      </c>
      <c r="Y414" s="129">
        <v>0</v>
      </c>
      <c r="Z414" s="129">
        <v>0</v>
      </c>
      <c r="AA414" s="129">
        <v>115</v>
      </c>
      <c r="AB414" s="129">
        <v>9</v>
      </c>
      <c r="AC414" s="129">
        <v>0</v>
      </c>
      <c r="AD414" s="129">
        <v>0</v>
      </c>
      <c r="AE414" s="129">
        <v>0</v>
      </c>
      <c r="AF414" s="129">
        <v>9</v>
      </c>
      <c r="AG414" s="129">
        <v>0</v>
      </c>
      <c r="AH414" s="129">
        <v>0</v>
      </c>
      <c r="AI414" s="126">
        <v>0</v>
      </c>
      <c r="AJ414" s="131">
        <v>856</v>
      </c>
    </row>
    <row r="415" spans="1:36" x14ac:dyDescent="0.35">
      <c r="A415" s="127" t="s">
        <v>1002</v>
      </c>
      <c r="B415" s="127" t="s">
        <v>1003</v>
      </c>
      <c r="C415" s="129">
        <v>475</v>
      </c>
      <c r="D415" s="129">
        <v>16</v>
      </c>
      <c r="E415" s="129">
        <v>5</v>
      </c>
      <c r="F415" s="129">
        <v>0</v>
      </c>
      <c r="G415" s="129">
        <v>496</v>
      </c>
      <c r="H415" s="129">
        <v>72</v>
      </c>
      <c r="I415" s="129">
        <v>0</v>
      </c>
      <c r="J415" s="129">
        <v>0</v>
      </c>
      <c r="K415" s="129">
        <v>0</v>
      </c>
      <c r="L415" s="129">
        <v>72</v>
      </c>
      <c r="M415" s="129">
        <v>12</v>
      </c>
      <c r="N415" s="129">
        <v>0</v>
      </c>
      <c r="O415" s="129">
        <v>0</v>
      </c>
      <c r="P415" s="129">
        <v>0</v>
      </c>
      <c r="Q415" s="129">
        <v>12</v>
      </c>
      <c r="R415" s="129">
        <v>0</v>
      </c>
      <c r="S415" s="129">
        <v>1</v>
      </c>
      <c r="T415" s="129">
        <v>0</v>
      </c>
      <c r="U415" s="129">
        <v>0</v>
      </c>
      <c r="V415" s="129">
        <v>1</v>
      </c>
      <c r="W415" s="129">
        <v>83</v>
      </c>
      <c r="X415" s="129">
        <v>0</v>
      </c>
      <c r="Y415" s="129">
        <v>0</v>
      </c>
      <c r="Z415" s="129">
        <v>0</v>
      </c>
      <c r="AA415" s="129">
        <v>83</v>
      </c>
      <c r="AB415" s="129">
        <v>17</v>
      </c>
      <c r="AC415" s="129">
        <v>0</v>
      </c>
      <c r="AD415" s="129">
        <v>0</v>
      </c>
      <c r="AE415" s="129">
        <v>0</v>
      </c>
      <c r="AF415" s="129">
        <v>17</v>
      </c>
      <c r="AG415" s="129">
        <v>0</v>
      </c>
      <c r="AH415" s="129">
        <v>0</v>
      </c>
      <c r="AI415" s="126">
        <v>0</v>
      </c>
      <c r="AJ415" s="131">
        <v>681</v>
      </c>
    </row>
    <row r="416" spans="1:36" x14ac:dyDescent="0.35">
      <c r="A416" s="127" t="s">
        <v>1004</v>
      </c>
      <c r="B416" s="127" t="s">
        <v>1005</v>
      </c>
      <c r="C416" s="129">
        <v>143</v>
      </c>
      <c r="D416" s="129">
        <v>9</v>
      </c>
      <c r="E416" s="129">
        <v>0</v>
      </c>
      <c r="F416" s="129">
        <v>0</v>
      </c>
      <c r="G416" s="129">
        <v>152</v>
      </c>
      <c r="H416" s="129">
        <v>6</v>
      </c>
      <c r="I416" s="129">
        <v>0</v>
      </c>
      <c r="J416" s="129">
        <v>0</v>
      </c>
      <c r="K416" s="129">
        <v>0</v>
      </c>
      <c r="L416" s="129">
        <v>6</v>
      </c>
      <c r="M416" s="129">
        <v>2</v>
      </c>
      <c r="N416" s="129">
        <v>0</v>
      </c>
      <c r="O416" s="129">
        <v>0</v>
      </c>
      <c r="P416" s="129">
        <v>0</v>
      </c>
      <c r="Q416" s="129">
        <v>2</v>
      </c>
      <c r="R416" s="129">
        <v>0</v>
      </c>
      <c r="S416" s="129">
        <v>0</v>
      </c>
      <c r="T416" s="129">
        <v>0</v>
      </c>
      <c r="U416" s="129">
        <v>0</v>
      </c>
      <c r="V416" s="129">
        <v>0</v>
      </c>
      <c r="W416" s="129">
        <v>9</v>
      </c>
      <c r="X416" s="129">
        <v>0</v>
      </c>
      <c r="Y416" s="129">
        <v>0</v>
      </c>
      <c r="Z416" s="129">
        <v>0</v>
      </c>
      <c r="AA416" s="129">
        <v>9</v>
      </c>
      <c r="AB416" s="129">
        <v>5</v>
      </c>
      <c r="AC416" s="129">
        <v>0</v>
      </c>
      <c r="AD416" s="129">
        <v>0</v>
      </c>
      <c r="AE416" s="129">
        <v>0</v>
      </c>
      <c r="AF416" s="129">
        <v>5</v>
      </c>
      <c r="AG416" s="129">
        <v>0</v>
      </c>
      <c r="AH416" s="129">
        <v>0</v>
      </c>
      <c r="AI416" s="126">
        <v>0</v>
      </c>
      <c r="AJ416" s="131">
        <v>174</v>
      </c>
    </row>
    <row r="417" spans="1:36" x14ac:dyDescent="0.35">
      <c r="A417" s="127" t="s">
        <v>1006</v>
      </c>
      <c r="B417" s="127" t="s">
        <v>1007</v>
      </c>
      <c r="C417" s="129">
        <v>17</v>
      </c>
      <c r="D417" s="129">
        <v>32</v>
      </c>
      <c r="E417" s="129">
        <v>9</v>
      </c>
      <c r="F417" s="129">
        <v>3</v>
      </c>
      <c r="G417" s="129">
        <v>61</v>
      </c>
      <c r="H417" s="129">
        <v>0</v>
      </c>
      <c r="I417" s="129">
        <v>0</v>
      </c>
      <c r="J417" s="129">
        <v>0</v>
      </c>
      <c r="K417" s="129">
        <v>0</v>
      </c>
      <c r="L417" s="129">
        <v>0</v>
      </c>
      <c r="M417" s="129">
        <v>0</v>
      </c>
      <c r="N417" s="129">
        <v>0</v>
      </c>
      <c r="O417" s="129">
        <v>0</v>
      </c>
      <c r="P417" s="129">
        <v>0</v>
      </c>
      <c r="Q417" s="129">
        <v>0</v>
      </c>
      <c r="R417" s="129">
        <v>0</v>
      </c>
      <c r="S417" s="129">
        <v>0</v>
      </c>
      <c r="T417" s="129">
        <v>0</v>
      </c>
      <c r="U417" s="129">
        <v>0</v>
      </c>
      <c r="V417" s="129">
        <v>0</v>
      </c>
      <c r="W417" s="129">
        <v>4</v>
      </c>
      <c r="X417" s="129">
        <v>1</v>
      </c>
      <c r="Y417" s="129">
        <v>0</v>
      </c>
      <c r="Z417" s="129">
        <v>0</v>
      </c>
      <c r="AA417" s="129">
        <v>5</v>
      </c>
      <c r="AB417" s="129">
        <v>0</v>
      </c>
      <c r="AC417" s="129">
        <v>0</v>
      </c>
      <c r="AD417" s="129">
        <v>0</v>
      </c>
      <c r="AE417" s="129">
        <v>0</v>
      </c>
      <c r="AF417" s="129">
        <v>0</v>
      </c>
      <c r="AG417" s="129">
        <v>0</v>
      </c>
      <c r="AH417" s="129">
        <v>0</v>
      </c>
      <c r="AI417" s="126">
        <v>0</v>
      </c>
      <c r="AJ417" s="131">
        <v>66</v>
      </c>
    </row>
    <row r="418" spans="1:36" x14ac:dyDescent="0.35">
      <c r="A418" s="127" t="s">
        <v>1008</v>
      </c>
      <c r="B418" s="127" t="s">
        <v>1009</v>
      </c>
      <c r="C418" s="129">
        <v>132</v>
      </c>
      <c r="D418" s="129">
        <v>15</v>
      </c>
      <c r="E418" s="129">
        <v>1</v>
      </c>
      <c r="F418" s="129">
        <v>0</v>
      </c>
      <c r="G418" s="129">
        <v>148</v>
      </c>
      <c r="H418" s="129">
        <v>6</v>
      </c>
      <c r="I418" s="129">
        <v>0</v>
      </c>
      <c r="J418" s="129">
        <v>0</v>
      </c>
      <c r="K418" s="129">
        <v>0</v>
      </c>
      <c r="L418" s="129">
        <v>6</v>
      </c>
      <c r="M418" s="129">
        <v>4</v>
      </c>
      <c r="N418" s="129">
        <v>0</v>
      </c>
      <c r="O418" s="129">
        <v>0</v>
      </c>
      <c r="P418" s="129">
        <v>0</v>
      </c>
      <c r="Q418" s="129">
        <v>4</v>
      </c>
      <c r="R418" s="129">
        <v>1</v>
      </c>
      <c r="S418" s="129">
        <v>0</v>
      </c>
      <c r="T418" s="129">
        <v>0</v>
      </c>
      <c r="U418" s="129">
        <v>0</v>
      </c>
      <c r="V418" s="129">
        <v>1</v>
      </c>
      <c r="W418" s="129">
        <v>26</v>
      </c>
      <c r="X418" s="129">
        <v>1</v>
      </c>
      <c r="Y418" s="129">
        <v>0</v>
      </c>
      <c r="Z418" s="129">
        <v>0</v>
      </c>
      <c r="AA418" s="129">
        <v>27</v>
      </c>
      <c r="AB418" s="129">
        <v>3</v>
      </c>
      <c r="AC418" s="129">
        <v>0</v>
      </c>
      <c r="AD418" s="129">
        <v>0</v>
      </c>
      <c r="AE418" s="129">
        <v>0</v>
      </c>
      <c r="AF418" s="129">
        <v>3</v>
      </c>
      <c r="AG418" s="129">
        <v>0</v>
      </c>
      <c r="AH418" s="129">
        <v>0</v>
      </c>
      <c r="AI418" s="126">
        <v>0</v>
      </c>
      <c r="AJ418" s="131">
        <v>189</v>
      </c>
    </row>
    <row r="419" spans="1:36" x14ac:dyDescent="0.35">
      <c r="A419" s="127" t="s">
        <v>1010</v>
      </c>
      <c r="B419" s="127" t="s">
        <v>1011</v>
      </c>
      <c r="C419" s="129">
        <v>18</v>
      </c>
      <c r="D419" s="129">
        <v>1</v>
      </c>
      <c r="E419" s="129">
        <v>0</v>
      </c>
      <c r="F419" s="129">
        <v>0</v>
      </c>
      <c r="G419" s="129">
        <v>19</v>
      </c>
      <c r="H419" s="129">
        <v>0</v>
      </c>
      <c r="I419" s="129">
        <v>0</v>
      </c>
      <c r="J419" s="129">
        <v>0</v>
      </c>
      <c r="K419" s="129">
        <v>0</v>
      </c>
      <c r="L419" s="129">
        <v>0</v>
      </c>
      <c r="M419" s="129">
        <v>0</v>
      </c>
      <c r="N419" s="129">
        <v>0</v>
      </c>
      <c r="O419" s="129">
        <v>0</v>
      </c>
      <c r="P419" s="129">
        <v>0</v>
      </c>
      <c r="Q419" s="129">
        <v>0</v>
      </c>
      <c r="R419" s="129">
        <v>0</v>
      </c>
      <c r="S419" s="129">
        <v>0</v>
      </c>
      <c r="T419" s="129">
        <v>0</v>
      </c>
      <c r="U419" s="129">
        <v>0</v>
      </c>
      <c r="V419" s="129">
        <v>0</v>
      </c>
      <c r="W419" s="129">
        <v>3</v>
      </c>
      <c r="X419" s="129">
        <v>0</v>
      </c>
      <c r="Y419" s="129">
        <v>0</v>
      </c>
      <c r="Z419" s="129">
        <v>0</v>
      </c>
      <c r="AA419" s="129">
        <v>3</v>
      </c>
      <c r="AB419" s="129">
        <v>0</v>
      </c>
      <c r="AC419" s="129">
        <v>0</v>
      </c>
      <c r="AD419" s="129">
        <v>0</v>
      </c>
      <c r="AE419" s="129">
        <v>0</v>
      </c>
      <c r="AF419" s="129">
        <v>0</v>
      </c>
      <c r="AG419" s="129">
        <v>0</v>
      </c>
      <c r="AH419" s="129">
        <v>0</v>
      </c>
      <c r="AI419" s="126">
        <v>0</v>
      </c>
      <c r="AJ419" s="131">
        <v>22</v>
      </c>
    </row>
    <row r="420" spans="1:36" x14ac:dyDescent="0.35">
      <c r="A420" s="127" t="s">
        <v>1012</v>
      </c>
      <c r="B420" s="127" t="s">
        <v>1013</v>
      </c>
      <c r="C420" s="129">
        <v>54</v>
      </c>
      <c r="D420" s="129">
        <v>3</v>
      </c>
      <c r="E420" s="129">
        <v>0</v>
      </c>
      <c r="F420" s="129">
        <v>0</v>
      </c>
      <c r="G420" s="129">
        <v>57</v>
      </c>
      <c r="H420" s="129">
        <v>1</v>
      </c>
      <c r="I420" s="129">
        <v>0</v>
      </c>
      <c r="J420" s="129">
        <v>0</v>
      </c>
      <c r="K420" s="129">
        <v>0</v>
      </c>
      <c r="L420" s="129">
        <v>1</v>
      </c>
      <c r="M420" s="129">
        <v>3</v>
      </c>
      <c r="N420" s="129">
        <v>0</v>
      </c>
      <c r="O420" s="129">
        <v>0</v>
      </c>
      <c r="P420" s="129">
        <v>0</v>
      </c>
      <c r="Q420" s="129">
        <v>3</v>
      </c>
      <c r="R420" s="129">
        <v>0</v>
      </c>
      <c r="S420" s="129">
        <v>0</v>
      </c>
      <c r="T420" s="129">
        <v>0</v>
      </c>
      <c r="U420" s="129">
        <v>0</v>
      </c>
      <c r="V420" s="129">
        <v>0</v>
      </c>
      <c r="W420" s="129">
        <v>6</v>
      </c>
      <c r="X420" s="129">
        <v>0</v>
      </c>
      <c r="Y420" s="129">
        <v>0</v>
      </c>
      <c r="Z420" s="129">
        <v>0</v>
      </c>
      <c r="AA420" s="129">
        <v>6</v>
      </c>
      <c r="AB420" s="129">
        <v>3</v>
      </c>
      <c r="AC420" s="129">
        <v>0</v>
      </c>
      <c r="AD420" s="129">
        <v>0</v>
      </c>
      <c r="AE420" s="129">
        <v>0</v>
      </c>
      <c r="AF420" s="129">
        <v>3</v>
      </c>
      <c r="AG420" s="129">
        <v>0</v>
      </c>
      <c r="AH420" s="129">
        <v>0</v>
      </c>
      <c r="AI420" s="126">
        <v>0</v>
      </c>
      <c r="AJ420" s="131">
        <v>70</v>
      </c>
    </row>
    <row r="421" spans="1:36" x14ac:dyDescent="0.35">
      <c r="A421" s="127" t="s">
        <v>1014</v>
      </c>
      <c r="B421" s="127" t="s">
        <v>1015</v>
      </c>
      <c r="C421" s="129">
        <v>103</v>
      </c>
      <c r="D421" s="129">
        <v>6</v>
      </c>
      <c r="E421" s="129">
        <v>2</v>
      </c>
      <c r="F421" s="129">
        <v>1</v>
      </c>
      <c r="G421" s="129">
        <v>112</v>
      </c>
      <c r="H421" s="129">
        <v>0</v>
      </c>
      <c r="I421" s="129">
        <v>0</v>
      </c>
      <c r="J421" s="129">
        <v>0</v>
      </c>
      <c r="K421" s="129">
        <v>0</v>
      </c>
      <c r="L421" s="129">
        <v>0</v>
      </c>
      <c r="M421" s="129">
        <v>3</v>
      </c>
      <c r="N421" s="129">
        <v>0</v>
      </c>
      <c r="O421" s="129">
        <v>0</v>
      </c>
      <c r="P421" s="129">
        <v>0</v>
      </c>
      <c r="Q421" s="129">
        <v>3</v>
      </c>
      <c r="R421" s="129">
        <v>0</v>
      </c>
      <c r="S421" s="129">
        <v>0</v>
      </c>
      <c r="T421" s="129">
        <v>0</v>
      </c>
      <c r="U421" s="129">
        <v>0</v>
      </c>
      <c r="V421" s="129">
        <v>0</v>
      </c>
      <c r="W421" s="129">
        <v>16</v>
      </c>
      <c r="X421" s="129">
        <v>1</v>
      </c>
      <c r="Y421" s="129">
        <v>0</v>
      </c>
      <c r="Z421" s="129">
        <v>0</v>
      </c>
      <c r="AA421" s="129">
        <v>17</v>
      </c>
      <c r="AB421" s="129">
        <v>1</v>
      </c>
      <c r="AC421" s="129">
        <v>0</v>
      </c>
      <c r="AD421" s="129">
        <v>0</v>
      </c>
      <c r="AE421" s="129">
        <v>0</v>
      </c>
      <c r="AF421" s="129">
        <v>1</v>
      </c>
      <c r="AG421" s="129">
        <v>0</v>
      </c>
      <c r="AH421" s="129">
        <v>0</v>
      </c>
      <c r="AI421" s="126">
        <v>0</v>
      </c>
      <c r="AJ421" s="131">
        <v>133</v>
      </c>
    </row>
    <row r="422" spans="1:36" x14ac:dyDescent="0.35">
      <c r="A422" s="127" t="s">
        <v>1016</v>
      </c>
      <c r="B422" s="127" t="s">
        <v>1017</v>
      </c>
      <c r="C422" s="129">
        <v>179</v>
      </c>
      <c r="D422" s="129">
        <v>12</v>
      </c>
      <c r="E422" s="129">
        <v>6</v>
      </c>
      <c r="F422" s="129">
        <v>0</v>
      </c>
      <c r="G422" s="129">
        <v>197</v>
      </c>
      <c r="H422" s="129">
        <v>6</v>
      </c>
      <c r="I422" s="129">
        <v>0</v>
      </c>
      <c r="J422" s="129">
        <v>0</v>
      </c>
      <c r="K422" s="129">
        <v>0</v>
      </c>
      <c r="L422" s="129">
        <v>6</v>
      </c>
      <c r="M422" s="129">
        <v>1</v>
      </c>
      <c r="N422" s="129">
        <v>0</v>
      </c>
      <c r="O422" s="129">
        <v>0</v>
      </c>
      <c r="P422" s="129">
        <v>0</v>
      </c>
      <c r="Q422" s="129">
        <v>1</v>
      </c>
      <c r="R422" s="129">
        <v>2</v>
      </c>
      <c r="S422" s="129">
        <v>0</v>
      </c>
      <c r="T422" s="129">
        <v>0</v>
      </c>
      <c r="U422" s="129">
        <v>0</v>
      </c>
      <c r="V422" s="129">
        <v>2</v>
      </c>
      <c r="W422" s="129">
        <v>39</v>
      </c>
      <c r="X422" s="129">
        <v>0</v>
      </c>
      <c r="Y422" s="129">
        <v>0</v>
      </c>
      <c r="Z422" s="129">
        <v>0</v>
      </c>
      <c r="AA422" s="129">
        <v>39</v>
      </c>
      <c r="AB422" s="129">
        <v>3</v>
      </c>
      <c r="AC422" s="129">
        <v>0</v>
      </c>
      <c r="AD422" s="129">
        <v>0</v>
      </c>
      <c r="AE422" s="129">
        <v>0</v>
      </c>
      <c r="AF422" s="129">
        <v>3</v>
      </c>
      <c r="AG422" s="129">
        <v>0</v>
      </c>
      <c r="AH422" s="129">
        <v>0</v>
      </c>
      <c r="AI422" s="126">
        <v>0</v>
      </c>
      <c r="AJ422" s="131">
        <v>248</v>
      </c>
    </row>
    <row r="423" spans="1:36" x14ac:dyDescent="0.35">
      <c r="A423" s="127" t="s">
        <v>1018</v>
      </c>
      <c r="B423" s="127" t="s">
        <v>1019</v>
      </c>
      <c r="C423" s="129">
        <v>115</v>
      </c>
      <c r="D423" s="129">
        <v>6</v>
      </c>
      <c r="E423" s="129">
        <v>0</v>
      </c>
      <c r="F423" s="129">
        <v>0</v>
      </c>
      <c r="G423" s="129">
        <v>121</v>
      </c>
      <c r="H423" s="129">
        <v>5</v>
      </c>
      <c r="I423" s="129">
        <v>0</v>
      </c>
      <c r="J423" s="129">
        <v>0</v>
      </c>
      <c r="K423" s="129">
        <v>0</v>
      </c>
      <c r="L423" s="129">
        <v>5</v>
      </c>
      <c r="M423" s="129">
        <v>0</v>
      </c>
      <c r="N423" s="129">
        <v>0</v>
      </c>
      <c r="O423" s="129">
        <v>0</v>
      </c>
      <c r="P423" s="129">
        <v>0</v>
      </c>
      <c r="Q423" s="129">
        <v>0</v>
      </c>
      <c r="R423" s="129">
        <v>4</v>
      </c>
      <c r="S423" s="129">
        <v>0</v>
      </c>
      <c r="T423" s="129">
        <v>0</v>
      </c>
      <c r="U423" s="129">
        <v>0</v>
      </c>
      <c r="V423" s="129">
        <v>4</v>
      </c>
      <c r="W423" s="129">
        <v>15</v>
      </c>
      <c r="X423" s="129">
        <v>0</v>
      </c>
      <c r="Y423" s="129">
        <v>0</v>
      </c>
      <c r="Z423" s="129">
        <v>0</v>
      </c>
      <c r="AA423" s="129">
        <v>15</v>
      </c>
      <c r="AB423" s="129">
        <v>6</v>
      </c>
      <c r="AC423" s="129">
        <v>0</v>
      </c>
      <c r="AD423" s="129">
        <v>0</v>
      </c>
      <c r="AE423" s="129">
        <v>0</v>
      </c>
      <c r="AF423" s="129">
        <v>6</v>
      </c>
      <c r="AG423" s="129">
        <v>0</v>
      </c>
      <c r="AH423" s="129">
        <v>0</v>
      </c>
      <c r="AI423" s="126">
        <v>0</v>
      </c>
      <c r="AJ423" s="131">
        <v>151</v>
      </c>
    </row>
    <row r="424" spans="1:36" x14ac:dyDescent="0.35">
      <c r="A424" s="127" t="s">
        <v>1020</v>
      </c>
      <c r="B424" s="127" t="s">
        <v>1021</v>
      </c>
      <c r="C424" s="129">
        <v>218</v>
      </c>
      <c r="D424" s="129">
        <v>28</v>
      </c>
      <c r="E424" s="129">
        <v>8</v>
      </c>
      <c r="F424" s="129">
        <v>2</v>
      </c>
      <c r="G424" s="129">
        <v>256</v>
      </c>
      <c r="H424" s="129">
        <v>6</v>
      </c>
      <c r="I424" s="129">
        <v>0</v>
      </c>
      <c r="J424" s="129">
        <v>1</v>
      </c>
      <c r="K424" s="129">
        <v>0</v>
      </c>
      <c r="L424" s="129">
        <v>7</v>
      </c>
      <c r="M424" s="129">
        <v>4</v>
      </c>
      <c r="N424" s="129">
        <v>0</v>
      </c>
      <c r="O424" s="129">
        <v>0</v>
      </c>
      <c r="P424" s="129">
        <v>0</v>
      </c>
      <c r="Q424" s="129">
        <v>4</v>
      </c>
      <c r="R424" s="129">
        <v>3</v>
      </c>
      <c r="S424" s="129">
        <v>0</v>
      </c>
      <c r="T424" s="129">
        <v>0</v>
      </c>
      <c r="U424" s="129">
        <v>0</v>
      </c>
      <c r="V424" s="129">
        <v>3</v>
      </c>
      <c r="W424" s="129">
        <v>15</v>
      </c>
      <c r="X424" s="129">
        <v>0</v>
      </c>
      <c r="Y424" s="129">
        <v>1</v>
      </c>
      <c r="Z424" s="129">
        <v>0</v>
      </c>
      <c r="AA424" s="129">
        <v>16</v>
      </c>
      <c r="AB424" s="129">
        <v>1</v>
      </c>
      <c r="AC424" s="129">
        <v>1</v>
      </c>
      <c r="AD424" s="129">
        <v>0</v>
      </c>
      <c r="AE424" s="129">
        <v>0</v>
      </c>
      <c r="AF424" s="129">
        <v>2</v>
      </c>
      <c r="AG424" s="129">
        <v>0</v>
      </c>
      <c r="AH424" s="129">
        <v>0</v>
      </c>
      <c r="AI424" s="126">
        <v>0</v>
      </c>
      <c r="AJ424" s="131">
        <v>288</v>
      </c>
    </row>
    <row r="425" spans="1:36" x14ac:dyDescent="0.35">
      <c r="A425" s="127" t="s">
        <v>1022</v>
      </c>
      <c r="B425" s="127" t="s">
        <v>1023</v>
      </c>
      <c r="C425" s="129">
        <v>74</v>
      </c>
      <c r="D425" s="129">
        <v>2</v>
      </c>
      <c r="E425" s="129">
        <v>1</v>
      </c>
      <c r="F425" s="129">
        <v>0</v>
      </c>
      <c r="G425" s="129">
        <v>77</v>
      </c>
      <c r="H425" s="129">
        <v>3</v>
      </c>
      <c r="I425" s="129">
        <v>0</v>
      </c>
      <c r="J425" s="129">
        <v>0</v>
      </c>
      <c r="K425" s="129">
        <v>0</v>
      </c>
      <c r="L425" s="129">
        <v>3</v>
      </c>
      <c r="M425" s="129">
        <v>1</v>
      </c>
      <c r="N425" s="129">
        <v>0</v>
      </c>
      <c r="O425" s="129">
        <v>0</v>
      </c>
      <c r="P425" s="129">
        <v>0</v>
      </c>
      <c r="Q425" s="129">
        <v>1</v>
      </c>
      <c r="R425" s="129">
        <v>4</v>
      </c>
      <c r="S425" s="129">
        <v>0</v>
      </c>
      <c r="T425" s="129">
        <v>0</v>
      </c>
      <c r="U425" s="129">
        <v>0</v>
      </c>
      <c r="V425" s="129">
        <v>4</v>
      </c>
      <c r="W425" s="129">
        <v>10</v>
      </c>
      <c r="X425" s="129">
        <v>0</v>
      </c>
      <c r="Y425" s="129">
        <v>0</v>
      </c>
      <c r="Z425" s="129">
        <v>0</v>
      </c>
      <c r="AA425" s="129">
        <v>10</v>
      </c>
      <c r="AB425" s="129">
        <v>1</v>
      </c>
      <c r="AC425" s="129">
        <v>0</v>
      </c>
      <c r="AD425" s="129">
        <v>0</v>
      </c>
      <c r="AE425" s="129">
        <v>0</v>
      </c>
      <c r="AF425" s="129">
        <v>1</v>
      </c>
      <c r="AG425" s="129">
        <v>0</v>
      </c>
      <c r="AH425" s="129">
        <v>0</v>
      </c>
      <c r="AI425" s="126">
        <v>0</v>
      </c>
      <c r="AJ425" s="131">
        <v>96</v>
      </c>
    </row>
    <row r="426" spans="1:36" x14ac:dyDescent="0.35">
      <c r="A426" s="127" t="s">
        <v>1024</v>
      </c>
      <c r="B426" s="127" t="s">
        <v>1267</v>
      </c>
      <c r="C426" s="129">
        <v>207</v>
      </c>
      <c r="D426" s="129">
        <v>34</v>
      </c>
      <c r="E426" s="129">
        <v>4</v>
      </c>
      <c r="F426" s="129">
        <v>4</v>
      </c>
      <c r="G426" s="129">
        <v>249</v>
      </c>
      <c r="H426" s="129">
        <v>0</v>
      </c>
      <c r="I426" s="129">
        <v>0</v>
      </c>
      <c r="J426" s="129">
        <v>0</v>
      </c>
      <c r="K426" s="129">
        <v>0</v>
      </c>
      <c r="L426" s="129">
        <v>0</v>
      </c>
      <c r="M426" s="129">
        <v>1</v>
      </c>
      <c r="N426" s="129">
        <v>0</v>
      </c>
      <c r="O426" s="129">
        <v>0</v>
      </c>
      <c r="P426" s="129">
        <v>0</v>
      </c>
      <c r="Q426" s="129">
        <v>1</v>
      </c>
      <c r="R426" s="129">
        <v>0</v>
      </c>
      <c r="S426" s="129">
        <v>0</v>
      </c>
      <c r="T426" s="129">
        <v>0</v>
      </c>
      <c r="U426" s="129">
        <v>0</v>
      </c>
      <c r="V426" s="129">
        <v>0</v>
      </c>
      <c r="W426" s="129">
        <v>12</v>
      </c>
      <c r="X426" s="129">
        <v>0</v>
      </c>
      <c r="Y426" s="129">
        <v>0</v>
      </c>
      <c r="Z426" s="129">
        <v>2</v>
      </c>
      <c r="AA426" s="129">
        <v>14</v>
      </c>
      <c r="AB426" s="129">
        <v>0</v>
      </c>
      <c r="AC426" s="129">
        <v>0</v>
      </c>
      <c r="AD426" s="129">
        <v>0</v>
      </c>
      <c r="AE426" s="129">
        <v>0</v>
      </c>
      <c r="AF426" s="129">
        <v>0</v>
      </c>
      <c r="AG426" s="129">
        <v>0</v>
      </c>
      <c r="AH426" s="129">
        <v>0</v>
      </c>
      <c r="AI426" s="126">
        <v>0</v>
      </c>
      <c r="AJ426" s="131">
        <v>264</v>
      </c>
    </row>
    <row r="427" spans="1:36" x14ac:dyDescent="0.35">
      <c r="A427" s="127" t="s">
        <v>1025</v>
      </c>
      <c r="B427" s="127" t="s">
        <v>1026</v>
      </c>
      <c r="C427" s="129">
        <v>359</v>
      </c>
      <c r="D427" s="129">
        <v>57</v>
      </c>
      <c r="E427" s="129">
        <v>6</v>
      </c>
      <c r="F427" s="129">
        <v>1</v>
      </c>
      <c r="G427" s="129">
        <v>423</v>
      </c>
      <c r="H427" s="129">
        <v>9</v>
      </c>
      <c r="I427" s="129">
        <v>0</v>
      </c>
      <c r="J427" s="129">
        <v>0</v>
      </c>
      <c r="K427" s="129">
        <v>0</v>
      </c>
      <c r="L427" s="129">
        <v>9</v>
      </c>
      <c r="M427" s="129">
        <v>4</v>
      </c>
      <c r="N427" s="129">
        <v>1</v>
      </c>
      <c r="O427" s="129">
        <v>0</v>
      </c>
      <c r="P427" s="129">
        <v>0</v>
      </c>
      <c r="Q427" s="129">
        <v>5</v>
      </c>
      <c r="R427" s="129">
        <v>4</v>
      </c>
      <c r="S427" s="129">
        <v>0</v>
      </c>
      <c r="T427" s="129">
        <v>0</v>
      </c>
      <c r="U427" s="129">
        <v>0</v>
      </c>
      <c r="V427" s="129">
        <v>4</v>
      </c>
      <c r="W427" s="129">
        <v>30</v>
      </c>
      <c r="X427" s="129">
        <v>0</v>
      </c>
      <c r="Y427" s="129">
        <v>0</v>
      </c>
      <c r="Z427" s="129">
        <v>0</v>
      </c>
      <c r="AA427" s="129">
        <v>30</v>
      </c>
      <c r="AB427" s="129">
        <v>2</v>
      </c>
      <c r="AC427" s="129">
        <v>0</v>
      </c>
      <c r="AD427" s="129">
        <v>0</v>
      </c>
      <c r="AE427" s="129">
        <v>0</v>
      </c>
      <c r="AF427" s="129">
        <v>2</v>
      </c>
      <c r="AG427" s="129">
        <v>0</v>
      </c>
      <c r="AH427" s="129">
        <v>0</v>
      </c>
      <c r="AI427" s="126">
        <v>0</v>
      </c>
      <c r="AJ427" s="131">
        <v>473</v>
      </c>
    </row>
    <row r="428" spans="1:36" x14ac:dyDescent="0.35">
      <c r="A428" s="127" t="s">
        <v>1027</v>
      </c>
      <c r="B428" s="127" t="s">
        <v>1028</v>
      </c>
      <c r="C428" s="129">
        <v>34</v>
      </c>
      <c r="D428" s="129">
        <v>5</v>
      </c>
      <c r="E428" s="129">
        <v>3</v>
      </c>
      <c r="F428" s="129">
        <v>0</v>
      </c>
      <c r="G428" s="129">
        <v>42</v>
      </c>
      <c r="H428" s="129">
        <v>0</v>
      </c>
      <c r="I428" s="129">
        <v>0</v>
      </c>
      <c r="J428" s="129">
        <v>0</v>
      </c>
      <c r="K428" s="129">
        <v>0</v>
      </c>
      <c r="L428" s="129">
        <v>0</v>
      </c>
      <c r="M428" s="129">
        <v>0</v>
      </c>
      <c r="N428" s="129">
        <v>0</v>
      </c>
      <c r="O428" s="129">
        <v>0</v>
      </c>
      <c r="P428" s="129">
        <v>0</v>
      </c>
      <c r="Q428" s="129">
        <v>0</v>
      </c>
      <c r="R428" s="129">
        <v>0</v>
      </c>
      <c r="S428" s="129">
        <v>0</v>
      </c>
      <c r="T428" s="129">
        <v>0</v>
      </c>
      <c r="U428" s="129">
        <v>0</v>
      </c>
      <c r="V428" s="129">
        <v>0</v>
      </c>
      <c r="W428" s="129">
        <v>4</v>
      </c>
      <c r="X428" s="129">
        <v>0</v>
      </c>
      <c r="Y428" s="129">
        <v>0</v>
      </c>
      <c r="Z428" s="129">
        <v>0</v>
      </c>
      <c r="AA428" s="129">
        <v>4</v>
      </c>
      <c r="AB428" s="129">
        <v>1</v>
      </c>
      <c r="AC428" s="129">
        <v>0</v>
      </c>
      <c r="AD428" s="129">
        <v>0</v>
      </c>
      <c r="AE428" s="129">
        <v>0</v>
      </c>
      <c r="AF428" s="129">
        <v>1</v>
      </c>
      <c r="AG428" s="129">
        <v>0</v>
      </c>
      <c r="AH428" s="129">
        <v>0</v>
      </c>
      <c r="AI428" s="126">
        <v>0</v>
      </c>
      <c r="AJ428" s="131">
        <v>47</v>
      </c>
    </row>
    <row r="429" spans="1:36" x14ac:dyDescent="0.35">
      <c r="A429" s="127" t="s">
        <v>1029</v>
      </c>
      <c r="B429" s="127" t="s">
        <v>1030</v>
      </c>
      <c r="C429" s="129">
        <v>22</v>
      </c>
      <c r="D429" s="129">
        <v>5</v>
      </c>
      <c r="E429" s="129">
        <v>2</v>
      </c>
      <c r="F429" s="129">
        <v>0</v>
      </c>
      <c r="G429" s="129">
        <v>29</v>
      </c>
      <c r="H429" s="129">
        <v>1</v>
      </c>
      <c r="I429" s="129">
        <v>0</v>
      </c>
      <c r="J429" s="129">
        <v>0</v>
      </c>
      <c r="K429" s="129">
        <v>0</v>
      </c>
      <c r="L429" s="129">
        <v>1</v>
      </c>
      <c r="M429" s="129">
        <v>0</v>
      </c>
      <c r="N429" s="129">
        <v>0</v>
      </c>
      <c r="O429" s="129">
        <v>0</v>
      </c>
      <c r="P429" s="129">
        <v>0</v>
      </c>
      <c r="Q429" s="129">
        <v>0</v>
      </c>
      <c r="R429" s="129">
        <v>0</v>
      </c>
      <c r="S429" s="129">
        <v>0</v>
      </c>
      <c r="T429" s="129">
        <v>0</v>
      </c>
      <c r="U429" s="129">
        <v>0</v>
      </c>
      <c r="V429" s="129">
        <v>0</v>
      </c>
      <c r="W429" s="129">
        <v>4</v>
      </c>
      <c r="X429" s="129">
        <v>1</v>
      </c>
      <c r="Y429" s="129">
        <v>0</v>
      </c>
      <c r="Z429" s="129">
        <v>0</v>
      </c>
      <c r="AA429" s="129">
        <v>5</v>
      </c>
      <c r="AB429" s="129">
        <v>1</v>
      </c>
      <c r="AC429" s="129">
        <v>0</v>
      </c>
      <c r="AD429" s="129">
        <v>0</v>
      </c>
      <c r="AE429" s="129">
        <v>0</v>
      </c>
      <c r="AF429" s="129">
        <v>1</v>
      </c>
      <c r="AG429" s="129">
        <v>0</v>
      </c>
      <c r="AH429" s="129">
        <v>0</v>
      </c>
      <c r="AI429" s="126">
        <v>0</v>
      </c>
      <c r="AJ429" s="131">
        <v>36</v>
      </c>
    </row>
    <row r="430" spans="1:36" x14ac:dyDescent="0.35">
      <c r="A430" s="127" t="s">
        <v>1031</v>
      </c>
      <c r="B430" s="127" t="s">
        <v>1032</v>
      </c>
      <c r="C430" s="129">
        <v>1256</v>
      </c>
      <c r="D430" s="129">
        <v>202</v>
      </c>
      <c r="E430" s="129">
        <v>76</v>
      </c>
      <c r="F430" s="129">
        <v>19</v>
      </c>
      <c r="G430" s="129">
        <v>1553</v>
      </c>
      <c r="H430" s="129">
        <v>45</v>
      </c>
      <c r="I430" s="129">
        <v>1</v>
      </c>
      <c r="J430" s="129">
        <v>0</v>
      </c>
      <c r="K430" s="129">
        <v>0</v>
      </c>
      <c r="L430" s="129">
        <v>46</v>
      </c>
      <c r="M430" s="129">
        <v>45</v>
      </c>
      <c r="N430" s="129">
        <v>0</v>
      </c>
      <c r="O430" s="129">
        <v>0</v>
      </c>
      <c r="P430" s="129">
        <v>0</v>
      </c>
      <c r="Q430" s="129">
        <v>45</v>
      </c>
      <c r="R430" s="129">
        <v>25</v>
      </c>
      <c r="S430" s="129">
        <v>0</v>
      </c>
      <c r="T430" s="129">
        <v>0</v>
      </c>
      <c r="U430" s="129">
        <v>0</v>
      </c>
      <c r="V430" s="129">
        <v>25</v>
      </c>
      <c r="W430" s="129">
        <v>161</v>
      </c>
      <c r="X430" s="129">
        <v>3</v>
      </c>
      <c r="Y430" s="129">
        <v>0</v>
      </c>
      <c r="Z430" s="129">
        <v>0</v>
      </c>
      <c r="AA430" s="129">
        <v>164</v>
      </c>
      <c r="AB430" s="129">
        <v>16</v>
      </c>
      <c r="AC430" s="129">
        <v>4</v>
      </c>
      <c r="AD430" s="129">
        <v>0</v>
      </c>
      <c r="AE430" s="129">
        <v>0</v>
      </c>
      <c r="AF430" s="129">
        <v>20</v>
      </c>
      <c r="AG430" s="129">
        <v>0</v>
      </c>
      <c r="AH430" s="129">
        <v>0</v>
      </c>
      <c r="AI430" s="126">
        <v>0</v>
      </c>
      <c r="AJ430" s="131">
        <v>1853</v>
      </c>
    </row>
    <row r="431" spans="1:36" x14ac:dyDescent="0.35">
      <c r="A431" s="127" t="s">
        <v>1422</v>
      </c>
      <c r="B431" s="127" t="s">
        <v>1423</v>
      </c>
      <c r="C431" s="129">
        <v>0</v>
      </c>
      <c r="D431" s="129">
        <v>0</v>
      </c>
      <c r="E431" s="129">
        <v>0</v>
      </c>
      <c r="F431" s="129">
        <v>0</v>
      </c>
      <c r="G431" s="129">
        <v>0</v>
      </c>
      <c r="H431" s="129">
        <v>0</v>
      </c>
      <c r="I431" s="129">
        <v>0</v>
      </c>
      <c r="J431" s="129">
        <v>0</v>
      </c>
      <c r="K431" s="129">
        <v>0</v>
      </c>
      <c r="L431" s="129">
        <v>0</v>
      </c>
      <c r="M431" s="129">
        <v>0</v>
      </c>
      <c r="N431" s="129">
        <v>0</v>
      </c>
      <c r="O431" s="129">
        <v>0</v>
      </c>
      <c r="P431" s="129">
        <v>0</v>
      </c>
      <c r="Q431" s="129">
        <v>0</v>
      </c>
      <c r="R431" s="129">
        <v>0</v>
      </c>
      <c r="S431" s="129">
        <v>0</v>
      </c>
      <c r="T431" s="129">
        <v>0</v>
      </c>
      <c r="U431" s="129">
        <v>0</v>
      </c>
      <c r="V431" s="129">
        <v>0</v>
      </c>
      <c r="W431" s="129">
        <v>0</v>
      </c>
      <c r="X431" s="129">
        <v>0</v>
      </c>
      <c r="Y431" s="129">
        <v>0</v>
      </c>
      <c r="Z431" s="129">
        <v>0</v>
      </c>
      <c r="AA431" s="129">
        <v>0</v>
      </c>
      <c r="AB431" s="129">
        <v>0</v>
      </c>
      <c r="AC431" s="129">
        <v>0</v>
      </c>
      <c r="AD431" s="129">
        <v>0</v>
      </c>
      <c r="AE431" s="129">
        <v>0</v>
      </c>
      <c r="AF431" s="129">
        <v>0</v>
      </c>
      <c r="AG431" s="129">
        <v>0</v>
      </c>
      <c r="AH431" s="129">
        <v>0</v>
      </c>
      <c r="AI431" s="126">
        <v>0</v>
      </c>
      <c r="AJ431" s="131">
        <v>0</v>
      </c>
    </row>
    <row r="432" spans="1:36" x14ac:dyDescent="0.35">
      <c r="A432" s="127" t="s">
        <v>1033</v>
      </c>
      <c r="B432" s="127" t="s">
        <v>1034</v>
      </c>
      <c r="C432" s="129">
        <v>1</v>
      </c>
      <c r="D432" s="129">
        <v>2</v>
      </c>
      <c r="E432" s="129">
        <v>0</v>
      </c>
      <c r="F432" s="129">
        <v>0</v>
      </c>
      <c r="G432" s="129">
        <v>3</v>
      </c>
      <c r="H432" s="129">
        <v>0</v>
      </c>
      <c r="I432" s="129">
        <v>1</v>
      </c>
      <c r="J432" s="129">
        <v>0</v>
      </c>
      <c r="K432" s="129">
        <v>0</v>
      </c>
      <c r="L432" s="129">
        <v>1</v>
      </c>
      <c r="M432" s="129">
        <v>0</v>
      </c>
      <c r="N432" s="129">
        <v>0</v>
      </c>
      <c r="O432" s="129">
        <v>0</v>
      </c>
      <c r="P432" s="129">
        <v>0</v>
      </c>
      <c r="Q432" s="129">
        <v>0</v>
      </c>
      <c r="R432" s="129">
        <v>0</v>
      </c>
      <c r="S432" s="129">
        <v>0</v>
      </c>
      <c r="T432" s="129">
        <v>0</v>
      </c>
      <c r="U432" s="129">
        <v>0</v>
      </c>
      <c r="V432" s="129">
        <v>0</v>
      </c>
      <c r="W432" s="129">
        <v>0</v>
      </c>
      <c r="X432" s="129">
        <v>0</v>
      </c>
      <c r="Y432" s="129">
        <v>0</v>
      </c>
      <c r="Z432" s="129">
        <v>0</v>
      </c>
      <c r="AA432" s="129">
        <v>0</v>
      </c>
      <c r="AB432" s="129">
        <v>0</v>
      </c>
      <c r="AC432" s="129">
        <v>0</v>
      </c>
      <c r="AD432" s="129">
        <v>0</v>
      </c>
      <c r="AE432" s="129">
        <v>0</v>
      </c>
      <c r="AF432" s="129">
        <v>0</v>
      </c>
      <c r="AG432" s="129">
        <v>0</v>
      </c>
      <c r="AH432" s="129">
        <v>0</v>
      </c>
      <c r="AI432" s="126">
        <v>0</v>
      </c>
      <c r="AJ432" s="131">
        <v>4</v>
      </c>
    </row>
    <row r="433" spans="1:36" x14ac:dyDescent="0.35">
      <c r="A433" s="127" t="s">
        <v>1035</v>
      </c>
      <c r="B433" s="127" t="s">
        <v>1268</v>
      </c>
      <c r="C433" s="129">
        <v>11</v>
      </c>
      <c r="D433" s="129">
        <v>0</v>
      </c>
      <c r="E433" s="129">
        <v>0</v>
      </c>
      <c r="F433" s="129">
        <v>0</v>
      </c>
      <c r="G433" s="129">
        <v>11</v>
      </c>
      <c r="H433" s="129">
        <v>0</v>
      </c>
      <c r="I433" s="129">
        <v>0</v>
      </c>
      <c r="J433" s="129">
        <v>0</v>
      </c>
      <c r="K433" s="129">
        <v>0</v>
      </c>
      <c r="L433" s="129">
        <v>0</v>
      </c>
      <c r="M433" s="129">
        <v>0</v>
      </c>
      <c r="N433" s="129">
        <v>0</v>
      </c>
      <c r="O433" s="129">
        <v>0</v>
      </c>
      <c r="P433" s="129">
        <v>0</v>
      </c>
      <c r="Q433" s="129">
        <v>0</v>
      </c>
      <c r="R433" s="129">
        <v>0</v>
      </c>
      <c r="S433" s="129">
        <v>0</v>
      </c>
      <c r="T433" s="129">
        <v>0</v>
      </c>
      <c r="U433" s="129">
        <v>0</v>
      </c>
      <c r="V433" s="129">
        <v>0</v>
      </c>
      <c r="W433" s="129">
        <v>1</v>
      </c>
      <c r="X433" s="129">
        <v>0</v>
      </c>
      <c r="Y433" s="129">
        <v>0</v>
      </c>
      <c r="Z433" s="129">
        <v>0</v>
      </c>
      <c r="AA433" s="129">
        <v>1</v>
      </c>
      <c r="AB433" s="129">
        <v>0</v>
      </c>
      <c r="AC433" s="129">
        <v>0</v>
      </c>
      <c r="AD433" s="129">
        <v>0</v>
      </c>
      <c r="AE433" s="129">
        <v>0</v>
      </c>
      <c r="AF433" s="129">
        <v>0</v>
      </c>
      <c r="AG433" s="129">
        <v>0</v>
      </c>
      <c r="AH433" s="129">
        <v>0</v>
      </c>
      <c r="AI433" s="126">
        <v>0</v>
      </c>
      <c r="AJ433" s="131">
        <v>12</v>
      </c>
    </row>
    <row r="434" spans="1:36" x14ac:dyDescent="0.35">
      <c r="A434" s="127" t="s">
        <v>1036</v>
      </c>
      <c r="B434" s="127" t="s">
        <v>1037</v>
      </c>
      <c r="C434" s="129">
        <v>5</v>
      </c>
      <c r="D434" s="129">
        <v>0</v>
      </c>
      <c r="E434" s="129">
        <v>0</v>
      </c>
      <c r="F434" s="129">
        <v>0</v>
      </c>
      <c r="G434" s="129">
        <v>5</v>
      </c>
      <c r="H434" s="129">
        <v>0</v>
      </c>
      <c r="I434" s="129">
        <v>0</v>
      </c>
      <c r="J434" s="129">
        <v>0</v>
      </c>
      <c r="K434" s="129">
        <v>0</v>
      </c>
      <c r="L434" s="129">
        <v>0</v>
      </c>
      <c r="M434" s="129">
        <v>0</v>
      </c>
      <c r="N434" s="129">
        <v>0</v>
      </c>
      <c r="O434" s="129">
        <v>0</v>
      </c>
      <c r="P434" s="129">
        <v>0</v>
      </c>
      <c r="Q434" s="129">
        <v>0</v>
      </c>
      <c r="R434" s="129">
        <v>0</v>
      </c>
      <c r="S434" s="129">
        <v>0</v>
      </c>
      <c r="T434" s="129">
        <v>0</v>
      </c>
      <c r="U434" s="129">
        <v>0</v>
      </c>
      <c r="V434" s="129">
        <v>0</v>
      </c>
      <c r="W434" s="129">
        <v>0</v>
      </c>
      <c r="X434" s="129">
        <v>0</v>
      </c>
      <c r="Y434" s="129">
        <v>0</v>
      </c>
      <c r="Z434" s="129">
        <v>0</v>
      </c>
      <c r="AA434" s="129">
        <v>0</v>
      </c>
      <c r="AB434" s="129">
        <v>0</v>
      </c>
      <c r="AC434" s="129">
        <v>0</v>
      </c>
      <c r="AD434" s="129">
        <v>0</v>
      </c>
      <c r="AE434" s="129">
        <v>0</v>
      </c>
      <c r="AF434" s="129">
        <v>0</v>
      </c>
      <c r="AG434" s="129">
        <v>0</v>
      </c>
      <c r="AH434" s="129">
        <v>0</v>
      </c>
      <c r="AI434" s="126">
        <v>0</v>
      </c>
      <c r="AJ434" s="131">
        <v>5</v>
      </c>
    </row>
    <row r="435" spans="1:36" x14ac:dyDescent="0.35">
      <c r="A435" s="127" t="s">
        <v>1424</v>
      </c>
      <c r="B435" s="127" t="s">
        <v>1425</v>
      </c>
      <c r="C435" s="129">
        <v>0</v>
      </c>
      <c r="D435" s="129">
        <v>0</v>
      </c>
      <c r="E435" s="129">
        <v>0</v>
      </c>
      <c r="F435" s="129">
        <v>0</v>
      </c>
      <c r="G435" s="129">
        <v>0</v>
      </c>
      <c r="H435" s="129">
        <v>0</v>
      </c>
      <c r="I435" s="129">
        <v>0</v>
      </c>
      <c r="J435" s="129">
        <v>0</v>
      </c>
      <c r="K435" s="129">
        <v>0</v>
      </c>
      <c r="L435" s="129">
        <v>0</v>
      </c>
      <c r="M435" s="129">
        <v>0</v>
      </c>
      <c r="N435" s="129">
        <v>0</v>
      </c>
      <c r="O435" s="129">
        <v>0</v>
      </c>
      <c r="P435" s="129">
        <v>0</v>
      </c>
      <c r="Q435" s="129">
        <v>0</v>
      </c>
      <c r="R435" s="129">
        <v>0</v>
      </c>
      <c r="S435" s="129">
        <v>0</v>
      </c>
      <c r="T435" s="129">
        <v>0</v>
      </c>
      <c r="U435" s="129">
        <v>0</v>
      </c>
      <c r="V435" s="129">
        <v>0</v>
      </c>
      <c r="W435" s="129">
        <v>0</v>
      </c>
      <c r="X435" s="129">
        <v>0</v>
      </c>
      <c r="Y435" s="129">
        <v>0</v>
      </c>
      <c r="Z435" s="129">
        <v>0</v>
      </c>
      <c r="AA435" s="129">
        <v>0</v>
      </c>
      <c r="AB435" s="129">
        <v>0</v>
      </c>
      <c r="AC435" s="129">
        <v>0</v>
      </c>
      <c r="AD435" s="129">
        <v>0</v>
      </c>
      <c r="AE435" s="129">
        <v>0</v>
      </c>
      <c r="AF435" s="129">
        <v>0</v>
      </c>
      <c r="AG435" s="129">
        <v>0</v>
      </c>
      <c r="AH435" s="129">
        <v>0</v>
      </c>
      <c r="AI435" s="126">
        <v>0</v>
      </c>
      <c r="AJ435" s="131">
        <v>0</v>
      </c>
    </row>
    <row r="436" spans="1:36" x14ac:dyDescent="0.35">
      <c r="A436" s="127" t="s">
        <v>1332</v>
      </c>
      <c r="B436" s="127" t="s">
        <v>1333</v>
      </c>
      <c r="C436" s="129">
        <v>0</v>
      </c>
      <c r="D436" s="129">
        <v>0</v>
      </c>
      <c r="E436" s="129">
        <v>0</v>
      </c>
      <c r="F436" s="129">
        <v>0</v>
      </c>
      <c r="G436" s="129">
        <v>0</v>
      </c>
      <c r="H436" s="129">
        <v>0</v>
      </c>
      <c r="I436" s="129">
        <v>0</v>
      </c>
      <c r="J436" s="129">
        <v>0</v>
      </c>
      <c r="K436" s="129">
        <v>0</v>
      </c>
      <c r="L436" s="129">
        <v>0</v>
      </c>
      <c r="M436" s="129">
        <v>0</v>
      </c>
      <c r="N436" s="129">
        <v>0</v>
      </c>
      <c r="O436" s="129">
        <v>0</v>
      </c>
      <c r="P436" s="129">
        <v>0</v>
      </c>
      <c r="Q436" s="129">
        <v>0</v>
      </c>
      <c r="R436" s="129">
        <v>0</v>
      </c>
      <c r="S436" s="129">
        <v>0</v>
      </c>
      <c r="T436" s="129">
        <v>0</v>
      </c>
      <c r="U436" s="129">
        <v>0</v>
      </c>
      <c r="V436" s="129">
        <v>0</v>
      </c>
      <c r="W436" s="129">
        <v>0</v>
      </c>
      <c r="X436" s="129">
        <v>0</v>
      </c>
      <c r="Y436" s="129">
        <v>0</v>
      </c>
      <c r="Z436" s="129">
        <v>0</v>
      </c>
      <c r="AA436" s="129">
        <v>0</v>
      </c>
      <c r="AB436" s="129">
        <v>0</v>
      </c>
      <c r="AC436" s="129">
        <v>0</v>
      </c>
      <c r="AD436" s="129">
        <v>0</v>
      </c>
      <c r="AE436" s="129">
        <v>0</v>
      </c>
      <c r="AF436" s="129">
        <v>0</v>
      </c>
      <c r="AG436" s="129">
        <v>0</v>
      </c>
      <c r="AH436" s="129">
        <v>0</v>
      </c>
      <c r="AI436" s="126">
        <v>0</v>
      </c>
      <c r="AJ436" s="131">
        <v>0</v>
      </c>
    </row>
    <row r="437" spans="1:36" x14ac:dyDescent="0.35">
      <c r="A437" s="127" t="s">
        <v>1426</v>
      </c>
      <c r="B437" s="127" t="s">
        <v>1427</v>
      </c>
      <c r="C437" s="129">
        <v>0</v>
      </c>
      <c r="D437" s="129">
        <v>0</v>
      </c>
      <c r="E437" s="129">
        <v>0</v>
      </c>
      <c r="F437" s="129">
        <v>0</v>
      </c>
      <c r="G437" s="129">
        <v>0</v>
      </c>
      <c r="H437" s="129">
        <v>0</v>
      </c>
      <c r="I437" s="129">
        <v>0</v>
      </c>
      <c r="J437" s="129">
        <v>0</v>
      </c>
      <c r="K437" s="129">
        <v>0</v>
      </c>
      <c r="L437" s="129">
        <v>0</v>
      </c>
      <c r="M437" s="129">
        <v>0</v>
      </c>
      <c r="N437" s="129">
        <v>0</v>
      </c>
      <c r="O437" s="129">
        <v>0</v>
      </c>
      <c r="P437" s="129">
        <v>0</v>
      </c>
      <c r="Q437" s="129">
        <v>0</v>
      </c>
      <c r="R437" s="129">
        <v>0</v>
      </c>
      <c r="S437" s="129">
        <v>0</v>
      </c>
      <c r="T437" s="129">
        <v>0</v>
      </c>
      <c r="U437" s="129">
        <v>0</v>
      </c>
      <c r="V437" s="129">
        <v>0</v>
      </c>
      <c r="W437" s="129">
        <v>0</v>
      </c>
      <c r="X437" s="129">
        <v>0</v>
      </c>
      <c r="Y437" s="129">
        <v>0</v>
      </c>
      <c r="Z437" s="129">
        <v>0</v>
      </c>
      <c r="AA437" s="129">
        <v>0</v>
      </c>
      <c r="AB437" s="129">
        <v>0</v>
      </c>
      <c r="AC437" s="129">
        <v>0</v>
      </c>
      <c r="AD437" s="129">
        <v>0</v>
      </c>
      <c r="AE437" s="129">
        <v>0</v>
      </c>
      <c r="AF437" s="129">
        <v>0</v>
      </c>
      <c r="AG437" s="129">
        <v>0</v>
      </c>
      <c r="AH437" s="129">
        <v>0</v>
      </c>
      <c r="AI437" s="126">
        <v>0</v>
      </c>
      <c r="AJ437" s="131">
        <v>0</v>
      </c>
    </row>
    <row r="438" spans="1:36" x14ac:dyDescent="0.35">
      <c r="A438" s="127" t="s">
        <v>1038</v>
      </c>
      <c r="B438" s="127" t="s">
        <v>1039</v>
      </c>
      <c r="C438" s="129">
        <v>0</v>
      </c>
      <c r="D438" s="129">
        <v>0</v>
      </c>
      <c r="E438" s="129">
        <v>0</v>
      </c>
      <c r="F438" s="129">
        <v>0</v>
      </c>
      <c r="G438" s="129">
        <v>0</v>
      </c>
      <c r="H438" s="129">
        <v>0</v>
      </c>
      <c r="I438" s="129">
        <v>0</v>
      </c>
      <c r="J438" s="129">
        <v>0</v>
      </c>
      <c r="K438" s="129">
        <v>0</v>
      </c>
      <c r="L438" s="129">
        <v>0</v>
      </c>
      <c r="M438" s="129">
        <v>0</v>
      </c>
      <c r="N438" s="129">
        <v>0</v>
      </c>
      <c r="O438" s="129">
        <v>0</v>
      </c>
      <c r="P438" s="129">
        <v>0</v>
      </c>
      <c r="Q438" s="129">
        <v>0</v>
      </c>
      <c r="R438" s="129">
        <v>0</v>
      </c>
      <c r="S438" s="129">
        <v>0</v>
      </c>
      <c r="T438" s="129">
        <v>0</v>
      </c>
      <c r="U438" s="129">
        <v>0</v>
      </c>
      <c r="V438" s="129">
        <v>0</v>
      </c>
      <c r="W438" s="129">
        <v>0</v>
      </c>
      <c r="X438" s="129">
        <v>0</v>
      </c>
      <c r="Y438" s="129">
        <v>0</v>
      </c>
      <c r="Z438" s="129">
        <v>0</v>
      </c>
      <c r="AA438" s="129">
        <v>0</v>
      </c>
      <c r="AB438" s="129">
        <v>0</v>
      </c>
      <c r="AC438" s="129">
        <v>0</v>
      </c>
      <c r="AD438" s="129">
        <v>0</v>
      </c>
      <c r="AE438" s="129">
        <v>0</v>
      </c>
      <c r="AF438" s="129">
        <v>0</v>
      </c>
      <c r="AG438" s="129">
        <v>0</v>
      </c>
      <c r="AH438" s="129">
        <v>0</v>
      </c>
      <c r="AI438" s="126">
        <v>0</v>
      </c>
      <c r="AJ438" s="131">
        <v>0</v>
      </c>
    </row>
    <row r="439" spans="1:36" x14ac:dyDescent="0.35">
      <c r="A439" s="127" t="s">
        <v>1428</v>
      </c>
      <c r="B439" s="127" t="s">
        <v>1429</v>
      </c>
      <c r="C439" s="129">
        <v>0</v>
      </c>
      <c r="D439" s="129">
        <v>0</v>
      </c>
      <c r="E439" s="129">
        <v>0</v>
      </c>
      <c r="F439" s="129">
        <v>0</v>
      </c>
      <c r="G439" s="129">
        <v>0</v>
      </c>
      <c r="H439" s="129">
        <v>0</v>
      </c>
      <c r="I439" s="129">
        <v>0</v>
      </c>
      <c r="J439" s="129">
        <v>0</v>
      </c>
      <c r="K439" s="129">
        <v>0</v>
      </c>
      <c r="L439" s="129">
        <v>0</v>
      </c>
      <c r="M439" s="129">
        <v>0</v>
      </c>
      <c r="N439" s="129">
        <v>0</v>
      </c>
      <c r="O439" s="129">
        <v>0</v>
      </c>
      <c r="P439" s="129">
        <v>0</v>
      </c>
      <c r="Q439" s="129">
        <v>0</v>
      </c>
      <c r="R439" s="129">
        <v>0</v>
      </c>
      <c r="S439" s="129">
        <v>0</v>
      </c>
      <c r="T439" s="129">
        <v>0</v>
      </c>
      <c r="U439" s="129">
        <v>0</v>
      </c>
      <c r="V439" s="129">
        <v>0</v>
      </c>
      <c r="W439" s="129">
        <v>0</v>
      </c>
      <c r="X439" s="129">
        <v>0</v>
      </c>
      <c r="Y439" s="129">
        <v>0</v>
      </c>
      <c r="Z439" s="129">
        <v>0</v>
      </c>
      <c r="AA439" s="129">
        <v>0</v>
      </c>
      <c r="AB439" s="129">
        <v>0</v>
      </c>
      <c r="AC439" s="129">
        <v>0</v>
      </c>
      <c r="AD439" s="129">
        <v>0</v>
      </c>
      <c r="AE439" s="129">
        <v>0</v>
      </c>
      <c r="AF439" s="129">
        <v>0</v>
      </c>
      <c r="AG439" s="129">
        <v>0</v>
      </c>
      <c r="AH439" s="129">
        <v>0</v>
      </c>
      <c r="AI439" s="126">
        <v>0</v>
      </c>
      <c r="AJ439" s="131">
        <v>0</v>
      </c>
    </row>
    <row r="440" spans="1:36" x14ac:dyDescent="0.35">
      <c r="A440" s="127" t="s">
        <v>1040</v>
      </c>
      <c r="B440" s="127" t="s">
        <v>1041</v>
      </c>
      <c r="C440" s="129">
        <v>6</v>
      </c>
      <c r="D440" s="129">
        <v>1</v>
      </c>
      <c r="E440" s="129">
        <v>0</v>
      </c>
      <c r="F440" s="129">
        <v>1</v>
      </c>
      <c r="G440" s="129">
        <v>8</v>
      </c>
      <c r="H440" s="129">
        <v>0</v>
      </c>
      <c r="I440" s="129">
        <v>0</v>
      </c>
      <c r="J440" s="129">
        <v>0</v>
      </c>
      <c r="K440" s="129">
        <v>0</v>
      </c>
      <c r="L440" s="129">
        <v>0</v>
      </c>
      <c r="M440" s="129">
        <v>0</v>
      </c>
      <c r="N440" s="129">
        <v>0</v>
      </c>
      <c r="O440" s="129">
        <v>0</v>
      </c>
      <c r="P440" s="129">
        <v>0</v>
      </c>
      <c r="Q440" s="129">
        <v>0</v>
      </c>
      <c r="R440" s="129">
        <v>0</v>
      </c>
      <c r="S440" s="129">
        <v>0</v>
      </c>
      <c r="T440" s="129">
        <v>0</v>
      </c>
      <c r="U440" s="129">
        <v>0</v>
      </c>
      <c r="V440" s="129">
        <v>0</v>
      </c>
      <c r="W440" s="129">
        <v>1</v>
      </c>
      <c r="X440" s="129">
        <v>0</v>
      </c>
      <c r="Y440" s="129">
        <v>0</v>
      </c>
      <c r="Z440" s="129">
        <v>0</v>
      </c>
      <c r="AA440" s="129">
        <v>1</v>
      </c>
      <c r="AB440" s="129">
        <v>0</v>
      </c>
      <c r="AC440" s="129">
        <v>0</v>
      </c>
      <c r="AD440" s="129">
        <v>0</v>
      </c>
      <c r="AE440" s="129">
        <v>0</v>
      </c>
      <c r="AF440" s="129">
        <v>0</v>
      </c>
      <c r="AG440" s="129">
        <v>0</v>
      </c>
      <c r="AH440" s="129">
        <v>0</v>
      </c>
      <c r="AI440" s="126">
        <v>0</v>
      </c>
      <c r="AJ440" s="131">
        <v>9</v>
      </c>
    </row>
    <row r="441" spans="1:36" x14ac:dyDescent="0.35">
      <c r="A441" s="127" t="s">
        <v>1042</v>
      </c>
      <c r="B441" s="127" t="s">
        <v>1043</v>
      </c>
      <c r="C441" s="129">
        <v>29</v>
      </c>
      <c r="D441" s="129">
        <v>0</v>
      </c>
      <c r="E441" s="129">
        <v>0</v>
      </c>
      <c r="F441" s="129">
        <v>0</v>
      </c>
      <c r="G441" s="129">
        <v>29</v>
      </c>
      <c r="H441" s="129">
        <v>2</v>
      </c>
      <c r="I441" s="129">
        <v>0</v>
      </c>
      <c r="J441" s="129">
        <v>0</v>
      </c>
      <c r="K441" s="129">
        <v>0</v>
      </c>
      <c r="L441" s="129">
        <v>2</v>
      </c>
      <c r="M441" s="129">
        <v>2</v>
      </c>
      <c r="N441" s="129">
        <v>0</v>
      </c>
      <c r="O441" s="129">
        <v>0</v>
      </c>
      <c r="P441" s="129">
        <v>0</v>
      </c>
      <c r="Q441" s="129">
        <v>2</v>
      </c>
      <c r="R441" s="129">
        <v>6</v>
      </c>
      <c r="S441" s="129">
        <v>0</v>
      </c>
      <c r="T441" s="129">
        <v>0</v>
      </c>
      <c r="U441" s="129">
        <v>0</v>
      </c>
      <c r="V441" s="129">
        <v>6</v>
      </c>
      <c r="W441" s="129">
        <v>16</v>
      </c>
      <c r="X441" s="129">
        <v>0</v>
      </c>
      <c r="Y441" s="129">
        <v>0</v>
      </c>
      <c r="Z441" s="129">
        <v>0</v>
      </c>
      <c r="AA441" s="129">
        <v>16</v>
      </c>
      <c r="AB441" s="129">
        <v>2</v>
      </c>
      <c r="AC441" s="129">
        <v>0</v>
      </c>
      <c r="AD441" s="129">
        <v>0</v>
      </c>
      <c r="AE441" s="129">
        <v>0</v>
      </c>
      <c r="AF441" s="129">
        <v>2</v>
      </c>
      <c r="AG441" s="129">
        <v>0</v>
      </c>
      <c r="AH441" s="129">
        <v>0</v>
      </c>
      <c r="AI441" s="126">
        <v>0</v>
      </c>
      <c r="AJ441" s="131">
        <v>57</v>
      </c>
    </row>
    <row r="442" spans="1:36" x14ac:dyDescent="0.35">
      <c r="A442" s="127" t="s">
        <v>1044</v>
      </c>
      <c r="B442" s="127" t="s">
        <v>1045</v>
      </c>
      <c r="C442" s="129">
        <v>84</v>
      </c>
      <c r="D442" s="129">
        <v>7</v>
      </c>
      <c r="E442" s="129">
        <v>1</v>
      </c>
      <c r="F442" s="129">
        <v>0</v>
      </c>
      <c r="G442" s="129">
        <v>92</v>
      </c>
      <c r="H442" s="129">
        <v>0</v>
      </c>
      <c r="I442" s="129">
        <v>0</v>
      </c>
      <c r="J442" s="129">
        <v>0</v>
      </c>
      <c r="K442" s="129">
        <v>0</v>
      </c>
      <c r="L442" s="129">
        <v>0</v>
      </c>
      <c r="M442" s="129">
        <v>1</v>
      </c>
      <c r="N442" s="129">
        <v>0</v>
      </c>
      <c r="O442" s="129">
        <v>0</v>
      </c>
      <c r="P442" s="129">
        <v>0</v>
      </c>
      <c r="Q442" s="129">
        <v>1</v>
      </c>
      <c r="R442" s="129">
        <v>3</v>
      </c>
      <c r="S442" s="129">
        <v>0</v>
      </c>
      <c r="T442" s="129">
        <v>0</v>
      </c>
      <c r="U442" s="129">
        <v>0</v>
      </c>
      <c r="V442" s="129">
        <v>3</v>
      </c>
      <c r="W442" s="129">
        <v>16</v>
      </c>
      <c r="X442" s="129">
        <v>1</v>
      </c>
      <c r="Y442" s="129">
        <v>0</v>
      </c>
      <c r="Z442" s="129">
        <v>0</v>
      </c>
      <c r="AA442" s="129">
        <v>17</v>
      </c>
      <c r="AB442" s="129">
        <v>0</v>
      </c>
      <c r="AC442" s="129">
        <v>0</v>
      </c>
      <c r="AD442" s="129">
        <v>0</v>
      </c>
      <c r="AE442" s="129">
        <v>0</v>
      </c>
      <c r="AF442" s="129">
        <v>0</v>
      </c>
      <c r="AG442" s="129">
        <v>0</v>
      </c>
      <c r="AH442" s="129">
        <v>0</v>
      </c>
      <c r="AI442" s="126">
        <v>0</v>
      </c>
      <c r="AJ442" s="131">
        <v>113</v>
      </c>
    </row>
    <row r="443" spans="1:36" x14ac:dyDescent="0.35">
      <c r="A443" s="127" t="s">
        <v>1046</v>
      </c>
      <c r="B443" s="127" t="s">
        <v>1047</v>
      </c>
      <c r="C443" s="129">
        <v>6</v>
      </c>
      <c r="D443" s="129">
        <v>0</v>
      </c>
      <c r="E443" s="129">
        <v>0</v>
      </c>
      <c r="F443" s="129">
        <v>0</v>
      </c>
      <c r="G443" s="129">
        <v>6</v>
      </c>
      <c r="H443" s="129">
        <v>1</v>
      </c>
      <c r="I443" s="129">
        <v>0</v>
      </c>
      <c r="J443" s="129">
        <v>0</v>
      </c>
      <c r="K443" s="129">
        <v>0</v>
      </c>
      <c r="L443" s="129">
        <v>1</v>
      </c>
      <c r="M443" s="129">
        <v>1</v>
      </c>
      <c r="N443" s="129">
        <v>0</v>
      </c>
      <c r="O443" s="129">
        <v>0</v>
      </c>
      <c r="P443" s="129">
        <v>0</v>
      </c>
      <c r="Q443" s="129">
        <v>1</v>
      </c>
      <c r="R443" s="129">
        <v>2</v>
      </c>
      <c r="S443" s="129">
        <v>0</v>
      </c>
      <c r="T443" s="129">
        <v>0</v>
      </c>
      <c r="U443" s="129">
        <v>0</v>
      </c>
      <c r="V443" s="129">
        <v>2</v>
      </c>
      <c r="W443" s="129">
        <v>3</v>
      </c>
      <c r="X443" s="129">
        <v>0</v>
      </c>
      <c r="Y443" s="129">
        <v>0</v>
      </c>
      <c r="Z443" s="129">
        <v>0</v>
      </c>
      <c r="AA443" s="129">
        <v>3</v>
      </c>
      <c r="AB443" s="129">
        <v>1</v>
      </c>
      <c r="AC443" s="129">
        <v>0</v>
      </c>
      <c r="AD443" s="129">
        <v>0</v>
      </c>
      <c r="AE443" s="129">
        <v>0</v>
      </c>
      <c r="AF443" s="129">
        <v>1</v>
      </c>
      <c r="AG443" s="129">
        <v>0</v>
      </c>
      <c r="AH443" s="129">
        <v>0</v>
      </c>
      <c r="AI443" s="126">
        <v>0</v>
      </c>
      <c r="AJ443" s="131">
        <v>14</v>
      </c>
    </row>
    <row r="444" spans="1:36" x14ac:dyDescent="0.35">
      <c r="A444" s="127" t="s">
        <v>1048</v>
      </c>
      <c r="B444" s="127" t="s">
        <v>1269</v>
      </c>
      <c r="C444" s="129">
        <v>6</v>
      </c>
      <c r="D444" s="129">
        <v>0</v>
      </c>
      <c r="E444" s="129">
        <v>0</v>
      </c>
      <c r="F444" s="129">
        <v>0</v>
      </c>
      <c r="G444" s="129">
        <v>6</v>
      </c>
      <c r="H444" s="129">
        <v>2</v>
      </c>
      <c r="I444" s="129">
        <v>0</v>
      </c>
      <c r="J444" s="129">
        <v>0</v>
      </c>
      <c r="K444" s="129">
        <v>0</v>
      </c>
      <c r="L444" s="129">
        <v>2</v>
      </c>
      <c r="M444" s="129">
        <v>0</v>
      </c>
      <c r="N444" s="129">
        <v>0</v>
      </c>
      <c r="O444" s="129">
        <v>0</v>
      </c>
      <c r="P444" s="129">
        <v>0</v>
      </c>
      <c r="Q444" s="129">
        <v>0</v>
      </c>
      <c r="R444" s="129">
        <v>0</v>
      </c>
      <c r="S444" s="129">
        <v>0</v>
      </c>
      <c r="T444" s="129">
        <v>0</v>
      </c>
      <c r="U444" s="129">
        <v>0</v>
      </c>
      <c r="V444" s="129">
        <v>0</v>
      </c>
      <c r="W444" s="129">
        <v>2</v>
      </c>
      <c r="X444" s="129">
        <v>0</v>
      </c>
      <c r="Y444" s="129">
        <v>0</v>
      </c>
      <c r="Z444" s="129">
        <v>0</v>
      </c>
      <c r="AA444" s="129">
        <v>2</v>
      </c>
      <c r="AB444" s="129">
        <v>0</v>
      </c>
      <c r="AC444" s="129">
        <v>0</v>
      </c>
      <c r="AD444" s="129">
        <v>0</v>
      </c>
      <c r="AE444" s="129">
        <v>0</v>
      </c>
      <c r="AF444" s="129">
        <v>0</v>
      </c>
      <c r="AG444" s="129">
        <v>0</v>
      </c>
      <c r="AH444" s="129">
        <v>0</v>
      </c>
      <c r="AI444" s="126">
        <v>0</v>
      </c>
      <c r="AJ444" s="131">
        <v>10</v>
      </c>
    </row>
    <row r="445" spans="1:36" x14ac:dyDescent="0.35">
      <c r="A445" s="127" t="s">
        <v>1049</v>
      </c>
      <c r="B445" s="127" t="s">
        <v>1050</v>
      </c>
      <c r="C445" s="129">
        <v>4</v>
      </c>
      <c r="D445" s="129">
        <v>0</v>
      </c>
      <c r="E445" s="129">
        <v>0</v>
      </c>
      <c r="F445" s="129">
        <v>0</v>
      </c>
      <c r="G445" s="129">
        <v>4</v>
      </c>
      <c r="H445" s="129">
        <v>0</v>
      </c>
      <c r="I445" s="129">
        <v>0</v>
      </c>
      <c r="J445" s="129">
        <v>0</v>
      </c>
      <c r="K445" s="129">
        <v>0</v>
      </c>
      <c r="L445" s="129">
        <v>0</v>
      </c>
      <c r="M445" s="129">
        <v>0</v>
      </c>
      <c r="N445" s="129">
        <v>0</v>
      </c>
      <c r="O445" s="129">
        <v>0</v>
      </c>
      <c r="P445" s="129">
        <v>0</v>
      </c>
      <c r="Q445" s="129">
        <v>0</v>
      </c>
      <c r="R445" s="129">
        <v>0</v>
      </c>
      <c r="S445" s="129">
        <v>0</v>
      </c>
      <c r="T445" s="129">
        <v>0</v>
      </c>
      <c r="U445" s="129">
        <v>0</v>
      </c>
      <c r="V445" s="129">
        <v>0</v>
      </c>
      <c r="W445" s="129">
        <v>0</v>
      </c>
      <c r="X445" s="129">
        <v>0</v>
      </c>
      <c r="Y445" s="129">
        <v>0</v>
      </c>
      <c r="Z445" s="129">
        <v>0</v>
      </c>
      <c r="AA445" s="129">
        <v>0</v>
      </c>
      <c r="AB445" s="129">
        <v>0</v>
      </c>
      <c r="AC445" s="129">
        <v>0</v>
      </c>
      <c r="AD445" s="129">
        <v>0</v>
      </c>
      <c r="AE445" s="129">
        <v>0</v>
      </c>
      <c r="AF445" s="129">
        <v>0</v>
      </c>
      <c r="AG445" s="129">
        <v>0</v>
      </c>
      <c r="AH445" s="129">
        <v>0</v>
      </c>
      <c r="AI445" s="126">
        <v>0</v>
      </c>
      <c r="AJ445" s="131">
        <v>4</v>
      </c>
    </row>
    <row r="446" spans="1:36" x14ac:dyDescent="0.35">
      <c r="A446" s="127" t="s">
        <v>1051</v>
      </c>
      <c r="B446" s="127" t="s">
        <v>1270</v>
      </c>
      <c r="C446" s="129">
        <v>20</v>
      </c>
      <c r="D446" s="129">
        <v>2</v>
      </c>
      <c r="E446" s="129">
        <v>0</v>
      </c>
      <c r="F446" s="129">
        <v>0</v>
      </c>
      <c r="G446" s="129">
        <v>22</v>
      </c>
      <c r="H446" s="129">
        <v>2</v>
      </c>
      <c r="I446" s="129">
        <v>0</v>
      </c>
      <c r="J446" s="129">
        <v>0</v>
      </c>
      <c r="K446" s="129">
        <v>0</v>
      </c>
      <c r="L446" s="129">
        <v>2</v>
      </c>
      <c r="M446" s="129">
        <v>1</v>
      </c>
      <c r="N446" s="129">
        <v>0</v>
      </c>
      <c r="O446" s="129">
        <v>0</v>
      </c>
      <c r="P446" s="129">
        <v>0</v>
      </c>
      <c r="Q446" s="129">
        <v>1</v>
      </c>
      <c r="R446" s="129">
        <v>0</v>
      </c>
      <c r="S446" s="129">
        <v>0</v>
      </c>
      <c r="T446" s="129">
        <v>0</v>
      </c>
      <c r="U446" s="129">
        <v>0</v>
      </c>
      <c r="V446" s="129">
        <v>0</v>
      </c>
      <c r="W446" s="129">
        <v>5</v>
      </c>
      <c r="X446" s="129">
        <v>0</v>
      </c>
      <c r="Y446" s="129">
        <v>1</v>
      </c>
      <c r="Z446" s="129">
        <v>0</v>
      </c>
      <c r="AA446" s="129">
        <v>6</v>
      </c>
      <c r="AB446" s="129">
        <v>0</v>
      </c>
      <c r="AC446" s="129">
        <v>0</v>
      </c>
      <c r="AD446" s="129">
        <v>0</v>
      </c>
      <c r="AE446" s="129">
        <v>0</v>
      </c>
      <c r="AF446" s="129">
        <v>0</v>
      </c>
      <c r="AG446" s="129">
        <v>0</v>
      </c>
      <c r="AH446" s="129">
        <v>0</v>
      </c>
      <c r="AI446" s="126">
        <v>0</v>
      </c>
      <c r="AJ446" s="131">
        <v>31</v>
      </c>
    </row>
    <row r="447" spans="1:36" x14ac:dyDescent="0.35">
      <c r="A447" s="127" t="s">
        <v>1052</v>
      </c>
      <c r="B447" s="127" t="s">
        <v>1271</v>
      </c>
      <c r="C447" s="129">
        <v>35</v>
      </c>
      <c r="D447" s="129">
        <v>8</v>
      </c>
      <c r="E447" s="129">
        <v>2</v>
      </c>
      <c r="F447" s="129">
        <v>0</v>
      </c>
      <c r="G447" s="129">
        <v>45</v>
      </c>
      <c r="H447" s="129">
        <v>1</v>
      </c>
      <c r="I447" s="129">
        <v>0</v>
      </c>
      <c r="J447" s="129">
        <v>0</v>
      </c>
      <c r="K447" s="129">
        <v>0</v>
      </c>
      <c r="L447" s="129">
        <v>1</v>
      </c>
      <c r="M447" s="129">
        <v>1</v>
      </c>
      <c r="N447" s="129">
        <v>0</v>
      </c>
      <c r="O447" s="129">
        <v>0</v>
      </c>
      <c r="P447" s="129">
        <v>0</v>
      </c>
      <c r="Q447" s="129">
        <v>1</v>
      </c>
      <c r="R447" s="129">
        <v>1</v>
      </c>
      <c r="S447" s="129">
        <v>0</v>
      </c>
      <c r="T447" s="129">
        <v>0</v>
      </c>
      <c r="U447" s="129">
        <v>0</v>
      </c>
      <c r="V447" s="129">
        <v>1</v>
      </c>
      <c r="W447" s="129">
        <v>8</v>
      </c>
      <c r="X447" s="129">
        <v>0</v>
      </c>
      <c r="Y447" s="129">
        <v>0</v>
      </c>
      <c r="Z447" s="129">
        <v>0</v>
      </c>
      <c r="AA447" s="129">
        <v>8</v>
      </c>
      <c r="AB447" s="129">
        <v>0</v>
      </c>
      <c r="AC447" s="129">
        <v>0</v>
      </c>
      <c r="AD447" s="129">
        <v>0</v>
      </c>
      <c r="AE447" s="129">
        <v>0</v>
      </c>
      <c r="AF447" s="129">
        <v>0</v>
      </c>
      <c r="AG447" s="129">
        <v>0</v>
      </c>
      <c r="AH447" s="129">
        <v>0</v>
      </c>
      <c r="AI447" s="126">
        <v>0</v>
      </c>
      <c r="AJ447" s="131">
        <v>56</v>
      </c>
    </row>
    <row r="448" spans="1:36" x14ac:dyDescent="0.35">
      <c r="A448" s="127" t="s">
        <v>1053</v>
      </c>
      <c r="B448" s="127" t="s">
        <v>1054</v>
      </c>
      <c r="C448" s="129">
        <v>8</v>
      </c>
      <c r="D448" s="129">
        <v>1</v>
      </c>
      <c r="E448" s="129">
        <v>0</v>
      </c>
      <c r="F448" s="129">
        <v>0</v>
      </c>
      <c r="G448" s="129">
        <v>9</v>
      </c>
      <c r="H448" s="129">
        <v>0</v>
      </c>
      <c r="I448" s="129">
        <v>0</v>
      </c>
      <c r="J448" s="129">
        <v>0</v>
      </c>
      <c r="K448" s="129">
        <v>0</v>
      </c>
      <c r="L448" s="129">
        <v>0</v>
      </c>
      <c r="M448" s="129">
        <v>0</v>
      </c>
      <c r="N448" s="129">
        <v>0</v>
      </c>
      <c r="O448" s="129">
        <v>0</v>
      </c>
      <c r="P448" s="129">
        <v>0</v>
      </c>
      <c r="Q448" s="129">
        <v>0</v>
      </c>
      <c r="R448" s="129">
        <v>0</v>
      </c>
      <c r="S448" s="129">
        <v>0</v>
      </c>
      <c r="T448" s="129">
        <v>0</v>
      </c>
      <c r="U448" s="129">
        <v>0</v>
      </c>
      <c r="V448" s="129">
        <v>0</v>
      </c>
      <c r="W448" s="129">
        <v>2</v>
      </c>
      <c r="X448" s="129">
        <v>1</v>
      </c>
      <c r="Y448" s="129">
        <v>0</v>
      </c>
      <c r="Z448" s="129">
        <v>0</v>
      </c>
      <c r="AA448" s="129">
        <v>3</v>
      </c>
      <c r="AB448" s="129">
        <v>0</v>
      </c>
      <c r="AC448" s="129">
        <v>0</v>
      </c>
      <c r="AD448" s="129">
        <v>0</v>
      </c>
      <c r="AE448" s="129">
        <v>0</v>
      </c>
      <c r="AF448" s="129">
        <v>0</v>
      </c>
      <c r="AG448" s="129">
        <v>0</v>
      </c>
      <c r="AH448" s="129">
        <v>0</v>
      </c>
      <c r="AI448" s="126">
        <v>0</v>
      </c>
      <c r="AJ448" s="131">
        <v>12</v>
      </c>
    </row>
    <row r="449" spans="1:36" x14ac:dyDescent="0.35">
      <c r="A449" s="127" t="s">
        <v>1326</v>
      </c>
      <c r="B449" s="127" t="s">
        <v>1327</v>
      </c>
      <c r="C449" s="129">
        <v>2</v>
      </c>
      <c r="D449" s="129">
        <v>0</v>
      </c>
      <c r="E449" s="129">
        <v>0</v>
      </c>
      <c r="F449" s="129">
        <v>0</v>
      </c>
      <c r="G449" s="129">
        <v>2</v>
      </c>
      <c r="H449" s="129">
        <v>0</v>
      </c>
      <c r="I449" s="129">
        <v>0</v>
      </c>
      <c r="J449" s="129">
        <v>0</v>
      </c>
      <c r="K449" s="129">
        <v>0</v>
      </c>
      <c r="L449" s="129">
        <v>0</v>
      </c>
      <c r="M449" s="129">
        <v>0</v>
      </c>
      <c r="N449" s="129">
        <v>0</v>
      </c>
      <c r="O449" s="129">
        <v>0</v>
      </c>
      <c r="P449" s="129">
        <v>0</v>
      </c>
      <c r="Q449" s="129">
        <v>0</v>
      </c>
      <c r="R449" s="129">
        <v>0</v>
      </c>
      <c r="S449" s="129">
        <v>0</v>
      </c>
      <c r="T449" s="129">
        <v>0</v>
      </c>
      <c r="U449" s="129">
        <v>0</v>
      </c>
      <c r="V449" s="129">
        <v>0</v>
      </c>
      <c r="W449" s="129">
        <v>0</v>
      </c>
      <c r="X449" s="129">
        <v>0</v>
      </c>
      <c r="Y449" s="129">
        <v>0</v>
      </c>
      <c r="Z449" s="129">
        <v>0</v>
      </c>
      <c r="AA449" s="129">
        <v>0</v>
      </c>
      <c r="AB449" s="129">
        <v>0</v>
      </c>
      <c r="AC449" s="129">
        <v>0</v>
      </c>
      <c r="AD449" s="129">
        <v>0</v>
      </c>
      <c r="AE449" s="129">
        <v>0</v>
      </c>
      <c r="AF449" s="129">
        <v>0</v>
      </c>
      <c r="AG449" s="129">
        <v>0</v>
      </c>
      <c r="AH449" s="129">
        <v>0</v>
      </c>
      <c r="AI449" s="126">
        <v>0</v>
      </c>
      <c r="AJ449" s="131">
        <v>2</v>
      </c>
    </row>
    <row r="450" spans="1:36" x14ac:dyDescent="0.35">
      <c r="A450" s="127" t="s">
        <v>1055</v>
      </c>
      <c r="B450" s="127" t="s">
        <v>1056</v>
      </c>
      <c r="C450" s="129">
        <v>3</v>
      </c>
      <c r="D450" s="129">
        <v>0</v>
      </c>
      <c r="E450" s="129">
        <v>0</v>
      </c>
      <c r="F450" s="129">
        <v>0</v>
      </c>
      <c r="G450" s="129">
        <v>3</v>
      </c>
      <c r="H450" s="129">
        <v>0</v>
      </c>
      <c r="I450" s="129">
        <v>0</v>
      </c>
      <c r="J450" s="129">
        <v>0</v>
      </c>
      <c r="K450" s="129">
        <v>0</v>
      </c>
      <c r="L450" s="129">
        <v>0</v>
      </c>
      <c r="M450" s="129">
        <v>0</v>
      </c>
      <c r="N450" s="129">
        <v>0</v>
      </c>
      <c r="O450" s="129">
        <v>0</v>
      </c>
      <c r="P450" s="129">
        <v>0</v>
      </c>
      <c r="Q450" s="129">
        <v>0</v>
      </c>
      <c r="R450" s="129">
        <v>0</v>
      </c>
      <c r="S450" s="129">
        <v>0</v>
      </c>
      <c r="T450" s="129">
        <v>0</v>
      </c>
      <c r="U450" s="129">
        <v>0</v>
      </c>
      <c r="V450" s="129">
        <v>0</v>
      </c>
      <c r="W450" s="129">
        <v>1</v>
      </c>
      <c r="X450" s="129">
        <v>0</v>
      </c>
      <c r="Y450" s="129">
        <v>0</v>
      </c>
      <c r="Z450" s="129">
        <v>0</v>
      </c>
      <c r="AA450" s="129">
        <v>1</v>
      </c>
      <c r="AB450" s="129">
        <v>0</v>
      </c>
      <c r="AC450" s="129">
        <v>0</v>
      </c>
      <c r="AD450" s="129">
        <v>0</v>
      </c>
      <c r="AE450" s="129">
        <v>0</v>
      </c>
      <c r="AF450" s="129">
        <v>0</v>
      </c>
      <c r="AG450" s="129">
        <v>0</v>
      </c>
      <c r="AH450" s="129">
        <v>0</v>
      </c>
      <c r="AI450" s="126">
        <v>0</v>
      </c>
      <c r="AJ450" s="131">
        <v>4</v>
      </c>
    </row>
    <row r="451" spans="1:36" x14ac:dyDescent="0.35">
      <c r="A451" s="127" t="s">
        <v>1057</v>
      </c>
      <c r="B451" s="127" t="s">
        <v>1058</v>
      </c>
      <c r="C451" s="129">
        <v>3</v>
      </c>
      <c r="D451" s="129">
        <v>0</v>
      </c>
      <c r="E451" s="129">
        <v>0</v>
      </c>
      <c r="F451" s="129">
        <v>0</v>
      </c>
      <c r="G451" s="129">
        <v>3</v>
      </c>
      <c r="H451" s="129">
        <v>0</v>
      </c>
      <c r="I451" s="129">
        <v>0</v>
      </c>
      <c r="J451" s="129">
        <v>0</v>
      </c>
      <c r="K451" s="129">
        <v>0</v>
      </c>
      <c r="L451" s="129">
        <v>0</v>
      </c>
      <c r="M451" s="129">
        <v>0</v>
      </c>
      <c r="N451" s="129">
        <v>0</v>
      </c>
      <c r="O451" s="129">
        <v>0</v>
      </c>
      <c r="P451" s="129">
        <v>0</v>
      </c>
      <c r="Q451" s="129">
        <v>0</v>
      </c>
      <c r="R451" s="129">
        <v>0</v>
      </c>
      <c r="S451" s="129">
        <v>0</v>
      </c>
      <c r="T451" s="129">
        <v>0</v>
      </c>
      <c r="U451" s="129">
        <v>0</v>
      </c>
      <c r="V451" s="129">
        <v>0</v>
      </c>
      <c r="W451" s="129">
        <v>1</v>
      </c>
      <c r="X451" s="129">
        <v>0</v>
      </c>
      <c r="Y451" s="129">
        <v>0</v>
      </c>
      <c r="Z451" s="129">
        <v>0</v>
      </c>
      <c r="AA451" s="129">
        <v>1</v>
      </c>
      <c r="AB451" s="129">
        <v>0</v>
      </c>
      <c r="AC451" s="129">
        <v>0</v>
      </c>
      <c r="AD451" s="129">
        <v>0</v>
      </c>
      <c r="AE451" s="129">
        <v>0</v>
      </c>
      <c r="AF451" s="129">
        <v>0</v>
      </c>
      <c r="AG451" s="129">
        <v>0</v>
      </c>
      <c r="AH451" s="129">
        <v>0</v>
      </c>
      <c r="AI451" s="126">
        <v>0</v>
      </c>
      <c r="AJ451" s="131">
        <v>4</v>
      </c>
    </row>
    <row r="452" spans="1:36" x14ac:dyDescent="0.35">
      <c r="A452" s="127" t="s">
        <v>1059</v>
      </c>
      <c r="B452" s="127" t="s">
        <v>1272</v>
      </c>
      <c r="C452" s="129">
        <v>161</v>
      </c>
      <c r="D452" s="129">
        <v>21</v>
      </c>
      <c r="E452" s="129">
        <v>4</v>
      </c>
      <c r="F452" s="129">
        <v>2</v>
      </c>
      <c r="G452" s="129">
        <v>188</v>
      </c>
      <c r="H452" s="129">
        <v>2</v>
      </c>
      <c r="I452" s="129">
        <v>0</v>
      </c>
      <c r="J452" s="129">
        <v>0</v>
      </c>
      <c r="K452" s="129">
        <v>0</v>
      </c>
      <c r="L452" s="129">
        <v>2</v>
      </c>
      <c r="M452" s="129">
        <v>1</v>
      </c>
      <c r="N452" s="129">
        <v>0</v>
      </c>
      <c r="O452" s="129">
        <v>0</v>
      </c>
      <c r="P452" s="129">
        <v>0</v>
      </c>
      <c r="Q452" s="129">
        <v>1</v>
      </c>
      <c r="R452" s="129">
        <v>1</v>
      </c>
      <c r="S452" s="129">
        <v>0</v>
      </c>
      <c r="T452" s="129">
        <v>0</v>
      </c>
      <c r="U452" s="129">
        <v>0</v>
      </c>
      <c r="V452" s="129">
        <v>1</v>
      </c>
      <c r="W452" s="129">
        <v>22</v>
      </c>
      <c r="X452" s="129">
        <v>1</v>
      </c>
      <c r="Y452" s="129">
        <v>0</v>
      </c>
      <c r="Z452" s="129">
        <v>0</v>
      </c>
      <c r="AA452" s="129">
        <v>23</v>
      </c>
      <c r="AB452" s="129">
        <v>1</v>
      </c>
      <c r="AC452" s="129">
        <v>0</v>
      </c>
      <c r="AD452" s="129">
        <v>0</v>
      </c>
      <c r="AE452" s="129">
        <v>0</v>
      </c>
      <c r="AF452" s="129">
        <v>1</v>
      </c>
      <c r="AG452" s="129">
        <v>0</v>
      </c>
      <c r="AH452" s="129">
        <v>0</v>
      </c>
      <c r="AI452" s="126">
        <v>0</v>
      </c>
      <c r="AJ452" s="131">
        <v>216</v>
      </c>
    </row>
    <row r="453" spans="1:36" x14ac:dyDescent="0.35">
      <c r="A453" s="127" t="s">
        <v>1060</v>
      </c>
      <c r="B453" s="127" t="s">
        <v>1061</v>
      </c>
      <c r="C453" s="129">
        <v>132</v>
      </c>
      <c r="D453" s="129">
        <v>4</v>
      </c>
      <c r="E453" s="129">
        <v>0</v>
      </c>
      <c r="F453" s="129">
        <v>0</v>
      </c>
      <c r="G453" s="129">
        <v>136</v>
      </c>
      <c r="H453" s="129">
        <v>4</v>
      </c>
      <c r="I453" s="129">
        <v>0</v>
      </c>
      <c r="J453" s="129">
        <v>0</v>
      </c>
      <c r="K453" s="129">
        <v>0</v>
      </c>
      <c r="L453" s="129">
        <v>4</v>
      </c>
      <c r="M453" s="129">
        <v>6</v>
      </c>
      <c r="N453" s="129">
        <v>0</v>
      </c>
      <c r="O453" s="129">
        <v>0</v>
      </c>
      <c r="P453" s="129">
        <v>0</v>
      </c>
      <c r="Q453" s="129">
        <v>6</v>
      </c>
      <c r="R453" s="129">
        <v>7</v>
      </c>
      <c r="S453" s="129">
        <v>0</v>
      </c>
      <c r="T453" s="129">
        <v>0</v>
      </c>
      <c r="U453" s="129">
        <v>0</v>
      </c>
      <c r="V453" s="129">
        <v>7</v>
      </c>
      <c r="W453" s="129">
        <v>25</v>
      </c>
      <c r="X453" s="129">
        <v>0</v>
      </c>
      <c r="Y453" s="129">
        <v>0</v>
      </c>
      <c r="Z453" s="129">
        <v>0</v>
      </c>
      <c r="AA453" s="129">
        <v>25</v>
      </c>
      <c r="AB453" s="129">
        <v>4</v>
      </c>
      <c r="AC453" s="129">
        <v>0</v>
      </c>
      <c r="AD453" s="129">
        <v>0</v>
      </c>
      <c r="AE453" s="129">
        <v>0</v>
      </c>
      <c r="AF453" s="129">
        <v>4</v>
      </c>
      <c r="AG453" s="129">
        <v>0</v>
      </c>
      <c r="AH453" s="129">
        <v>0</v>
      </c>
      <c r="AI453" s="126">
        <v>0</v>
      </c>
      <c r="AJ453" s="131">
        <v>182</v>
      </c>
    </row>
    <row r="454" spans="1:36" x14ac:dyDescent="0.35">
      <c r="A454" s="127" t="s">
        <v>1062</v>
      </c>
      <c r="B454" s="127" t="s">
        <v>1063</v>
      </c>
      <c r="C454" s="129">
        <v>80</v>
      </c>
      <c r="D454" s="129">
        <v>0</v>
      </c>
      <c r="E454" s="129">
        <v>0</v>
      </c>
      <c r="F454" s="129">
        <v>0</v>
      </c>
      <c r="G454" s="129">
        <v>80</v>
      </c>
      <c r="H454" s="129">
        <v>2</v>
      </c>
      <c r="I454" s="129">
        <v>0</v>
      </c>
      <c r="J454" s="129">
        <v>0</v>
      </c>
      <c r="K454" s="129">
        <v>0</v>
      </c>
      <c r="L454" s="129">
        <v>2</v>
      </c>
      <c r="M454" s="129">
        <v>1</v>
      </c>
      <c r="N454" s="129">
        <v>0</v>
      </c>
      <c r="O454" s="129">
        <v>0</v>
      </c>
      <c r="P454" s="129">
        <v>0</v>
      </c>
      <c r="Q454" s="129">
        <v>1</v>
      </c>
      <c r="R454" s="129">
        <v>2</v>
      </c>
      <c r="S454" s="129">
        <v>0</v>
      </c>
      <c r="T454" s="129">
        <v>0</v>
      </c>
      <c r="U454" s="129">
        <v>0</v>
      </c>
      <c r="V454" s="129">
        <v>2</v>
      </c>
      <c r="W454" s="129">
        <v>6</v>
      </c>
      <c r="X454" s="129">
        <v>0</v>
      </c>
      <c r="Y454" s="129">
        <v>0</v>
      </c>
      <c r="Z454" s="129">
        <v>0</v>
      </c>
      <c r="AA454" s="129">
        <v>6</v>
      </c>
      <c r="AB454" s="129">
        <v>1</v>
      </c>
      <c r="AC454" s="129">
        <v>0</v>
      </c>
      <c r="AD454" s="129">
        <v>0</v>
      </c>
      <c r="AE454" s="129">
        <v>0</v>
      </c>
      <c r="AF454" s="129">
        <v>1</v>
      </c>
      <c r="AG454" s="129">
        <v>0</v>
      </c>
      <c r="AH454" s="129">
        <v>0</v>
      </c>
      <c r="AI454" s="126">
        <v>0</v>
      </c>
      <c r="AJ454" s="131">
        <v>92</v>
      </c>
    </row>
    <row r="455" spans="1:36" x14ac:dyDescent="0.35">
      <c r="A455" s="127" t="s">
        <v>1064</v>
      </c>
      <c r="B455" s="127" t="s">
        <v>1065</v>
      </c>
      <c r="C455" s="129">
        <v>321</v>
      </c>
      <c r="D455" s="129">
        <v>26</v>
      </c>
      <c r="E455" s="129">
        <v>3</v>
      </c>
      <c r="F455" s="129">
        <v>0</v>
      </c>
      <c r="G455" s="129">
        <v>350</v>
      </c>
      <c r="H455" s="129">
        <v>13</v>
      </c>
      <c r="I455" s="129">
        <v>0</v>
      </c>
      <c r="J455" s="129">
        <v>0</v>
      </c>
      <c r="K455" s="129">
        <v>0</v>
      </c>
      <c r="L455" s="129">
        <v>13</v>
      </c>
      <c r="M455" s="129">
        <v>6</v>
      </c>
      <c r="N455" s="129">
        <v>0</v>
      </c>
      <c r="O455" s="129">
        <v>0</v>
      </c>
      <c r="P455" s="129">
        <v>0</v>
      </c>
      <c r="Q455" s="129">
        <v>6</v>
      </c>
      <c r="R455" s="129">
        <v>3</v>
      </c>
      <c r="S455" s="129">
        <v>0</v>
      </c>
      <c r="T455" s="129">
        <v>0</v>
      </c>
      <c r="U455" s="129">
        <v>0</v>
      </c>
      <c r="V455" s="129">
        <v>3</v>
      </c>
      <c r="W455" s="129">
        <v>39</v>
      </c>
      <c r="X455" s="129">
        <v>3</v>
      </c>
      <c r="Y455" s="129">
        <v>0</v>
      </c>
      <c r="Z455" s="129">
        <v>0</v>
      </c>
      <c r="AA455" s="129">
        <v>42</v>
      </c>
      <c r="AB455" s="129">
        <v>4</v>
      </c>
      <c r="AC455" s="129">
        <v>0</v>
      </c>
      <c r="AD455" s="129">
        <v>0</v>
      </c>
      <c r="AE455" s="129">
        <v>0</v>
      </c>
      <c r="AF455" s="129">
        <v>4</v>
      </c>
      <c r="AG455" s="129">
        <v>0</v>
      </c>
      <c r="AH455" s="129">
        <v>0</v>
      </c>
      <c r="AI455" s="126">
        <v>0</v>
      </c>
      <c r="AJ455" s="131">
        <v>418</v>
      </c>
    </row>
    <row r="456" spans="1:36" x14ac:dyDescent="0.35">
      <c r="A456" s="127" t="s">
        <v>1066</v>
      </c>
      <c r="B456" s="127" t="s">
        <v>1067</v>
      </c>
      <c r="C456" s="129">
        <v>97</v>
      </c>
      <c r="D456" s="129">
        <v>8</v>
      </c>
      <c r="E456" s="129">
        <v>0</v>
      </c>
      <c r="F456" s="129">
        <v>0</v>
      </c>
      <c r="G456" s="129">
        <v>105</v>
      </c>
      <c r="H456" s="129">
        <v>1</v>
      </c>
      <c r="I456" s="129">
        <v>0</v>
      </c>
      <c r="J456" s="129">
        <v>0</v>
      </c>
      <c r="K456" s="129">
        <v>0</v>
      </c>
      <c r="L456" s="129">
        <v>1</v>
      </c>
      <c r="M456" s="129">
        <v>1</v>
      </c>
      <c r="N456" s="129">
        <v>0</v>
      </c>
      <c r="O456" s="129">
        <v>0</v>
      </c>
      <c r="P456" s="129">
        <v>0</v>
      </c>
      <c r="Q456" s="129">
        <v>1</v>
      </c>
      <c r="R456" s="129">
        <v>2</v>
      </c>
      <c r="S456" s="129">
        <v>0</v>
      </c>
      <c r="T456" s="129">
        <v>0</v>
      </c>
      <c r="U456" s="129">
        <v>0</v>
      </c>
      <c r="V456" s="129">
        <v>2</v>
      </c>
      <c r="W456" s="129">
        <v>7</v>
      </c>
      <c r="X456" s="129">
        <v>0</v>
      </c>
      <c r="Y456" s="129">
        <v>0</v>
      </c>
      <c r="Z456" s="129">
        <v>0</v>
      </c>
      <c r="AA456" s="129">
        <v>7</v>
      </c>
      <c r="AB456" s="129">
        <v>2</v>
      </c>
      <c r="AC456" s="129">
        <v>0</v>
      </c>
      <c r="AD456" s="129">
        <v>0</v>
      </c>
      <c r="AE456" s="129">
        <v>0</v>
      </c>
      <c r="AF456" s="129">
        <v>2</v>
      </c>
      <c r="AG456" s="129">
        <v>0</v>
      </c>
      <c r="AH456" s="129">
        <v>0</v>
      </c>
      <c r="AI456" s="126">
        <v>0</v>
      </c>
      <c r="AJ456" s="131">
        <v>118</v>
      </c>
    </row>
    <row r="457" spans="1:36" x14ac:dyDescent="0.35">
      <c r="A457" s="127" t="s">
        <v>1068</v>
      </c>
      <c r="B457" s="127" t="s">
        <v>1069</v>
      </c>
      <c r="C457" s="129">
        <v>48</v>
      </c>
      <c r="D457" s="129">
        <v>13</v>
      </c>
      <c r="E457" s="129">
        <v>6</v>
      </c>
      <c r="F457" s="129">
        <v>8</v>
      </c>
      <c r="G457" s="129">
        <v>75</v>
      </c>
      <c r="H457" s="129">
        <v>2</v>
      </c>
      <c r="I457" s="129">
        <v>0</v>
      </c>
      <c r="J457" s="129">
        <v>0</v>
      </c>
      <c r="K457" s="129">
        <v>0</v>
      </c>
      <c r="L457" s="129">
        <v>2</v>
      </c>
      <c r="M457" s="129">
        <v>0</v>
      </c>
      <c r="N457" s="129">
        <v>0</v>
      </c>
      <c r="O457" s="129">
        <v>0</v>
      </c>
      <c r="P457" s="129">
        <v>0</v>
      </c>
      <c r="Q457" s="129">
        <v>0</v>
      </c>
      <c r="R457" s="129">
        <v>1</v>
      </c>
      <c r="S457" s="129">
        <v>2</v>
      </c>
      <c r="T457" s="129">
        <v>1</v>
      </c>
      <c r="U457" s="129">
        <v>0</v>
      </c>
      <c r="V457" s="129">
        <v>4</v>
      </c>
      <c r="W457" s="129">
        <v>2</v>
      </c>
      <c r="X457" s="129">
        <v>0</v>
      </c>
      <c r="Y457" s="129">
        <v>0</v>
      </c>
      <c r="Z457" s="129">
        <v>1</v>
      </c>
      <c r="AA457" s="129">
        <v>3</v>
      </c>
      <c r="AB457" s="129">
        <v>1</v>
      </c>
      <c r="AC457" s="129">
        <v>0</v>
      </c>
      <c r="AD457" s="129">
        <v>0</v>
      </c>
      <c r="AE457" s="129">
        <v>0</v>
      </c>
      <c r="AF457" s="129">
        <v>1</v>
      </c>
      <c r="AG457" s="129">
        <v>0</v>
      </c>
      <c r="AH457" s="129">
        <v>0</v>
      </c>
      <c r="AI457" s="126">
        <v>0</v>
      </c>
      <c r="AJ457" s="131">
        <v>85</v>
      </c>
    </row>
    <row r="458" spans="1:36" x14ac:dyDescent="0.35">
      <c r="A458" s="127" t="s">
        <v>1070</v>
      </c>
      <c r="B458" s="127" t="s">
        <v>1071</v>
      </c>
      <c r="C458" s="129">
        <v>683</v>
      </c>
      <c r="D458" s="129">
        <v>204</v>
      </c>
      <c r="E458" s="129">
        <v>29</v>
      </c>
      <c r="F458" s="129">
        <v>10</v>
      </c>
      <c r="G458" s="129">
        <v>926</v>
      </c>
      <c r="H458" s="129">
        <v>16</v>
      </c>
      <c r="I458" s="129">
        <v>0</v>
      </c>
      <c r="J458" s="129">
        <v>0</v>
      </c>
      <c r="K458" s="129">
        <v>0</v>
      </c>
      <c r="L458" s="129">
        <v>16</v>
      </c>
      <c r="M458" s="129">
        <v>5</v>
      </c>
      <c r="N458" s="129">
        <v>0</v>
      </c>
      <c r="O458" s="129">
        <v>0</v>
      </c>
      <c r="P458" s="129">
        <v>0</v>
      </c>
      <c r="Q458" s="129">
        <v>5</v>
      </c>
      <c r="R458" s="129">
        <v>14</v>
      </c>
      <c r="S458" s="129">
        <v>0</v>
      </c>
      <c r="T458" s="129">
        <v>0</v>
      </c>
      <c r="U458" s="129">
        <v>0</v>
      </c>
      <c r="V458" s="129">
        <v>14</v>
      </c>
      <c r="W458" s="129">
        <v>26</v>
      </c>
      <c r="X458" s="129">
        <v>7</v>
      </c>
      <c r="Y458" s="129">
        <v>0</v>
      </c>
      <c r="Z458" s="129">
        <v>0</v>
      </c>
      <c r="AA458" s="129">
        <v>33</v>
      </c>
      <c r="AB458" s="129">
        <v>1</v>
      </c>
      <c r="AC458" s="129">
        <v>0</v>
      </c>
      <c r="AD458" s="129">
        <v>0</v>
      </c>
      <c r="AE458" s="129">
        <v>0</v>
      </c>
      <c r="AF458" s="129">
        <v>1</v>
      </c>
      <c r="AG458" s="129">
        <v>0</v>
      </c>
      <c r="AH458" s="129">
        <v>0</v>
      </c>
      <c r="AI458" s="126">
        <v>0</v>
      </c>
      <c r="AJ458" s="131">
        <v>995</v>
      </c>
    </row>
    <row r="459" spans="1:36" x14ac:dyDescent="0.35">
      <c r="A459" s="127" t="s">
        <v>1072</v>
      </c>
      <c r="B459" s="127" t="s">
        <v>1073</v>
      </c>
      <c r="C459" s="129">
        <v>365</v>
      </c>
      <c r="D459" s="129">
        <v>36</v>
      </c>
      <c r="E459" s="129">
        <v>4</v>
      </c>
      <c r="F459" s="129">
        <v>0</v>
      </c>
      <c r="G459" s="129">
        <v>405</v>
      </c>
      <c r="H459" s="129">
        <v>13</v>
      </c>
      <c r="I459" s="129">
        <v>0</v>
      </c>
      <c r="J459" s="129">
        <v>0</v>
      </c>
      <c r="K459" s="129">
        <v>0</v>
      </c>
      <c r="L459" s="129">
        <v>13</v>
      </c>
      <c r="M459" s="129">
        <v>10</v>
      </c>
      <c r="N459" s="129">
        <v>0</v>
      </c>
      <c r="O459" s="129">
        <v>0</v>
      </c>
      <c r="P459" s="129">
        <v>0</v>
      </c>
      <c r="Q459" s="129">
        <v>10</v>
      </c>
      <c r="R459" s="129">
        <v>6</v>
      </c>
      <c r="S459" s="129">
        <v>0</v>
      </c>
      <c r="T459" s="129">
        <v>0</v>
      </c>
      <c r="U459" s="129">
        <v>0</v>
      </c>
      <c r="V459" s="129">
        <v>6</v>
      </c>
      <c r="W459" s="129">
        <v>68</v>
      </c>
      <c r="X459" s="129">
        <v>0</v>
      </c>
      <c r="Y459" s="129">
        <v>0</v>
      </c>
      <c r="Z459" s="129">
        <v>0</v>
      </c>
      <c r="AA459" s="129">
        <v>68</v>
      </c>
      <c r="AB459" s="129">
        <v>9</v>
      </c>
      <c r="AC459" s="129">
        <v>0</v>
      </c>
      <c r="AD459" s="129">
        <v>0</v>
      </c>
      <c r="AE459" s="129">
        <v>0</v>
      </c>
      <c r="AF459" s="129">
        <v>9</v>
      </c>
      <c r="AG459" s="129">
        <v>0</v>
      </c>
      <c r="AH459" s="129">
        <v>0</v>
      </c>
      <c r="AI459" s="126">
        <v>0</v>
      </c>
      <c r="AJ459" s="131">
        <v>511</v>
      </c>
    </row>
    <row r="460" spans="1:36" x14ac:dyDescent="0.35">
      <c r="A460" s="127" t="s">
        <v>1074</v>
      </c>
      <c r="B460" s="127" t="s">
        <v>1075</v>
      </c>
      <c r="C460" s="129">
        <v>108</v>
      </c>
      <c r="D460" s="129">
        <v>50</v>
      </c>
      <c r="E460" s="129">
        <v>19</v>
      </c>
      <c r="F460" s="129">
        <v>2</v>
      </c>
      <c r="G460" s="129">
        <v>179</v>
      </c>
      <c r="H460" s="129">
        <v>3</v>
      </c>
      <c r="I460" s="129">
        <v>0</v>
      </c>
      <c r="J460" s="129">
        <v>0</v>
      </c>
      <c r="K460" s="129">
        <v>0</v>
      </c>
      <c r="L460" s="129">
        <v>3</v>
      </c>
      <c r="M460" s="129">
        <v>9</v>
      </c>
      <c r="N460" s="129">
        <v>0</v>
      </c>
      <c r="O460" s="129">
        <v>0</v>
      </c>
      <c r="P460" s="129">
        <v>0</v>
      </c>
      <c r="Q460" s="129">
        <v>9</v>
      </c>
      <c r="R460" s="129">
        <v>3</v>
      </c>
      <c r="S460" s="129">
        <v>0</v>
      </c>
      <c r="T460" s="129">
        <v>0</v>
      </c>
      <c r="U460" s="129">
        <v>0</v>
      </c>
      <c r="V460" s="129">
        <v>3</v>
      </c>
      <c r="W460" s="129">
        <v>17</v>
      </c>
      <c r="X460" s="129">
        <v>0</v>
      </c>
      <c r="Y460" s="129">
        <v>0</v>
      </c>
      <c r="Z460" s="129">
        <v>0</v>
      </c>
      <c r="AA460" s="129">
        <v>17</v>
      </c>
      <c r="AB460" s="129">
        <v>1</v>
      </c>
      <c r="AC460" s="129">
        <v>0</v>
      </c>
      <c r="AD460" s="129">
        <v>0</v>
      </c>
      <c r="AE460" s="129">
        <v>0</v>
      </c>
      <c r="AF460" s="129">
        <v>1</v>
      </c>
      <c r="AG460" s="129">
        <v>0</v>
      </c>
      <c r="AH460" s="129">
        <v>0</v>
      </c>
      <c r="AI460" s="126">
        <v>0</v>
      </c>
      <c r="AJ460" s="131">
        <v>212</v>
      </c>
    </row>
    <row r="461" spans="1:36" x14ac:dyDescent="0.35">
      <c r="A461" s="127" t="s">
        <v>1076</v>
      </c>
      <c r="B461" s="127" t="s">
        <v>1077</v>
      </c>
      <c r="C461" s="129">
        <v>343</v>
      </c>
      <c r="D461" s="129">
        <v>20</v>
      </c>
      <c r="E461" s="129">
        <v>1</v>
      </c>
      <c r="F461" s="129">
        <v>1</v>
      </c>
      <c r="G461" s="129">
        <v>365</v>
      </c>
      <c r="H461" s="129">
        <v>8</v>
      </c>
      <c r="I461" s="129">
        <v>0</v>
      </c>
      <c r="J461" s="129">
        <v>0</v>
      </c>
      <c r="K461" s="129">
        <v>0</v>
      </c>
      <c r="L461" s="129">
        <v>8</v>
      </c>
      <c r="M461" s="129">
        <v>6</v>
      </c>
      <c r="N461" s="129">
        <v>0</v>
      </c>
      <c r="O461" s="129">
        <v>0</v>
      </c>
      <c r="P461" s="129">
        <v>0</v>
      </c>
      <c r="Q461" s="129">
        <v>6</v>
      </c>
      <c r="R461" s="129">
        <v>4</v>
      </c>
      <c r="S461" s="129">
        <v>0</v>
      </c>
      <c r="T461" s="129">
        <v>0</v>
      </c>
      <c r="U461" s="129">
        <v>0</v>
      </c>
      <c r="V461" s="129">
        <v>4</v>
      </c>
      <c r="W461" s="129">
        <v>37</v>
      </c>
      <c r="X461" s="129">
        <v>2</v>
      </c>
      <c r="Y461" s="129">
        <v>0</v>
      </c>
      <c r="Z461" s="129">
        <v>0</v>
      </c>
      <c r="AA461" s="129">
        <v>39</v>
      </c>
      <c r="AB461" s="129">
        <v>3</v>
      </c>
      <c r="AC461" s="129">
        <v>0</v>
      </c>
      <c r="AD461" s="129">
        <v>0</v>
      </c>
      <c r="AE461" s="129">
        <v>0</v>
      </c>
      <c r="AF461" s="129">
        <v>3</v>
      </c>
      <c r="AG461" s="129">
        <v>0</v>
      </c>
      <c r="AH461" s="129">
        <v>0</v>
      </c>
      <c r="AI461" s="126">
        <v>0</v>
      </c>
      <c r="AJ461" s="131">
        <v>425</v>
      </c>
    </row>
    <row r="462" spans="1:36" x14ac:dyDescent="0.35">
      <c r="A462" s="127" t="s">
        <v>1078</v>
      </c>
      <c r="B462" s="127" t="s">
        <v>1079</v>
      </c>
      <c r="C462" s="129">
        <v>289</v>
      </c>
      <c r="D462" s="129">
        <v>59</v>
      </c>
      <c r="E462" s="129">
        <v>9</v>
      </c>
      <c r="F462" s="129">
        <v>4</v>
      </c>
      <c r="G462" s="129">
        <v>361</v>
      </c>
      <c r="H462" s="129">
        <v>6</v>
      </c>
      <c r="I462" s="129">
        <v>0</v>
      </c>
      <c r="J462" s="129">
        <v>0</v>
      </c>
      <c r="K462" s="129">
        <v>0</v>
      </c>
      <c r="L462" s="129">
        <v>6</v>
      </c>
      <c r="M462" s="129">
        <v>4</v>
      </c>
      <c r="N462" s="129">
        <v>0</v>
      </c>
      <c r="O462" s="129">
        <v>0</v>
      </c>
      <c r="P462" s="129">
        <v>0</v>
      </c>
      <c r="Q462" s="129">
        <v>4</v>
      </c>
      <c r="R462" s="129">
        <v>4</v>
      </c>
      <c r="S462" s="129">
        <v>2</v>
      </c>
      <c r="T462" s="129">
        <v>0</v>
      </c>
      <c r="U462" s="129">
        <v>0</v>
      </c>
      <c r="V462" s="129">
        <v>6</v>
      </c>
      <c r="W462" s="129">
        <v>33</v>
      </c>
      <c r="X462" s="129">
        <v>3</v>
      </c>
      <c r="Y462" s="129">
        <v>0</v>
      </c>
      <c r="Z462" s="129">
        <v>0</v>
      </c>
      <c r="AA462" s="129">
        <v>36</v>
      </c>
      <c r="AB462" s="129">
        <v>5</v>
      </c>
      <c r="AC462" s="129">
        <v>0</v>
      </c>
      <c r="AD462" s="129">
        <v>0</v>
      </c>
      <c r="AE462" s="129">
        <v>0</v>
      </c>
      <c r="AF462" s="129">
        <v>5</v>
      </c>
      <c r="AG462" s="129">
        <v>0</v>
      </c>
      <c r="AH462" s="129">
        <v>0</v>
      </c>
      <c r="AI462" s="126">
        <v>0</v>
      </c>
      <c r="AJ462" s="131">
        <v>418</v>
      </c>
    </row>
    <row r="463" spans="1:36" x14ac:dyDescent="0.35">
      <c r="A463" s="127" t="s">
        <v>1080</v>
      </c>
      <c r="B463" s="127" t="s">
        <v>1081</v>
      </c>
      <c r="C463" s="129">
        <v>20</v>
      </c>
      <c r="D463" s="129">
        <v>0</v>
      </c>
      <c r="E463" s="129">
        <v>0</v>
      </c>
      <c r="F463" s="129">
        <v>0</v>
      </c>
      <c r="G463" s="129">
        <v>20</v>
      </c>
      <c r="H463" s="129">
        <v>0</v>
      </c>
      <c r="I463" s="129">
        <v>0</v>
      </c>
      <c r="J463" s="129">
        <v>0</v>
      </c>
      <c r="K463" s="129">
        <v>0</v>
      </c>
      <c r="L463" s="129">
        <v>0</v>
      </c>
      <c r="M463" s="129">
        <v>0</v>
      </c>
      <c r="N463" s="129">
        <v>0</v>
      </c>
      <c r="O463" s="129">
        <v>0</v>
      </c>
      <c r="P463" s="129">
        <v>0</v>
      </c>
      <c r="Q463" s="129">
        <v>0</v>
      </c>
      <c r="R463" s="129">
        <v>0</v>
      </c>
      <c r="S463" s="129">
        <v>0</v>
      </c>
      <c r="T463" s="129">
        <v>0</v>
      </c>
      <c r="U463" s="129">
        <v>0</v>
      </c>
      <c r="V463" s="129">
        <v>0</v>
      </c>
      <c r="W463" s="129">
        <v>2</v>
      </c>
      <c r="X463" s="129">
        <v>0</v>
      </c>
      <c r="Y463" s="129">
        <v>0</v>
      </c>
      <c r="Z463" s="129">
        <v>0</v>
      </c>
      <c r="AA463" s="129">
        <v>2</v>
      </c>
      <c r="AB463" s="129">
        <v>0</v>
      </c>
      <c r="AC463" s="129">
        <v>0</v>
      </c>
      <c r="AD463" s="129">
        <v>0</v>
      </c>
      <c r="AE463" s="129">
        <v>0</v>
      </c>
      <c r="AF463" s="129">
        <v>0</v>
      </c>
      <c r="AG463" s="129">
        <v>0</v>
      </c>
      <c r="AH463" s="129">
        <v>0</v>
      </c>
      <c r="AI463" s="126">
        <v>0</v>
      </c>
      <c r="AJ463" s="131">
        <v>22</v>
      </c>
    </row>
    <row r="464" spans="1:36" x14ac:dyDescent="0.35">
      <c r="A464" s="127" t="s">
        <v>1082</v>
      </c>
      <c r="B464" s="127" t="s">
        <v>1083</v>
      </c>
      <c r="C464" s="129">
        <v>2</v>
      </c>
      <c r="D464" s="129">
        <v>0</v>
      </c>
      <c r="E464" s="129">
        <v>1</v>
      </c>
      <c r="F464" s="129">
        <v>0</v>
      </c>
      <c r="G464" s="129">
        <v>3</v>
      </c>
      <c r="H464" s="129">
        <v>0</v>
      </c>
      <c r="I464" s="129">
        <v>0</v>
      </c>
      <c r="J464" s="129">
        <v>0</v>
      </c>
      <c r="K464" s="129">
        <v>0</v>
      </c>
      <c r="L464" s="129">
        <v>0</v>
      </c>
      <c r="M464" s="129">
        <v>0</v>
      </c>
      <c r="N464" s="129">
        <v>0</v>
      </c>
      <c r="O464" s="129">
        <v>0</v>
      </c>
      <c r="P464" s="129">
        <v>0</v>
      </c>
      <c r="Q464" s="129">
        <v>0</v>
      </c>
      <c r="R464" s="129">
        <v>0</v>
      </c>
      <c r="S464" s="129">
        <v>0</v>
      </c>
      <c r="T464" s="129">
        <v>0</v>
      </c>
      <c r="U464" s="129">
        <v>0</v>
      </c>
      <c r="V464" s="129">
        <v>0</v>
      </c>
      <c r="W464" s="129">
        <v>1</v>
      </c>
      <c r="X464" s="129">
        <v>0</v>
      </c>
      <c r="Y464" s="129">
        <v>0</v>
      </c>
      <c r="Z464" s="129">
        <v>0</v>
      </c>
      <c r="AA464" s="129">
        <v>1</v>
      </c>
      <c r="AB464" s="129">
        <v>0</v>
      </c>
      <c r="AC464" s="129">
        <v>0</v>
      </c>
      <c r="AD464" s="129">
        <v>0</v>
      </c>
      <c r="AE464" s="129">
        <v>0</v>
      </c>
      <c r="AF464" s="129">
        <v>0</v>
      </c>
      <c r="AG464" s="129">
        <v>0</v>
      </c>
      <c r="AH464" s="129">
        <v>0</v>
      </c>
      <c r="AI464" s="126">
        <v>0</v>
      </c>
      <c r="AJ464" s="131">
        <v>4</v>
      </c>
    </row>
    <row r="465" spans="1:36" x14ac:dyDescent="0.35">
      <c r="A465" s="127" t="s">
        <v>1084</v>
      </c>
      <c r="B465" s="127" t="s">
        <v>1085</v>
      </c>
      <c r="C465" s="129">
        <v>96</v>
      </c>
      <c r="D465" s="129">
        <v>3</v>
      </c>
      <c r="E465" s="129">
        <v>0</v>
      </c>
      <c r="F465" s="129">
        <v>0</v>
      </c>
      <c r="G465" s="129">
        <v>99</v>
      </c>
      <c r="H465" s="129">
        <v>0</v>
      </c>
      <c r="I465" s="129">
        <v>0</v>
      </c>
      <c r="J465" s="129">
        <v>0</v>
      </c>
      <c r="K465" s="129">
        <v>0</v>
      </c>
      <c r="L465" s="129">
        <v>0</v>
      </c>
      <c r="M465" s="129">
        <v>0</v>
      </c>
      <c r="N465" s="129">
        <v>0</v>
      </c>
      <c r="O465" s="129">
        <v>0</v>
      </c>
      <c r="P465" s="129">
        <v>0</v>
      </c>
      <c r="Q465" s="129">
        <v>0</v>
      </c>
      <c r="R465" s="129">
        <v>0</v>
      </c>
      <c r="S465" s="129">
        <v>0</v>
      </c>
      <c r="T465" s="129">
        <v>0</v>
      </c>
      <c r="U465" s="129">
        <v>0</v>
      </c>
      <c r="V465" s="129">
        <v>0</v>
      </c>
      <c r="W465" s="129">
        <v>9</v>
      </c>
      <c r="X465" s="129">
        <v>0</v>
      </c>
      <c r="Y465" s="129">
        <v>0</v>
      </c>
      <c r="Z465" s="129">
        <v>0</v>
      </c>
      <c r="AA465" s="129">
        <v>9</v>
      </c>
      <c r="AB465" s="129">
        <v>0</v>
      </c>
      <c r="AC465" s="129">
        <v>0</v>
      </c>
      <c r="AD465" s="129">
        <v>0</v>
      </c>
      <c r="AE465" s="129">
        <v>0</v>
      </c>
      <c r="AF465" s="129">
        <v>0</v>
      </c>
      <c r="AG465" s="129">
        <v>0</v>
      </c>
      <c r="AH465" s="129">
        <v>0</v>
      </c>
      <c r="AI465" s="126">
        <v>0</v>
      </c>
      <c r="AJ465" s="131">
        <v>108</v>
      </c>
    </row>
    <row r="466" spans="1:36" x14ac:dyDescent="0.35">
      <c r="A466" s="127" t="s">
        <v>1086</v>
      </c>
      <c r="B466" s="127" t="s">
        <v>1087</v>
      </c>
      <c r="C466" s="129">
        <v>6</v>
      </c>
      <c r="D466" s="129">
        <v>1</v>
      </c>
      <c r="E466" s="129">
        <v>0</v>
      </c>
      <c r="F466" s="129">
        <v>0</v>
      </c>
      <c r="G466" s="129">
        <v>7</v>
      </c>
      <c r="H466" s="129">
        <v>0</v>
      </c>
      <c r="I466" s="129">
        <v>0</v>
      </c>
      <c r="J466" s="129">
        <v>0</v>
      </c>
      <c r="K466" s="129">
        <v>0</v>
      </c>
      <c r="L466" s="129">
        <v>0</v>
      </c>
      <c r="M466" s="129">
        <v>0</v>
      </c>
      <c r="N466" s="129">
        <v>0</v>
      </c>
      <c r="O466" s="129">
        <v>0</v>
      </c>
      <c r="P466" s="129">
        <v>0</v>
      </c>
      <c r="Q466" s="129">
        <v>0</v>
      </c>
      <c r="R466" s="129">
        <v>0</v>
      </c>
      <c r="S466" s="129">
        <v>0</v>
      </c>
      <c r="T466" s="129">
        <v>0</v>
      </c>
      <c r="U466" s="129">
        <v>0</v>
      </c>
      <c r="V466" s="129">
        <v>0</v>
      </c>
      <c r="W466" s="129">
        <v>2</v>
      </c>
      <c r="X466" s="129">
        <v>0</v>
      </c>
      <c r="Y466" s="129">
        <v>0</v>
      </c>
      <c r="Z466" s="129">
        <v>0</v>
      </c>
      <c r="AA466" s="129">
        <v>2</v>
      </c>
      <c r="AB466" s="129">
        <v>0</v>
      </c>
      <c r="AC466" s="129">
        <v>0</v>
      </c>
      <c r="AD466" s="129">
        <v>0</v>
      </c>
      <c r="AE466" s="129">
        <v>0</v>
      </c>
      <c r="AF466" s="129">
        <v>0</v>
      </c>
      <c r="AG466" s="129">
        <v>0</v>
      </c>
      <c r="AH466" s="129">
        <v>0</v>
      </c>
      <c r="AI466" s="126">
        <v>0</v>
      </c>
      <c r="AJ466" s="131">
        <v>9</v>
      </c>
    </row>
    <row r="467" spans="1:36" x14ac:dyDescent="0.35">
      <c r="A467" s="127" t="s">
        <v>1088</v>
      </c>
      <c r="B467" s="127" t="s">
        <v>1089</v>
      </c>
      <c r="C467" s="129">
        <v>9</v>
      </c>
      <c r="D467" s="129">
        <v>0</v>
      </c>
      <c r="E467" s="129">
        <v>0</v>
      </c>
      <c r="F467" s="129">
        <v>0</v>
      </c>
      <c r="G467" s="129">
        <v>9</v>
      </c>
      <c r="H467" s="129">
        <v>0</v>
      </c>
      <c r="I467" s="129">
        <v>0</v>
      </c>
      <c r="J467" s="129">
        <v>0</v>
      </c>
      <c r="K467" s="129">
        <v>0</v>
      </c>
      <c r="L467" s="129">
        <v>0</v>
      </c>
      <c r="M467" s="129">
        <v>0</v>
      </c>
      <c r="N467" s="129">
        <v>0</v>
      </c>
      <c r="O467" s="129">
        <v>0</v>
      </c>
      <c r="P467" s="129">
        <v>0</v>
      </c>
      <c r="Q467" s="129">
        <v>0</v>
      </c>
      <c r="R467" s="129">
        <v>0</v>
      </c>
      <c r="S467" s="129">
        <v>0</v>
      </c>
      <c r="T467" s="129">
        <v>0</v>
      </c>
      <c r="U467" s="129">
        <v>0</v>
      </c>
      <c r="V467" s="129">
        <v>0</v>
      </c>
      <c r="W467" s="129">
        <v>0</v>
      </c>
      <c r="X467" s="129">
        <v>0</v>
      </c>
      <c r="Y467" s="129">
        <v>0</v>
      </c>
      <c r="Z467" s="129">
        <v>0</v>
      </c>
      <c r="AA467" s="129">
        <v>0</v>
      </c>
      <c r="AB467" s="129">
        <v>0</v>
      </c>
      <c r="AC467" s="129">
        <v>0</v>
      </c>
      <c r="AD467" s="129">
        <v>0</v>
      </c>
      <c r="AE467" s="129">
        <v>0</v>
      </c>
      <c r="AF467" s="129">
        <v>0</v>
      </c>
      <c r="AG467" s="129">
        <v>0</v>
      </c>
      <c r="AH467" s="129">
        <v>0</v>
      </c>
      <c r="AI467" s="126">
        <v>0</v>
      </c>
      <c r="AJ467" s="131">
        <v>9</v>
      </c>
    </row>
    <row r="468" spans="1:36" x14ac:dyDescent="0.35">
      <c r="A468" s="127" t="s">
        <v>1202</v>
      </c>
      <c r="B468" s="127" t="s">
        <v>1273</v>
      </c>
      <c r="C468" s="129">
        <v>5</v>
      </c>
      <c r="D468" s="129">
        <v>0</v>
      </c>
      <c r="E468" s="129">
        <v>0</v>
      </c>
      <c r="F468" s="129">
        <v>0</v>
      </c>
      <c r="G468" s="129">
        <v>5</v>
      </c>
      <c r="H468" s="129">
        <v>0</v>
      </c>
      <c r="I468" s="129">
        <v>0</v>
      </c>
      <c r="J468" s="129">
        <v>0</v>
      </c>
      <c r="K468" s="129">
        <v>0</v>
      </c>
      <c r="L468" s="129">
        <v>0</v>
      </c>
      <c r="M468" s="129">
        <v>0</v>
      </c>
      <c r="N468" s="129">
        <v>0</v>
      </c>
      <c r="O468" s="129">
        <v>0</v>
      </c>
      <c r="P468" s="129">
        <v>0</v>
      </c>
      <c r="Q468" s="129">
        <v>0</v>
      </c>
      <c r="R468" s="129">
        <v>1</v>
      </c>
      <c r="S468" s="129">
        <v>0</v>
      </c>
      <c r="T468" s="129">
        <v>0</v>
      </c>
      <c r="U468" s="129">
        <v>0</v>
      </c>
      <c r="V468" s="129">
        <v>1</v>
      </c>
      <c r="W468" s="129">
        <v>1</v>
      </c>
      <c r="X468" s="129">
        <v>0</v>
      </c>
      <c r="Y468" s="129">
        <v>0</v>
      </c>
      <c r="Z468" s="129">
        <v>0</v>
      </c>
      <c r="AA468" s="129">
        <v>1</v>
      </c>
      <c r="AB468" s="129">
        <v>0</v>
      </c>
      <c r="AC468" s="129">
        <v>0</v>
      </c>
      <c r="AD468" s="129">
        <v>0</v>
      </c>
      <c r="AE468" s="129">
        <v>0</v>
      </c>
      <c r="AF468" s="129">
        <v>0</v>
      </c>
      <c r="AG468" s="129">
        <v>0</v>
      </c>
      <c r="AH468" s="129">
        <v>0</v>
      </c>
      <c r="AI468" s="126">
        <v>0</v>
      </c>
      <c r="AJ468" s="131">
        <v>7</v>
      </c>
    </row>
    <row r="469" spans="1:36" x14ac:dyDescent="0.35">
      <c r="A469" s="127" t="s">
        <v>1203</v>
      </c>
      <c r="B469" s="127" t="s">
        <v>1274</v>
      </c>
      <c r="C469" s="129">
        <v>6</v>
      </c>
      <c r="D469" s="129">
        <v>1</v>
      </c>
      <c r="E469" s="129">
        <v>0</v>
      </c>
      <c r="F469" s="129">
        <v>0</v>
      </c>
      <c r="G469" s="129">
        <v>7</v>
      </c>
      <c r="H469" s="129">
        <v>0</v>
      </c>
      <c r="I469" s="129">
        <v>0</v>
      </c>
      <c r="J469" s="129">
        <v>0</v>
      </c>
      <c r="K469" s="129">
        <v>0</v>
      </c>
      <c r="L469" s="129">
        <v>0</v>
      </c>
      <c r="M469" s="129">
        <v>0</v>
      </c>
      <c r="N469" s="129">
        <v>0</v>
      </c>
      <c r="O469" s="129">
        <v>0</v>
      </c>
      <c r="P469" s="129">
        <v>0</v>
      </c>
      <c r="Q469" s="129">
        <v>0</v>
      </c>
      <c r="R469" s="129">
        <v>0</v>
      </c>
      <c r="S469" s="129">
        <v>0</v>
      </c>
      <c r="T469" s="129">
        <v>0</v>
      </c>
      <c r="U469" s="129">
        <v>0</v>
      </c>
      <c r="V469" s="129">
        <v>0</v>
      </c>
      <c r="W469" s="129">
        <v>1</v>
      </c>
      <c r="X469" s="129">
        <v>0</v>
      </c>
      <c r="Y469" s="129">
        <v>0</v>
      </c>
      <c r="Z469" s="129">
        <v>0</v>
      </c>
      <c r="AA469" s="129">
        <v>1</v>
      </c>
      <c r="AB469" s="129">
        <v>0</v>
      </c>
      <c r="AC469" s="129">
        <v>0</v>
      </c>
      <c r="AD469" s="129">
        <v>0</v>
      </c>
      <c r="AE469" s="129">
        <v>0</v>
      </c>
      <c r="AF469" s="129">
        <v>0</v>
      </c>
      <c r="AG469" s="129">
        <v>0</v>
      </c>
      <c r="AH469" s="129">
        <v>0</v>
      </c>
      <c r="AI469" s="126">
        <v>0</v>
      </c>
      <c r="AJ469" s="131">
        <v>8</v>
      </c>
    </row>
    <row r="470" spans="1:36" x14ac:dyDescent="0.35">
      <c r="A470" s="127" t="s">
        <v>1090</v>
      </c>
      <c r="B470" s="127" t="s">
        <v>1091</v>
      </c>
      <c r="C470" s="129">
        <v>10</v>
      </c>
      <c r="D470" s="129">
        <v>0</v>
      </c>
      <c r="E470" s="129">
        <v>0</v>
      </c>
      <c r="F470" s="129">
        <v>0</v>
      </c>
      <c r="G470" s="129">
        <v>10</v>
      </c>
      <c r="H470" s="129">
        <v>0</v>
      </c>
      <c r="I470" s="129">
        <v>0</v>
      </c>
      <c r="J470" s="129">
        <v>0</v>
      </c>
      <c r="K470" s="129">
        <v>0</v>
      </c>
      <c r="L470" s="129">
        <v>0</v>
      </c>
      <c r="M470" s="129">
        <v>0</v>
      </c>
      <c r="N470" s="129">
        <v>0</v>
      </c>
      <c r="O470" s="129">
        <v>0</v>
      </c>
      <c r="P470" s="129">
        <v>0</v>
      </c>
      <c r="Q470" s="129">
        <v>0</v>
      </c>
      <c r="R470" s="129">
        <v>0</v>
      </c>
      <c r="S470" s="129">
        <v>0</v>
      </c>
      <c r="T470" s="129">
        <v>0</v>
      </c>
      <c r="U470" s="129">
        <v>0</v>
      </c>
      <c r="V470" s="129">
        <v>0</v>
      </c>
      <c r="W470" s="129">
        <v>0</v>
      </c>
      <c r="X470" s="129">
        <v>0</v>
      </c>
      <c r="Y470" s="129">
        <v>0</v>
      </c>
      <c r="Z470" s="129">
        <v>0</v>
      </c>
      <c r="AA470" s="129">
        <v>0</v>
      </c>
      <c r="AB470" s="129">
        <v>0</v>
      </c>
      <c r="AC470" s="129">
        <v>0</v>
      </c>
      <c r="AD470" s="129">
        <v>0</v>
      </c>
      <c r="AE470" s="129">
        <v>0</v>
      </c>
      <c r="AF470" s="129">
        <v>0</v>
      </c>
      <c r="AG470" s="129">
        <v>0</v>
      </c>
      <c r="AH470" s="129">
        <v>0</v>
      </c>
      <c r="AI470" s="126">
        <v>0</v>
      </c>
      <c r="AJ470" s="131">
        <v>10</v>
      </c>
    </row>
    <row r="471" spans="1:36" x14ac:dyDescent="0.35">
      <c r="A471" s="127" t="s">
        <v>1092</v>
      </c>
      <c r="B471" s="127" t="s">
        <v>1093</v>
      </c>
      <c r="C471" s="129">
        <v>87</v>
      </c>
      <c r="D471" s="129">
        <v>6</v>
      </c>
      <c r="E471" s="129">
        <v>1</v>
      </c>
      <c r="F471" s="129">
        <v>0</v>
      </c>
      <c r="G471" s="129">
        <v>94</v>
      </c>
      <c r="H471" s="129">
        <v>2</v>
      </c>
      <c r="I471" s="129">
        <v>0</v>
      </c>
      <c r="J471" s="129">
        <v>0</v>
      </c>
      <c r="K471" s="129">
        <v>0</v>
      </c>
      <c r="L471" s="129">
        <v>2</v>
      </c>
      <c r="M471" s="129">
        <v>0</v>
      </c>
      <c r="N471" s="129">
        <v>0</v>
      </c>
      <c r="O471" s="129">
        <v>0</v>
      </c>
      <c r="P471" s="129">
        <v>0</v>
      </c>
      <c r="Q471" s="129">
        <v>0</v>
      </c>
      <c r="R471" s="129">
        <v>1</v>
      </c>
      <c r="S471" s="129">
        <v>0</v>
      </c>
      <c r="T471" s="129">
        <v>0</v>
      </c>
      <c r="U471" s="129">
        <v>0</v>
      </c>
      <c r="V471" s="129">
        <v>1</v>
      </c>
      <c r="W471" s="129">
        <v>6</v>
      </c>
      <c r="X471" s="129">
        <v>1</v>
      </c>
      <c r="Y471" s="129">
        <v>0</v>
      </c>
      <c r="Z471" s="129">
        <v>0</v>
      </c>
      <c r="AA471" s="129">
        <v>7</v>
      </c>
      <c r="AB471" s="129">
        <v>1</v>
      </c>
      <c r="AC471" s="129">
        <v>0</v>
      </c>
      <c r="AD471" s="129">
        <v>0</v>
      </c>
      <c r="AE471" s="129">
        <v>0</v>
      </c>
      <c r="AF471" s="129">
        <v>1</v>
      </c>
      <c r="AG471" s="129">
        <v>0</v>
      </c>
      <c r="AH471" s="129">
        <v>0</v>
      </c>
      <c r="AI471" s="126">
        <v>0</v>
      </c>
      <c r="AJ471" s="131">
        <v>105</v>
      </c>
    </row>
    <row r="472" spans="1:36" x14ac:dyDescent="0.35">
      <c r="A472" s="127" t="s">
        <v>1094</v>
      </c>
      <c r="B472" s="127" t="s">
        <v>1095</v>
      </c>
      <c r="C472" s="129">
        <v>6</v>
      </c>
      <c r="D472" s="129">
        <v>1</v>
      </c>
      <c r="E472" s="129">
        <v>0</v>
      </c>
      <c r="F472" s="129">
        <v>0</v>
      </c>
      <c r="G472" s="129">
        <v>7</v>
      </c>
      <c r="H472" s="129">
        <v>1</v>
      </c>
      <c r="I472" s="129">
        <v>0</v>
      </c>
      <c r="J472" s="129">
        <v>0</v>
      </c>
      <c r="K472" s="129">
        <v>0</v>
      </c>
      <c r="L472" s="129">
        <v>1</v>
      </c>
      <c r="M472" s="129">
        <v>0</v>
      </c>
      <c r="N472" s="129">
        <v>0</v>
      </c>
      <c r="O472" s="129">
        <v>0</v>
      </c>
      <c r="P472" s="129">
        <v>0</v>
      </c>
      <c r="Q472" s="129">
        <v>0</v>
      </c>
      <c r="R472" s="129">
        <v>0</v>
      </c>
      <c r="S472" s="129">
        <v>0</v>
      </c>
      <c r="T472" s="129">
        <v>0</v>
      </c>
      <c r="U472" s="129">
        <v>0</v>
      </c>
      <c r="V472" s="129">
        <v>0</v>
      </c>
      <c r="W472" s="129">
        <v>0</v>
      </c>
      <c r="X472" s="129">
        <v>0</v>
      </c>
      <c r="Y472" s="129">
        <v>0</v>
      </c>
      <c r="Z472" s="129">
        <v>0</v>
      </c>
      <c r="AA472" s="129">
        <v>0</v>
      </c>
      <c r="AB472" s="129">
        <v>0</v>
      </c>
      <c r="AC472" s="129">
        <v>0</v>
      </c>
      <c r="AD472" s="129">
        <v>0</v>
      </c>
      <c r="AE472" s="129">
        <v>0</v>
      </c>
      <c r="AF472" s="129">
        <v>0</v>
      </c>
      <c r="AG472" s="129">
        <v>0</v>
      </c>
      <c r="AH472" s="129">
        <v>0</v>
      </c>
      <c r="AI472" s="126">
        <v>0</v>
      </c>
      <c r="AJ472" s="131">
        <v>8</v>
      </c>
    </row>
    <row r="473" spans="1:36" x14ac:dyDescent="0.35">
      <c r="A473" s="127" t="s">
        <v>1096</v>
      </c>
      <c r="B473" s="127" t="s">
        <v>1097</v>
      </c>
      <c r="C473" s="129">
        <v>259</v>
      </c>
      <c r="D473" s="129">
        <v>18</v>
      </c>
      <c r="E473" s="129">
        <v>0</v>
      </c>
      <c r="F473" s="129">
        <v>0</v>
      </c>
      <c r="G473" s="129">
        <v>277</v>
      </c>
      <c r="H473" s="129">
        <v>6</v>
      </c>
      <c r="I473" s="129">
        <v>0</v>
      </c>
      <c r="J473" s="129">
        <v>0</v>
      </c>
      <c r="K473" s="129">
        <v>0</v>
      </c>
      <c r="L473" s="129">
        <v>6</v>
      </c>
      <c r="M473" s="129">
        <v>2</v>
      </c>
      <c r="N473" s="129">
        <v>0</v>
      </c>
      <c r="O473" s="129">
        <v>0</v>
      </c>
      <c r="P473" s="129">
        <v>0</v>
      </c>
      <c r="Q473" s="129">
        <v>2</v>
      </c>
      <c r="R473" s="129">
        <v>1</v>
      </c>
      <c r="S473" s="129">
        <v>0</v>
      </c>
      <c r="T473" s="129">
        <v>0</v>
      </c>
      <c r="U473" s="129">
        <v>0</v>
      </c>
      <c r="V473" s="129">
        <v>1</v>
      </c>
      <c r="W473" s="129">
        <v>24</v>
      </c>
      <c r="X473" s="129">
        <v>0</v>
      </c>
      <c r="Y473" s="129">
        <v>0</v>
      </c>
      <c r="Z473" s="129">
        <v>0</v>
      </c>
      <c r="AA473" s="129">
        <v>24</v>
      </c>
      <c r="AB473" s="129">
        <v>2</v>
      </c>
      <c r="AC473" s="129">
        <v>0</v>
      </c>
      <c r="AD473" s="129">
        <v>0</v>
      </c>
      <c r="AE473" s="129">
        <v>0</v>
      </c>
      <c r="AF473" s="129">
        <v>2</v>
      </c>
      <c r="AG473" s="129">
        <v>0</v>
      </c>
      <c r="AH473" s="129">
        <v>0</v>
      </c>
      <c r="AI473" s="126">
        <v>0</v>
      </c>
      <c r="AJ473" s="131">
        <v>312</v>
      </c>
    </row>
    <row r="474" spans="1:36" x14ac:dyDescent="0.35">
      <c r="A474" s="127" t="s">
        <v>1098</v>
      </c>
      <c r="B474" s="127" t="s">
        <v>1099</v>
      </c>
      <c r="C474" s="129">
        <v>45</v>
      </c>
      <c r="D474" s="129">
        <v>2</v>
      </c>
      <c r="E474" s="129">
        <v>0</v>
      </c>
      <c r="F474" s="129">
        <v>0</v>
      </c>
      <c r="G474" s="129">
        <v>47</v>
      </c>
      <c r="H474" s="129">
        <v>0</v>
      </c>
      <c r="I474" s="129">
        <v>0</v>
      </c>
      <c r="J474" s="129">
        <v>0</v>
      </c>
      <c r="K474" s="129">
        <v>0</v>
      </c>
      <c r="L474" s="129">
        <v>0</v>
      </c>
      <c r="M474" s="129">
        <v>2</v>
      </c>
      <c r="N474" s="129">
        <v>0</v>
      </c>
      <c r="O474" s="129">
        <v>0</v>
      </c>
      <c r="P474" s="129">
        <v>0</v>
      </c>
      <c r="Q474" s="129">
        <v>2</v>
      </c>
      <c r="R474" s="129">
        <v>1</v>
      </c>
      <c r="S474" s="129">
        <v>0</v>
      </c>
      <c r="T474" s="129">
        <v>0</v>
      </c>
      <c r="U474" s="129">
        <v>0</v>
      </c>
      <c r="V474" s="129">
        <v>1</v>
      </c>
      <c r="W474" s="129">
        <v>7</v>
      </c>
      <c r="X474" s="129">
        <v>0</v>
      </c>
      <c r="Y474" s="129">
        <v>0</v>
      </c>
      <c r="Z474" s="129">
        <v>0</v>
      </c>
      <c r="AA474" s="129">
        <v>7</v>
      </c>
      <c r="AB474" s="129">
        <v>0</v>
      </c>
      <c r="AC474" s="129">
        <v>0</v>
      </c>
      <c r="AD474" s="129">
        <v>0</v>
      </c>
      <c r="AE474" s="129">
        <v>0</v>
      </c>
      <c r="AF474" s="129">
        <v>0</v>
      </c>
      <c r="AG474" s="129">
        <v>0</v>
      </c>
      <c r="AH474" s="129">
        <v>0</v>
      </c>
      <c r="AI474" s="126">
        <v>0</v>
      </c>
      <c r="AJ474" s="131">
        <v>57</v>
      </c>
    </row>
    <row r="475" spans="1:36" x14ac:dyDescent="0.35">
      <c r="A475" s="127" t="s">
        <v>1100</v>
      </c>
      <c r="B475" s="127" t="s">
        <v>1101</v>
      </c>
      <c r="C475" s="129">
        <v>18</v>
      </c>
      <c r="D475" s="129">
        <v>2</v>
      </c>
      <c r="E475" s="129">
        <v>1</v>
      </c>
      <c r="F475" s="129">
        <v>0</v>
      </c>
      <c r="G475" s="129">
        <v>21</v>
      </c>
      <c r="H475" s="129">
        <v>0</v>
      </c>
      <c r="I475" s="129">
        <v>0</v>
      </c>
      <c r="J475" s="129">
        <v>0</v>
      </c>
      <c r="K475" s="129">
        <v>0</v>
      </c>
      <c r="L475" s="129">
        <v>0</v>
      </c>
      <c r="M475" s="129">
        <v>0</v>
      </c>
      <c r="N475" s="129">
        <v>0</v>
      </c>
      <c r="O475" s="129">
        <v>0</v>
      </c>
      <c r="P475" s="129">
        <v>0</v>
      </c>
      <c r="Q475" s="129">
        <v>0</v>
      </c>
      <c r="R475" s="129">
        <v>0</v>
      </c>
      <c r="S475" s="129">
        <v>0</v>
      </c>
      <c r="T475" s="129">
        <v>0</v>
      </c>
      <c r="U475" s="129">
        <v>0</v>
      </c>
      <c r="V475" s="129">
        <v>0</v>
      </c>
      <c r="W475" s="129">
        <v>2</v>
      </c>
      <c r="X475" s="129">
        <v>0</v>
      </c>
      <c r="Y475" s="129">
        <v>0</v>
      </c>
      <c r="Z475" s="129">
        <v>0</v>
      </c>
      <c r="AA475" s="129">
        <v>2</v>
      </c>
      <c r="AB475" s="129">
        <v>0</v>
      </c>
      <c r="AC475" s="129">
        <v>0</v>
      </c>
      <c r="AD475" s="129">
        <v>0</v>
      </c>
      <c r="AE475" s="129">
        <v>0</v>
      </c>
      <c r="AF475" s="129">
        <v>0</v>
      </c>
      <c r="AG475" s="129">
        <v>0</v>
      </c>
      <c r="AH475" s="129">
        <v>0</v>
      </c>
      <c r="AI475" s="126">
        <v>0</v>
      </c>
      <c r="AJ475" s="131">
        <v>23</v>
      </c>
    </row>
    <row r="476" spans="1:36" x14ac:dyDescent="0.35">
      <c r="A476" s="127" t="s">
        <v>1102</v>
      </c>
      <c r="B476" s="127" t="s">
        <v>1103</v>
      </c>
      <c r="C476" s="129">
        <v>310</v>
      </c>
      <c r="D476" s="129">
        <v>35</v>
      </c>
      <c r="E476" s="129">
        <v>8</v>
      </c>
      <c r="F476" s="129">
        <v>1</v>
      </c>
      <c r="G476" s="129">
        <v>354</v>
      </c>
      <c r="H476" s="129">
        <v>1</v>
      </c>
      <c r="I476" s="129">
        <v>0</v>
      </c>
      <c r="J476" s="129">
        <v>0</v>
      </c>
      <c r="K476" s="129">
        <v>0</v>
      </c>
      <c r="L476" s="129">
        <v>1</v>
      </c>
      <c r="M476" s="129">
        <v>4</v>
      </c>
      <c r="N476" s="129">
        <v>0</v>
      </c>
      <c r="O476" s="129">
        <v>0</v>
      </c>
      <c r="P476" s="129">
        <v>0</v>
      </c>
      <c r="Q476" s="129">
        <v>4</v>
      </c>
      <c r="R476" s="129">
        <v>5</v>
      </c>
      <c r="S476" s="129">
        <v>0</v>
      </c>
      <c r="T476" s="129">
        <v>0</v>
      </c>
      <c r="U476" s="129">
        <v>0</v>
      </c>
      <c r="V476" s="129">
        <v>5</v>
      </c>
      <c r="W476" s="129">
        <v>34</v>
      </c>
      <c r="X476" s="129">
        <v>2</v>
      </c>
      <c r="Y476" s="129">
        <v>0</v>
      </c>
      <c r="Z476" s="129">
        <v>0</v>
      </c>
      <c r="AA476" s="129">
        <v>36</v>
      </c>
      <c r="AB476" s="129">
        <v>2</v>
      </c>
      <c r="AC476" s="129">
        <v>0</v>
      </c>
      <c r="AD476" s="129">
        <v>0</v>
      </c>
      <c r="AE476" s="129">
        <v>0</v>
      </c>
      <c r="AF476" s="129">
        <v>2</v>
      </c>
      <c r="AG476" s="129">
        <v>0</v>
      </c>
      <c r="AH476" s="129">
        <v>0</v>
      </c>
      <c r="AI476" s="126">
        <v>0</v>
      </c>
      <c r="AJ476" s="131">
        <v>402</v>
      </c>
    </row>
    <row r="477" spans="1:36" x14ac:dyDescent="0.35">
      <c r="A477" s="127" t="s">
        <v>1104</v>
      </c>
      <c r="B477" s="127" t="s">
        <v>1275</v>
      </c>
      <c r="C477" s="129">
        <v>49</v>
      </c>
      <c r="D477" s="129">
        <v>6</v>
      </c>
      <c r="E477" s="129">
        <v>1</v>
      </c>
      <c r="F477" s="129">
        <v>0</v>
      </c>
      <c r="G477" s="129">
        <v>56</v>
      </c>
      <c r="H477" s="129">
        <v>1</v>
      </c>
      <c r="I477" s="129">
        <v>0</v>
      </c>
      <c r="J477" s="129">
        <v>0</v>
      </c>
      <c r="K477" s="129">
        <v>0</v>
      </c>
      <c r="L477" s="129">
        <v>1</v>
      </c>
      <c r="M477" s="129">
        <v>1</v>
      </c>
      <c r="N477" s="129">
        <v>0</v>
      </c>
      <c r="O477" s="129">
        <v>0</v>
      </c>
      <c r="P477" s="129">
        <v>0</v>
      </c>
      <c r="Q477" s="129">
        <v>1</v>
      </c>
      <c r="R477" s="129">
        <v>0</v>
      </c>
      <c r="S477" s="129">
        <v>0</v>
      </c>
      <c r="T477" s="129">
        <v>0</v>
      </c>
      <c r="U477" s="129">
        <v>0</v>
      </c>
      <c r="V477" s="129">
        <v>0</v>
      </c>
      <c r="W477" s="129">
        <v>9</v>
      </c>
      <c r="X477" s="129">
        <v>0</v>
      </c>
      <c r="Y477" s="129">
        <v>0</v>
      </c>
      <c r="Z477" s="129">
        <v>0</v>
      </c>
      <c r="AA477" s="129">
        <v>9</v>
      </c>
      <c r="AB477" s="129">
        <v>0</v>
      </c>
      <c r="AC477" s="129">
        <v>0</v>
      </c>
      <c r="AD477" s="129">
        <v>0</v>
      </c>
      <c r="AE477" s="129">
        <v>0</v>
      </c>
      <c r="AF477" s="129">
        <v>0</v>
      </c>
      <c r="AG477" s="129">
        <v>0</v>
      </c>
      <c r="AH477" s="129">
        <v>0</v>
      </c>
      <c r="AI477" s="126">
        <v>0</v>
      </c>
      <c r="AJ477" s="131">
        <v>67</v>
      </c>
    </row>
    <row r="478" spans="1:36" x14ac:dyDescent="0.35">
      <c r="A478" s="127" t="s">
        <v>1105</v>
      </c>
      <c r="B478" s="127" t="s">
        <v>1106</v>
      </c>
      <c r="C478" s="129">
        <v>8</v>
      </c>
      <c r="D478" s="129">
        <v>1</v>
      </c>
      <c r="E478" s="129">
        <v>0</v>
      </c>
      <c r="F478" s="129">
        <v>0</v>
      </c>
      <c r="G478" s="129">
        <v>9</v>
      </c>
      <c r="H478" s="129">
        <v>0</v>
      </c>
      <c r="I478" s="129">
        <v>0</v>
      </c>
      <c r="J478" s="129">
        <v>0</v>
      </c>
      <c r="K478" s="129">
        <v>0</v>
      </c>
      <c r="L478" s="129">
        <v>0</v>
      </c>
      <c r="M478" s="129">
        <v>1</v>
      </c>
      <c r="N478" s="129">
        <v>0</v>
      </c>
      <c r="O478" s="129">
        <v>0</v>
      </c>
      <c r="P478" s="129">
        <v>0</v>
      </c>
      <c r="Q478" s="129">
        <v>1</v>
      </c>
      <c r="R478" s="129">
        <v>0</v>
      </c>
      <c r="S478" s="129">
        <v>0</v>
      </c>
      <c r="T478" s="129">
        <v>0</v>
      </c>
      <c r="U478" s="129">
        <v>0</v>
      </c>
      <c r="V478" s="129">
        <v>0</v>
      </c>
      <c r="W478" s="129">
        <v>2</v>
      </c>
      <c r="X478" s="129">
        <v>0</v>
      </c>
      <c r="Y478" s="129">
        <v>0</v>
      </c>
      <c r="Z478" s="129">
        <v>0</v>
      </c>
      <c r="AA478" s="129">
        <v>2</v>
      </c>
      <c r="AB478" s="129">
        <v>0</v>
      </c>
      <c r="AC478" s="129">
        <v>0</v>
      </c>
      <c r="AD478" s="129">
        <v>0</v>
      </c>
      <c r="AE478" s="129">
        <v>0</v>
      </c>
      <c r="AF478" s="129">
        <v>0</v>
      </c>
      <c r="AG478" s="129">
        <v>0</v>
      </c>
      <c r="AH478" s="129">
        <v>0</v>
      </c>
      <c r="AI478" s="126">
        <v>0</v>
      </c>
      <c r="AJ478" s="131">
        <v>12</v>
      </c>
    </row>
    <row r="479" spans="1:36" x14ac:dyDescent="0.35">
      <c r="A479" s="127" t="s">
        <v>1107</v>
      </c>
      <c r="B479" s="127" t="s">
        <v>1108</v>
      </c>
      <c r="C479" s="129">
        <v>5</v>
      </c>
      <c r="D479" s="129">
        <v>0</v>
      </c>
      <c r="E479" s="129">
        <v>0</v>
      </c>
      <c r="F479" s="129">
        <v>0</v>
      </c>
      <c r="G479" s="129">
        <v>5</v>
      </c>
      <c r="H479" s="129">
        <v>0</v>
      </c>
      <c r="I479" s="129">
        <v>0</v>
      </c>
      <c r="J479" s="129">
        <v>0</v>
      </c>
      <c r="K479" s="129">
        <v>0</v>
      </c>
      <c r="L479" s="129">
        <v>0</v>
      </c>
      <c r="M479" s="129">
        <v>0</v>
      </c>
      <c r="N479" s="129">
        <v>0</v>
      </c>
      <c r="O479" s="129">
        <v>0</v>
      </c>
      <c r="P479" s="129">
        <v>0</v>
      </c>
      <c r="Q479" s="129">
        <v>0</v>
      </c>
      <c r="R479" s="129">
        <v>0</v>
      </c>
      <c r="S479" s="129">
        <v>0</v>
      </c>
      <c r="T479" s="129">
        <v>0</v>
      </c>
      <c r="U479" s="129">
        <v>0</v>
      </c>
      <c r="V479" s="129">
        <v>0</v>
      </c>
      <c r="W479" s="129">
        <v>0</v>
      </c>
      <c r="X479" s="129">
        <v>0</v>
      </c>
      <c r="Y479" s="129">
        <v>0</v>
      </c>
      <c r="Z479" s="129">
        <v>0</v>
      </c>
      <c r="AA479" s="129">
        <v>0</v>
      </c>
      <c r="AB479" s="129">
        <v>0</v>
      </c>
      <c r="AC479" s="129">
        <v>0</v>
      </c>
      <c r="AD479" s="129">
        <v>0</v>
      </c>
      <c r="AE479" s="129">
        <v>0</v>
      </c>
      <c r="AF479" s="129">
        <v>0</v>
      </c>
      <c r="AG479" s="129">
        <v>0</v>
      </c>
      <c r="AH479" s="129">
        <v>0</v>
      </c>
      <c r="AI479" s="126">
        <v>0</v>
      </c>
      <c r="AJ479" s="131">
        <v>5</v>
      </c>
    </row>
    <row r="480" spans="1:36" x14ac:dyDescent="0.35">
      <c r="A480" s="127" t="s">
        <v>1109</v>
      </c>
      <c r="B480" s="127" t="s">
        <v>1110</v>
      </c>
      <c r="C480" s="129">
        <v>5</v>
      </c>
      <c r="D480" s="129">
        <v>0</v>
      </c>
      <c r="E480" s="129">
        <v>0</v>
      </c>
      <c r="F480" s="129">
        <v>1</v>
      </c>
      <c r="G480" s="129">
        <v>6</v>
      </c>
      <c r="H480" s="129">
        <v>0</v>
      </c>
      <c r="I480" s="129">
        <v>0</v>
      </c>
      <c r="J480" s="129">
        <v>0</v>
      </c>
      <c r="K480" s="129">
        <v>0</v>
      </c>
      <c r="L480" s="129">
        <v>0</v>
      </c>
      <c r="M480" s="129">
        <v>1</v>
      </c>
      <c r="N480" s="129">
        <v>0</v>
      </c>
      <c r="O480" s="129">
        <v>0</v>
      </c>
      <c r="P480" s="129">
        <v>0</v>
      </c>
      <c r="Q480" s="129">
        <v>1</v>
      </c>
      <c r="R480" s="129">
        <v>0</v>
      </c>
      <c r="S480" s="129">
        <v>0</v>
      </c>
      <c r="T480" s="129">
        <v>0</v>
      </c>
      <c r="U480" s="129">
        <v>0</v>
      </c>
      <c r="V480" s="129">
        <v>0</v>
      </c>
      <c r="W480" s="129">
        <v>0</v>
      </c>
      <c r="X480" s="129">
        <v>0</v>
      </c>
      <c r="Y480" s="129">
        <v>0</v>
      </c>
      <c r="Z480" s="129">
        <v>0</v>
      </c>
      <c r="AA480" s="129">
        <v>0</v>
      </c>
      <c r="AB480" s="129">
        <v>0</v>
      </c>
      <c r="AC480" s="129">
        <v>0</v>
      </c>
      <c r="AD480" s="129">
        <v>0</v>
      </c>
      <c r="AE480" s="129">
        <v>0</v>
      </c>
      <c r="AF480" s="129">
        <v>0</v>
      </c>
      <c r="AG480" s="129">
        <v>0</v>
      </c>
      <c r="AH480" s="129">
        <v>0</v>
      </c>
      <c r="AI480" s="126">
        <v>0</v>
      </c>
      <c r="AJ480" s="131">
        <v>7</v>
      </c>
    </row>
    <row r="481" spans="1:36" x14ac:dyDescent="0.35">
      <c r="A481" s="127" t="s">
        <v>1111</v>
      </c>
      <c r="B481" s="127" t="s">
        <v>245</v>
      </c>
      <c r="C481" s="129">
        <v>431</v>
      </c>
      <c r="D481" s="129">
        <v>45</v>
      </c>
      <c r="E481" s="129">
        <v>13</v>
      </c>
      <c r="F481" s="129">
        <v>2</v>
      </c>
      <c r="G481" s="129">
        <v>491</v>
      </c>
      <c r="H481" s="129">
        <v>77</v>
      </c>
      <c r="I481" s="129">
        <v>0</v>
      </c>
      <c r="J481" s="129">
        <v>0</v>
      </c>
      <c r="K481" s="129">
        <v>0</v>
      </c>
      <c r="L481" s="129">
        <v>77</v>
      </c>
      <c r="M481" s="129">
        <v>60</v>
      </c>
      <c r="N481" s="129">
        <v>0</v>
      </c>
      <c r="O481" s="129">
        <v>0</v>
      </c>
      <c r="P481" s="129">
        <v>0</v>
      </c>
      <c r="Q481" s="129">
        <v>60</v>
      </c>
      <c r="R481" s="129">
        <v>17</v>
      </c>
      <c r="S481" s="129">
        <v>0</v>
      </c>
      <c r="T481" s="129">
        <v>0</v>
      </c>
      <c r="U481" s="129">
        <v>0</v>
      </c>
      <c r="V481" s="129">
        <v>17</v>
      </c>
      <c r="W481" s="129">
        <v>111</v>
      </c>
      <c r="X481" s="129">
        <v>9</v>
      </c>
      <c r="Y481" s="129">
        <v>0</v>
      </c>
      <c r="Z481" s="129">
        <v>0</v>
      </c>
      <c r="AA481" s="129">
        <v>120</v>
      </c>
      <c r="AB481" s="129">
        <v>51</v>
      </c>
      <c r="AC481" s="129">
        <v>0</v>
      </c>
      <c r="AD481" s="129">
        <v>1</v>
      </c>
      <c r="AE481" s="129">
        <v>0</v>
      </c>
      <c r="AF481" s="129">
        <v>52</v>
      </c>
      <c r="AG481" s="129">
        <v>0</v>
      </c>
      <c r="AH481" s="129">
        <v>0</v>
      </c>
      <c r="AI481" s="126">
        <v>0</v>
      </c>
      <c r="AJ481" s="131">
        <v>817</v>
      </c>
    </row>
    <row r="482" spans="1:36" x14ac:dyDescent="0.35">
      <c r="A482" s="127" t="s">
        <v>1112</v>
      </c>
      <c r="B482" s="127" t="s">
        <v>1113</v>
      </c>
      <c r="C482" s="129">
        <v>144</v>
      </c>
      <c r="D482" s="129">
        <v>6</v>
      </c>
      <c r="E482" s="129">
        <v>0</v>
      </c>
      <c r="F482" s="129">
        <v>1</v>
      </c>
      <c r="G482" s="129">
        <v>151</v>
      </c>
      <c r="H482" s="129">
        <v>9</v>
      </c>
      <c r="I482" s="129">
        <v>0</v>
      </c>
      <c r="J482" s="129">
        <v>0</v>
      </c>
      <c r="K482" s="129">
        <v>0</v>
      </c>
      <c r="L482" s="129">
        <v>9</v>
      </c>
      <c r="M482" s="129">
        <v>8</v>
      </c>
      <c r="N482" s="129">
        <v>0</v>
      </c>
      <c r="O482" s="129">
        <v>0</v>
      </c>
      <c r="P482" s="129">
        <v>0</v>
      </c>
      <c r="Q482" s="129">
        <v>8</v>
      </c>
      <c r="R482" s="129">
        <v>9</v>
      </c>
      <c r="S482" s="129">
        <v>0</v>
      </c>
      <c r="T482" s="129">
        <v>0</v>
      </c>
      <c r="U482" s="129">
        <v>0</v>
      </c>
      <c r="V482" s="129">
        <v>9</v>
      </c>
      <c r="W482" s="129">
        <v>42</v>
      </c>
      <c r="X482" s="129">
        <v>0</v>
      </c>
      <c r="Y482" s="129">
        <v>0</v>
      </c>
      <c r="Z482" s="129">
        <v>0</v>
      </c>
      <c r="AA482" s="129">
        <v>42</v>
      </c>
      <c r="AB482" s="129">
        <v>5</v>
      </c>
      <c r="AC482" s="129">
        <v>0</v>
      </c>
      <c r="AD482" s="129">
        <v>0</v>
      </c>
      <c r="AE482" s="129">
        <v>0</v>
      </c>
      <c r="AF482" s="129">
        <v>5</v>
      </c>
      <c r="AG482" s="129">
        <v>0</v>
      </c>
      <c r="AH482" s="129">
        <v>0</v>
      </c>
      <c r="AI482" s="126">
        <v>0</v>
      </c>
      <c r="AJ482" s="131">
        <v>224</v>
      </c>
    </row>
    <row r="483" spans="1:36" x14ac:dyDescent="0.35">
      <c r="A483" s="127" t="s">
        <v>1114</v>
      </c>
      <c r="B483" s="127" t="s">
        <v>1115</v>
      </c>
      <c r="C483" s="129">
        <v>22</v>
      </c>
      <c r="D483" s="129">
        <v>1</v>
      </c>
      <c r="E483" s="129">
        <v>1</v>
      </c>
      <c r="F483" s="129">
        <v>2</v>
      </c>
      <c r="G483" s="129">
        <v>26</v>
      </c>
      <c r="H483" s="129">
        <v>0</v>
      </c>
      <c r="I483" s="129">
        <v>0</v>
      </c>
      <c r="J483" s="129">
        <v>0</v>
      </c>
      <c r="K483" s="129">
        <v>0</v>
      </c>
      <c r="L483" s="129">
        <v>0</v>
      </c>
      <c r="M483" s="129">
        <v>1</v>
      </c>
      <c r="N483" s="129">
        <v>0</v>
      </c>
      <c r="O483" s="129">
        <v>0</v>
      </c>
      <c r="P483" s="129">
        <v>0</v>
      </c>
      <c r="Q483" s="129">
        <v>1</v>
      </c>
      <c r="R483" s="129">
        <v>2</v>
      </c>
      <c r="S483" s="129">
        <v>0</v>
      </c>
      <c r="T483" s="129">
        <v>0</v>
      </c>
      <c r="U483" s="129">
        <v>0</v>
      </c>
      <c r="V483" s="129">
        <v>2</v>
      </c>
      <c r="W483" s="129">
        <v>5</v>
      </c>
      <c r="X483" s="129">
        <v>0</v>
      </c>
      <c r="Y483" s="129">
        <v>0</v>
      </c>
      <c r="Z483" s="129">
        <v>0</v>
      </c>
      <c r="AA483" s="129">
        <v>5</v>
      </c>
      <c r="AB483" s="129">
        <v>0</v>
      </c>
      <c r="AC483" s="129">
        <v>0</v>
      </c>
      <c r="AD483" s="129">
        <v>0</v>
      </c>
      <c r="AE483" s="129">
        <v>0</v>
      </c>
      <c r="AF483" s="129">
        <v>0</v>
      </c>
      <c r="AG483" s="129">
        <v>0</v>
      </c>
      <c r="AH483" s="129">
        <v>0</v>
      </c>
      <c r="AI483" s="126">
        <v>0</v>
      </c>
      <c r="AJ483" s="131">
        <v>34</v>
      </c>
    </row>
    <row r="484" spans="1:36" x14ac:dyDescent="0.35">
      <c r="A484" s="127" t="s">
        <v>1116</v>
      </c>
      <c r="B484" s="127" t="s">
        <v>1117</v>
      </c>
      <c r="C484" s="129">
        <v>109</v>
      </c>
      <c r="D484" s="129">
        <v>3</v>
      </c>
      <c r="E484" s="129">
        <v>0</v>
      </c>
      <c r="F484" s="129">
        <v>0</v>
      </c>
      <c r="G484" s="129">
        <v>112</v>
      </c>
      <c r="H484" s="129">
        <v>12</v>
      </c>
      <c r="I484" s="129">
        <v>0</v>
      </c>
      <c r="J484" s="129">
        <v>0</v>
      </c>
      <c r="K484" s="129">
        <v>0</v>
      </c>
      <c r="L484" s="129">
        <v>12</v>
      </c>
      <c r="M484" s="129">
        <v>4</v>
      </c>
      <c r="N484" s="129">
        <v>0</v>
      </c>
      <c r="O484" s="129">
        <v>0</v>
      </c>
      <c r="P484" s="129">
        <v>0</v>
      </c>
      <c r="Q484" s="129">
        <v>4</v>
      </c>
      <c r="R484" s="129">
        <v>2</v>
      </c>
      <c r="S484" s="129">
        <v>0</v>
      </c>
      <c r="T484" s="129">
        <v>0</v>
      </c>
      <c r="U484" s="129">
        <v>0</v>
      </c>
      <c r="V484" s="129">
        <v>2</v>
      </c>
      <c r="W484" s="129">
        <v>18</v>
      </c>
      <c r="X484" s="129">
        <v>0</v>
      </c>
      <c r="Y484" s="129">
        <v>0</v>
      </c>
      <c r="Z484" s="129">
        <v>0</v>
      </c>
      <c r="AA484" s="129">
        <v>18</v>
      </c>
      <c r="AB484" s="129">
        <v>5</v>
      </c>
      <c r="AC484" s="129">
        <v>0</v>
      </c>
      <c r="AD484" s="129">
        <v>0</v>
      </c>
      <c r="AE484" s="129">
        <v>0</v>
      </c>
      <c r="AF484" s="129">
        <v>5</v>
      </c>
      <c r="AG484" s="129">
        <v>0</v>
      </c>
      <c r="AH484" s="129">
        <v>0</v>
      </c>
      <c r="AI484" s="126">
        <v>0</v>
      </c>
      <c r="AJ484" s="131">
        <v>153</v>
      </c>
    </row>
    <row r="485" spans="1:36" x14ac:dyDescent="0.35">
      <c r="A485" s="127" t="s">
        <v>1118</v>
      </c>
      <c r="B485" s="127" t="s">
        <v>1119</v>
      </c>
      <c r="C485" s="129">
        <v>11</v>
      </c>
      <c r="D485" s="129">
        <v>7</v>
      </c>
      <c r="E485" s="129">
        <v>1</v>
      </c>
      <c r="F485" s="129">
        <v>0</v>
      </c>
      <c r="G485" s="129">
        <v>19</v>
      </c>
      <c r="H485" s="129">
        <v>6</v>
      </c>
      <c r="I485" s="129">
        <v>0</v>
      </c>
      <c r="J485" s="129">
        <v>0</v>
      </c>
      <c r="K485" s="129">
        <v>0</v>
      </c>
      <c r="L485" s="129">
        <v>6</v>
      </c>
      <c r="M485" s="129">
        <v>2</v>
      </c>
      <c r="N485" s="129">
        <v>0</v>
      </c>
      <c r="O485" s="129">
        <v>0</v>
      </c>
      <c r="P485" s="129">
        <v>0</v>
      </c>
      <c r="Q485" s="129">
        <v>2</v>
      </c>
      <c r="R485" s="129">
        <v>0</v>
      </c>
      <c r="S485" s="129">
        <v>0</v>
      </c>
      <c r="T485" s="129">
        <v>0</v>
      </c>
      <c r="U485" s="129">
        <v>0</v>
      </c>
      <c r="V485" s="129">
        <v>0</v>
      </c>
      <c r="W485" s="129">
        <v>3</v>
      </c>
      <c r="X485" s="129">
        <v>0</v>
      </c>
      <c r="Y485" s="129">
        <v>0</v>
      </c>
      <c r="Z485" s="129">
        <v>0</v>
      </c>
      <c r="AA485" s="129">
        <v>3</v>
      </c>
      <c r="AB485" s="129">
        <v>1</v>
      </c>
      <c r="AC485" s="129">
        <v>0</v>
      </c>
      <c r="AD485" s="129">
        <v>0</v>
      </c>
      <c r="AE485" s="129">
        <v>0</v>
      </c>
      <c r="AF485" s="129">
        <v>1</v>
      </c>
      <c r="AG485" s="129">
        <v>0</v>
      </c>
      <c r="AH485" s="129">
        <v>0</v>
      </c>
      <c r="AI485" s="126">
        <v>0</v>
      </c>
      <c r="AJ485" s="131">
        <v>31</v>
      </c>
    </row>
    <row r="486" spans="1:36" x14ac:dyDescent="0.35">
      <c r="A486" s="127" t="s">
        <v>1120</v>
      </c>
      <c r="B486" s="127" t="s">
        <v>1121</v>
      </c>
      <c r="C486" s="129">
        <v>192</v>
      </c>
      <c r="D486" s="129">
        <v>6</v>
      </c>
      <c r="E486" s="129">
        <v>1</v>
      </c>
      <c r="F486" s="129">
        <v>1</v>
      </c>
      <c r="G486" s="129">
        <v>200</v>
      </c>
      <c r="H486" s="129">
        <v>33</v>
      </c>
      <c r="I486" s="129">
        <v>0</v>
      </c>
      <c r="J486" s="129">
        <v>0</v>
      </c>
      <c r="K486" s="129">
        <v>0</v>
      </c>
      <c r="L486" s="129">
        <v>33</v>
      </c>
      <c r="M486" s="129">
        <v>16</v>
      </c>
      <c r="N486" s="129">
        <v>0</v>
      </c>
      <c r="O486" s="129">
        <v>0</v>
      </c>
      <c r="P486" s="129">
        <v>0</v>
      </c>
      <c r="Q486" s="129">
        <v>16</v>
      </c>
      <c r="R486" s="129">
        <v>11</v>
      </c>
      <c r="S486" s="129">
        <v>0</v>
      </c>
      <c r="T486" s="129">
        <v>0</v>
      </c>
      <c r="U486" s="129">
        <v>0</v>
      </c>
      <c r="V486" s="129">
        <v>11</v>
      </c>
      <c r="W486" s="129">
        <v>45</v>
      </c>
      <c r="X486" s="129">
        <v>0</v>
      </c>
      <c r="Y486" s="129">
        <v>0</v>
      </c>
      <c r="Z486" s="129">
        <v>0</v>
      </c>
      <c r="AA486" s="129">
        <v>45</v>
      </c>
      <c r="AB486" s="129">
        <v>20</v>
      </c>
      <c r="AC486" s="129">
        <v>0</v>
      </c>
      <c r="AD486" s="129">
        <v>0</v>
      </c>
      <c r="AE486" s="129">
        <v>0</v>
      </c>
      <c r="AF486" s="129">
        <v>20</v>
      </c>
      <c r="AG486" s="129">
        <v>0</v>
      </c>
      <c r="AH486" s="129">
        <v>0</v>
      </c>
      <c r="AI486" s="126">
        <v>0</v>
      </c>
      <c r="AJ486" s="131">
        <v>325</v>
      </c>
    </row>
    <row r="487" spans="1:36" x14ac:dyDescent="0.35">
      <c r="A487" s="127" t="s">
        <v>1122</v>
      </c>
      <c r="B487" s="127" t="s">
        <v>1123</v>
      </c>
      <c r="C487" s="129">
        <v>15</v>
      </c>
      <c r="D487" s="129">
        <v>1</v>
      </c>
      <c r="E487" s="129">
        <v>0</v>
      </c>
      <c r="F487" s="129">
        <v>0</v>
      </c>
      <c r="G487" s="129">
        <v>16</v>
      </c>
      <c r="H487" s="129">
        <v>0</v>
      </c>
      <c r="I487" s="129">
        <v>0</v>
      </c>
      <c r="J487" s="129">
        <v>0</v>
      </c>
      <c r="K487" s="129">
        <v>0</v>
      </c>
      <c r="L487" s="129">
        <v>0</v>
      </c>
      <c r="M487" s="129">
        <v>1</v>
      </c>
      <c r="N487" s="129">
        <v>0</v>
      </c>
      <c r="O487" s="129">
        <v>0</v>
      </c>
      <c r="P487" s="129">
        <v>0</v>
      </c>
      <c r="Q487" s="129">
        <v>1</v>
      </c>
      <c r="R487" s="129">
        <v>0</v>
      </c>
      <c r="S487" s="129">
        <v>0</v>
      </c>
      <c r="T487" s="129">
        <v>0</v>
      </c>
      <c r="U487" s="129">
        <v>0</v>
      </c>
      <c r="V487" s="129">
        <v>0</v>
      </c>
      <c r="W487" s="129">
        <v>0</v>
      </c>
      <c r="X487" s="129">
        <v>0</v>
      </c>
      <c r="Y487" s="129">
        <v>0</v>
      </c>
      <c r="Z487" s="129">
        <v>0</v>
      </c>
      <c r="AA487" s="129">
        <v>0</v>
      </c>
      <c r="AB487" s="129">
        <v>0</v>
      </c>
      <c r="AC487" s="129">
        <v>0</v>
      </c>
      <c r="AD487" s="129">
        <v>0</v>
      </c>
      <c r="AE487" s="129">
        <v>0</v>
      </c>
      <c r="AF487" s="129">
        <v>0</v>
      </c>
      <c r="AG487" s="129">
        <v>0</v>
      </c>
      <c r="AH487" s="129">
        <v>0</v>
      </c>
      <c r="AI487" s="126">
        <v>0</v>
      </c>
      <c r="AJ487" s="131">
        <v>17</v>
      </c>
    </row>
    <row r="488" spans="1:36" x14ac:dyDescent="0.35">
      <c r="A488" s="127" t="s">
        <v>1124</v>
      </c>
      <c r="B488" s="127" t="s">
        <v>1125</v>
      </c>
      <c r="C488" s="129">
        <v>4</v>
      </c>
      <c r="D488" s="129">
        <v>0</v>
      </c>
      <c r="E488" s="129">
        <v>0</v>
      </c>
      <c r="F488" s="129">
        <v>0</v>
      </c>
      <c r="G488" s="129">
        <v>4</v>
      </c>
      <c r="H488" s="129">
        <v>0</v>
      </c>
      <c r="I488" s="129">
        <v>0</v>
      </c>
      <c r="J488" s="129">
        <v>0</v>
      </c>
      <c r="K488" s="129">
        <v>0</v>
      </c>
      <c r="L488" s="129">
        <v>0</v>
      </c>
      <c r="M488" s="129">
        <v>0</v>
      </c>
      <c r="N488" s="129">
        <v>0</v>
      </c>
      <c r="O488" s="129">
        <v>0</v>
      </c>
      <c r="P488" s="129">
        <v>0</v>
      </c>
      <c r="Q488" s="129">
        <v>0</v>
      </c>
      <c r="R488" s="129">
        <v>0</v>
      </c>
      <c r="S488" s="129">
        <v>0</v>
      </c>
      <c r="T488" s="129">
        <v>0</v>
      </c>
      <c r="U488" s="129">
        <v>0</v>
      </c>
      <c r="V488" s="129">
        <v>0</v>
      </c>
      <c r="W488" s="129">
        <v>0</v>
      </c>
      <c r="X488" s="129">
        <v>0</v>
      </c>
      <c r="Y488" s="129">
        <v>0</v>
      </c>
      <c r="Z488" s="129">
        <v>0</v>
      </c>
      <c r="AA488" s="129">
        <v>0</v>
      </c>
      <c r="AB488" s="129">
        <v>0</v>
      </c>
      <c r="AC488" s="129">
        <v>0</v>
      </c>
      <c r="AD488" s="129">
        <v>0</v>
      </c>
      <c r="AE488" s="129">
        <v>0</v>
      </c>
      <c r="AF488" s="129">
        <v>0</v>
      </c>
      <c r="AG488" s="129">
        <v>0</v>
      </c>
      <c r="AH488" s="129">
        <v>0</v>
      </c>
      <c r="AI488" s="126">
        <v>0</v>
      </c>
      <c r="AJ488" s="131">
        <v>4</v>
      </c>
    </row>
    <row r="489" spans="1:36" x14ac:dyDescent="0.35">
      <c r="A489" s="127" t="s">
        <v>1430</v>
      </c>
      <c r="B489" s="127" t="s">
        <v>1431</v>
      </c>
      <c r="C489" s="129">
        <v>0</v>
      </c>
      <c r="D489" s="129">
        <v>0</v>
      </c>
      <c r="E489" s="129">
        <v>0</v>
      </c>
      <c r="F489" s="129">
        <v>0</v>
      </c>
      <c r="G489" s="129">
        <v>0</v>
      </c>
      <c r="H489" s="129">
        <v>0</v>
      </c>
      <c r="I489" s="129">
        <v>0</v>
      </c>
      <c r="J489" s="129">
        <v>0</v>
      </c>
      <c r="K489" s="129">
        <v>0</v>
      </c>
      <c r="L489" s="129">
        <v>0</v>
      </c>
      <c r="M489" s="129">
        <v>0</v>
      </c>
      <c r="N489" s="129">
        <v>0</v>
      </c>
      <c r="O489" s="129">
        <v>0</v>
      </c>
      <c r="P489" s="129">
        <v>0</v>
      </c>
      <c r="Q489" s="129">
        <v>0</v>
      </c>
      <c r="R489" s="129">
        <v>0</v>
      </c>
      <c r="S489" s="129">
        <v>0</v>
      </c>
      <c r="T489" s="129">
        <v>0</v>
      </c>
      <c r="U489" s="129">
        <v>0</v>
      </c>
      <c r="V489" s="129">
        <v>0</v>
      </c>
      <c r="W489" s="129">
        <v>0</v>
      </c>
      <c r="X489" s="129">
        <v>0</v>
      </c>
      <c r="Y489" s="129">
        <v>0</v>
      </c>
      <c r="Z489" s="129">
        <v>0</v>
      </c>
      <c r="AA489" s="129">
        <v>0</v>
      </c>
      <c r="AB489" s="129">
        <v>0</v>
      </c>
      <c r="AC489" s="129">
        <v>0</v>
      </c>
      <c r="AD489" s="129">
        <v>0</v>
      </c>
      <c r="AE489" s="129">
        <v>0</v>
      </c>
      <c r="AF489" s="129">
        <v>0</v>
      </c>
      <c r="AG489" s="129">
        <v>0</v>
      </c>
      <c r="AH489" s="129">
        <v>0</v>
      </c>
      <c r="AI489" s="126">
        <v>0</v>
      </c>
      <c r="AJ489" s="131">
        <v>0</v>
      </c>
    </row>
    <row r="490" spans="1:36" x14ac:dyDescent="0.35">
      <c r="A490" s="127" t="s">
        <v>1126</v>
      </c>
      <c r="B490" s="127" t="s">
        <v>1127</v>
      </c>
      <c r="C490" s="129">
        <v>2</v>
      </c>
      <c r="D490" s="129">
        <v>0</v>
      </c>
      <c r="E490" s="129">
        <v>0</v>
      </c>
      <c r="F490" s="129">
        <v>0</v>
      </c>
      <c r="G490" s="129">
        <v>2</v>
      </c>
      <c r="H490" s="129">
        <v>0</v>
      </c>
      <c r="I490" s="129">
        <v>0</v>
      </c>
      <c r="J490" s="129">
        <v>0</v>
      </c>
      <c r="K490" s="129">
        <v>0</v>
      </c>
      <c r="L490" s="129">
        <v>0</v>
      </c>
      <c r="M490" s="129">
        <v>0</v>
      </c>
      <c r="N490" s="129">
        <v>0</v>
      </c>
      <c r="O490" s="129">
        <v>0</v>
      </c>
      <c r="P490" s="129">
        <v>0</v>
      </c>
      <c r="Q490" s="129">
        <v>0</v>
      </c>
      <c r="R490" s="129">
        <v>0</v>
      </c>
      <c r="S490" s="129">
        <v>0</v>
      </c>
      <c r="T490" s="129">
        <v>0</v>
      </c>
      <c r="U490" s="129">
        <v>0</v>
      </c>
      <c r="V490" s="129">
        <v>0</v>
      </c>
      <c r="W490" s="129">
        <v>0</v>
      </c>
      <c r="X490" s="129">
        <v>0</v>
      </c>
      <c r="Y490" s="129">
        <v>0</v>
      </c>
      <c r="Z490" s="129">
        <v>0</v>
      </c>
      <c r="AA490" s="129">
        <v>0</v>
      </c>
      <c r="AB490" s="129">
        <v>0</v>
      </c>
      <c r="AC490" s="129">
        <v>0</v>
      </c>
      <c r="AD490" s="129">
        <v>0</v>
      </c>
      <c r="AE490" s="129">
        <v>0</v>
      </c>
      <c r="AF490" s="129">
        <v>0</v>
      </c>
      <c r="AG490" s="129">
        <v>0</v>
      </c>
      <c r="AH490" s="129">
        <v>0</v>
      </c>
      <c r="AI490" s="126">
        <v>0</v>
      </c>
      <c r="AJ490" s="131">
        <v>2</v>
      </c>
    </row>
    <row r="491" spans="1:36" x14ac:dyDescent="0.35">
      <c r="A491" s="127" t="s">
        <v>1432</v>
      </c>
      <c r="B491" s="127" t="s">
        <v>1433</v>
      </c>
      <c r="C491" s="129">
        <v>0</v>
      </c>
      <c r="D491" s="129">
        <v>0</v>
      </c>
      <c r="E491" s="129">
        <v>0</v>
      </c>
      <c r="F491" s="129">
        <v>0</v>
      </c>
      <c r="G491" s="129">
        <v>0</v>
      </c>
      <c r="H491" s="129">
        <v>0</v>
      </c>
      <c r="I491" s="129">
        <v>0</v>
      </c>
      <c r="J491" s="129">
        <v>0</v>
      </c>
      <c r="K491" s="129">
        <v>0</v>
      </c>
      <c r="L491" s="129">
        <v>0</v>
      </c>
      <c r="M491" s="129">
        <v>0</v>
      </c>
      <c r="N491" s="129">
        <v>0</v>
      </c>
      <c r="O491" s="129">
        <v>0</v>
      </c>
      <c r="P491" s="129">
        <v>0</v>
      </c>
      <c r="Q491" s="129">
        <v>0</v>
      </c>
      <c r="R491" s="129">
        <v>0</v>
      </c>
      <c r="S491" s="129">
        <v>0</v>
      </c>
      <c r="T491" s="129">
        <v>0</v>
      </c>
      <c r="U491" s="129">
        <v>0</v>
      </c>
      <c r="V491" s="129">
        <v>0</v>
      </c>
      <c r="W491" s="129">
        <v>0</v>
      </c>
      <c r="X491" s="129">
        <v>0</v>
      </c>
      <c r="Y491" s="129">
        <v>0</v>
      </c>
      <c r="Z491" s="129">
        <v>0</v>
      </c>
      <c r="AA491" s="129">
        <v>0</v>
      </c>
      <c r="AB491" s="129">
        <v>0</v>
      </c>
      <c r="AC491" s="129">
        <v>0</v>
      </c>
      <c r="AD491" s="129">
        <v>0</v>
      </c>
      <c r="AE491" s="129">
        <v>0</v>
      </c>
      <c r="AF491" s="129">
        <v>0</v>
      </c>
      <c r="AG491" s="129">
        <v>0</v>
      </c>
      <c r="AH491" s="129">
        <v>0</v>
      </c>
      <c r="AI491" s="126">
        <v>0</v>
      </c>
      <c r="AJ491" s="131">
        <v>0</v>
      </c>
    </row>
    <row r="492" spans="1:36" x14ac:dyDescent="0.35">
      <c r="A492" s="127" t="s">
        <v>1128</v>
      </c>
      <c r="B492" s="127" t="s">
        <v>1129</v>
      </c>
      <c r="C492" s="129">
        <v>15</v>
      </c>
      <c r="D492" s="129">
        <v>0</v>
      </c>
      <c r="E492" s="129">
        <v>0</v>
      </c>
      <c r="F492" s="129">
        <v>0</v>
      </c>
      <c r="G492" s="129">
        <v>15</v>
      </c>
      <c r="H492" s="129">
        <v>0</v>
      </c>
      <c r="I492" s="129">
        <v>0</v>
      </c>
      <c r="J492" s="129">
        <v>0</v>
      </c>
      <c r="K492" s="129">
        <v>0</v>
      </c>
      <c r="L492" s="129">
        <v>0</v>
      </c>
      <c r="M492" s="129">
        <v>2</v>
      </c>
      <c r="N492" s="129">
        <v>0</v>
      </c>
      <c r="O492" s="129">
        <v>0</v>
      </c>
      <c r="P492" s="129">
        <v>0</v>
      </c>
      <c r="Q492" s="129">
        <v>2</v>
      </c>
      <c r="R492" s="129">
        <v>0</v>
      </c>
      <c r="S492" s="129">
        <v>0</v>
      </c>
      <c r="T492" s="129">
        <v>0</v>
      </c>
      <c r="U492" s="129">
        <v>0</v>
      </c>
      <c r="V492" s="129">
        <v>0</v>
      </c>
      <c r="W492" s="129">
        <v>0</v>
      </c>
      <c r="X492" s="129">
        <v>0</v>
      </c>
      <c r="Y492" s="129">
        <v>0</v>
      </c>
      <c r="Z492" s="129">
        <v>0</v>
      </c>
      <c r="AA492" s="129">
        <v>0</v>
      </c>
      <c r="AB492" s="129">
        <v>0</v>
      </c>
      <c r="AC492" s="129">
        <v>0</v>
      </c>
      <c r="AD492" s="129">
        <v>0</v>
      </c>
      <c r="AE492" s="129">
        <v>0</v>
      </c>
      <c r="AF492" s="129">
        <v>0</v>
      </c>
      <c r="AG492" s="129">
        <v>0</v>
      </c>
      <c r="AH492" s="129">
        <v>0</v>
      </c>
      <c r="AI492" s="126">
        <v>0</v>
      </c>
      <c r="AJ492" s="131">
        <v>17</v>
      </c>
    </row>
    <row r="493" spans="1:36" x14ac:dyDescent="0.35">
      <c r="A493" s="127" t="s">
        <v>1130</v>
      </c>
      <c r="B493" s="127" t="s">
        <v>1131</v>
      </c>
      <c r="C493" s="129">
        <v>226</v>
      </c>
      <c r="D493" s="129">
        <v>10</v>
      </c>
      <c r="E493" s="129">
        <v>0</v>
      </c>
      <c r="F493" s="129">
        <v>0</v>
      </c>
      <c r="G493" s="129">
        <v>236</v>
      </c>
      <c r="H493" s="129">
        <v>16</v>
      </c>
      <c r="I493" s="129">
        <v>0</v>
      </c>
      <c r="J493" s="129">
        <v>0</v>
      </c>
      <c r="K493" s="129">
        <v>0</v>
      </c>
      <c r="L493" s="129">
        <v>16</v>
      </c>
      <c r="M493" s="129">
        <v>9</v>
      </c>
      <c r="N493" s="129">
        <v>0</v>
      </c>
      <c r="O493" s="129">
        <v>0</v>
      </c>
      <c r="P493" s="129">
        <v>0</v>
      </c>
      <c r="Q493" s="129">
        <v>9</v>
      </c>
      <c r="R493" s="129">
        <v>6</v>
      </c>
      <c r="S493" s="129">
        <v>0</v>
      </c>
      <c r="T493" s="129">
        <v>0</v>
      </c>
      <c r="U493" s="129">
        <v>0</v>
      </c>
      <c r="V493" s="129">
        <v>6</v>
      </c>
      <c r="W493" s="129">
        <v>20</v>
      </c>
      <c r="X493" s="129">
        <v>0</v>
      </c>
      <c r="Y493" s="129">
        <v>0</v>
      </c>
      <c r="Z493" s="129">
        <v>0</v>
      </c>
      <c r="AA493" s="129">
        <v>20</v>
      </c>
      <c r="AB493" s="129">
        <v>2</v>
      </c>
      <c r="AC493" s="129">
        <v>0</v>
      </c>
      <c r="AD493" s="129">
        <v>0</v>
      </c>
      <c r="AE493" s="129">
        <v>0</v>
      </c>
      <c r="AF493" s="129">
        <v>2</v>
      </c>
      <c r="AG493" s="129">
        <v>0</v>
      </c>
      <c r="AH493" s="129">
        <v>0</v>
      </c>
      <c r="AI493" s="126">
        <v>0</v>
      </c>
      <c r="AJ493" s="131">
        <v>289</v>
      </c>
    </row>
    <row r="494" spans="1:36" x14ac:dyDescent="0.35">
      <c r="A494" s="127" t="s">
        <v>1132</v>
      </c>
      <c r="B494" s="127" t="s">
        <v>1133</v>
      </c>
      <c r="C494" s="129">
        <v>196</v>
      </c>
      <c r="D494" s="129">
        <v>0</v>
      </c>
      <c r="E494" s="129">
        <v>1</v>
      </c>
      <c r="F494" s="129">
        <v>0</v>
      </c>
      <c r="G494" s="129">
        <v>197</v>
      </c>
      <c r="H494" s="129">
        <v>26</v>
      </c>
      <c r="I494" s="129">
        <v>0</v>
      </c>
      <c r="J494" s="129">
        <v>0</v>
      </c>
      <c r="K494" s="129">
        <v>0</v>
      </c>
      <c r="L494" s="129">
        <v>26</v>
      </c>
      <c r="M494" s="129">
        <v>7</v>
      </c>
      <c r="N494" s="129">
        <v>0</v>
      </c>
      <c r="O494" s="129">
        <v>0</v>
      </c>
      <c r="P494" s="129">
        <v>0</v>
      </c>
      <c r="Q494" s="129">
        <v>7</v>
      </c>
      <c r="R494" s="129">
        <v>4</v>
      </c>
      <c r="S494" s="129">
        <v>0</v>
      </c>
      <c r="T494" s="129">
        <v>0</v>
      </c>
      <c r="U494" s="129">
        <v>0</v>
      </c>
      <c r="V494" s="129">
        <v>4</v>
      </c>
      <c r="W494" s="129">
        <v>23</v>
      </c>
      <c r="X494" s="129">
        <v>0</v>
      </c>
      <c r="Y494" s="129">
        <v>0</v>
      </c>
      <c r="Z494" s="129">
        <v>0</v>
      </c>
      <c r="AA494" s="129">
        <v>23</v>
      </c>
      <c r="AB494" s="129">
        <v>19</v>
      </c>
      <c r="AC494" s="129">
        <v>0</v>
      </c>
      <c r="AD494" s="129">
        <v>0</v>
      </c>
      <c r="AE494" s="129">
        <v>0</v>
      </c>
      <c r="AF494" s="129">
        <v>19</v>
      </c>
      <c r="AG494" s="129">
        <v>1</v>
      </c>
      <c r="AH494" s="129">
        <v>0</v>
      </c>
      <c r="AI494" s="126">
        <v>1</v>
      </c>
      <c r="AJ494" s="131">
        <v>277</v>
      </c>
    </row>
    <row r="495" spans="1:36" x14ac:dyDescent="0.35">
      <c r="A495" s="126" t="s">
        <v>1134</v>
      </c>
      <c r="B495" s="127" t="s">
        <v>1135</v>
      </c>
      <c r="C495" s="129">
        <v>66</v>
      </c>
      <c r="D495" s="129">
        <v>0</v>
      </c>
      <c r="E495" s="129">
        <v>0</v>
      </c>
      <c r="F495" s="129">
        <v>0</v>
      </c>
      <c r="G495" s="129">
        <v>66</v>
      </c>
      <c r="H495" s="129">
        <v>2</v>
      </c>
      <c r="I495" s="129">
        <v>0</v>
      </c>
      <c r="J495" s="129">
        <v>0</v>
      </c>
      <c r="K495" s="129">
        <v>0</v>
      </c>
      <c r="L495" s="129">
        <v>2</v>
      </c>
      <c r="M495" s="129">
        <v>4</v>
      </c>
      <c r="N495" s="129">
        <v>0</v>
      </c>
      <c r="O495" s="129">
        <v>0</v>
      </c>
      <c r="P495" s="129">
        <v>0</v>
      </c>
      <c r="Q495" s="129">
        <v>4</v>
      </c>
      <c r="R495" s="129">
        <v>5</v>
      </c>
      <c r="S495" s="129">
        <v>0</v>
      </c>
      <c r="T495" s="129">
        <v>0</v>
      </c>
      <c r="U495" s="129">
        <v>0</v>
      </c>
      <c r="V495" s="129">
        <v>5</v>
      </c>
      <c r="W495" s="129">
        <v>13</v>
      </c>
      <c r="X495" s="129">
        <v>0</v>
      </c>
      <c r="Y495" s="129">
        <v>0</v>
      </c>
      <c r="Z495" s="129">
        <v>0</v>
      </c>
      <c r="AA495" s="129">
        <v>13</v>
      </c>
      <c r="AB495" s="129">
        <v>2</v>
      </c>
      <c r="AC495" s="129">
        <v>0</v>
      </c>
      <c r="AD495" s="129">
        <v>0</v>
      </c>
      <c r="AE495" s="129">
        <v>0</v>
      </c>
      <c r="AF495" s="129">
        <v>2</v>
      </c>
      <c r="AG495" s="129">
        <v>0</v>
      </c>
      <c r="AH495" s="129">
        <v>0</v>
      </c>
      <c r="AI495" s="126">
        <v>0</v>
      </c>
      <c r="AJ495" s="131">
        <v>92</v>
      </c>
    </row>
    <row r="496" spans="1:36" x14ac:dyDescent="0.35">
      <c r="A496" s="126" t="s">
        <v>1136</v>
      </c>
      <c r="B496" s="127" t="s">
        <v>1276</v>
      </c>
      <c r="C496" s="129">
        <v>113</v>
      </c>
      <c r="D496" s="129">
        <v>1</v>
      </c>
      <c r="E496" s="129">
        <v>0</v>
      </c>
      <c r="F496" s="129">
        <v>0</v>
      </c>
      <c r="G496" s="129">
        <v>114</v>
      </c>
      <c r="H496" s="129">
        <v>12</v>
      </c>
      <c r="I496" s="129">
        <v>0</v>
      </c>
      <c r="J496" s="129">
        <v>0</v>
      </c>
      <c r="K496" s="129">
        <v>0</v>
      </c>
      <c r="L496" s="129">
        <v>12</v>
      </c>
      <c r="M496" s="129">
        <v>3</v>
      </c>
      <c r="N496" s="129">
        <v>0</v>
      </c>
      <c r="O496" s="129">
        <v>0</v>
      </c>
      <c r="P496" s="129">
        <v>0</v>
      </c>
      <c r="Q496" s="129">
        <v>3</v>
      </c>
      <c r="R496" s="129">
        <v>5</v>
      </c>
      <c r="S496" s="129">
        <v>0</v>
      </c>
      <c r="T496" s="129">
        <v>0</v>
      </c>
      <c r="U496" s="129">
        <v>0</v>
      </c>
      <c r="V496" s="129">
        <v>5</v>
      </c>
      <c r="W496" s="129">
        <v>15</v>
      </c>
      <c r="X496" s="129">
        <v>0</v>
      </c>
      <c r="Y496" s="129">
        <v>0</v>
      </c>
      <c r="Z496" s="129">
        <v>0</v>
      </c>
      <c r="AA496" s="129">
        <v>15</v>
      </c>
      <c r="AB496" s="129">
        <v>2</v>
      </c>
      <c r="AC496" s="129">
        <v>0</v>
      </c>
      <c r="AD496" s="129">
        <v>0</v>
      </c>
      <c r="AE496" s="129">
        <v>0</v>
      </c>
      <c r="AF496" s="129">
        <v>2</v>
      </c>
      <c r="AG496" s="129">
        <v>0</v>
      </c>
      <c r="AH496" s="129">
        <v>0</v>
      </c>
      <c r="AI496" s="126">
        <v>0</v>
      </c>
      <c r="AJ496" s="131">
        <v>151</v>
      </c>
    </row>
    <row r="497" spans="1:36" x14ac:dyDescent="0.35">
      <c r="A497" s="127" t="s">
        <v>1137</v>
      </c>
      <c r="B497" s="127" t="s">
        <v>1138</v>
      </c>
      <c r="C497" s="129">
        <v>13</v>
      </c>
      <c r="D497" s="129">
        <v>0</v>
      </c>
      <c r="E497" s="129">
        <v>0</v>
      </c>
      <c r="F497" s="129">
        <v>0</v>
      </c>
      <c r="G497" s="129">
        <v>13</v>
      </c>
      <c r="H497" s="129">
        <v>4</v>
      </c>
      <c r="I497" s="129">
        <v>0</v>
      </c>
      <c r="J497" s="129">
        <v>0</v>
      </c>
      <c r="K497" s="129">
        <v>0</v>
      </c>
      <c r="L497" s="129">
        <v>4</v>
      </c>
      <c r="M497" s="129">
        <v>1</v>
      </c>
      <c r="N497" s="129">
        <v>0</v>
      </c>
      <c r="O497" s="129">
        <v>0</v>
      </c>
      <c r="P497" s="129">
        <v>0</v>
      </c>
      <c r="Q497" s="129">
        <v>1</v>
      </c>
      <c r="R497" s="129">
        <v>0</v>
      </c>
      <c r="S497" s="129">
        <v>0</v>
      </c>
      <c r="T497" s="129">
        <v>0</v>
      </c>
      <c r="U497" s="129">
        <v>0</v>
      </c>
      <c r="V497" s="129">
        <v>0</v>
      </c>
      <c r="W497" s="129">
        <v>5</v>
      </c>
      <c r="X497" s="129">
        <v>0</v>
      </c>
      <c r="Y497" s="129">
        <v>0</v>
      </c>
      <c r="Z497" s="129">
        <v>0</v>
      </c>
      <c r="AA497" s="129">
        <v>5</v>
      </c>
      <c r="AB497" s="129">
        <v>1</v>
      </c>
      <c r="AC497" s="129">
        <v>0</v>
      </c>
      <c r="AD497" s="129">
        <v>0</v>
      </c>
      <c r="AE497" s="129">
        <v>0</v>
      </c>
      <c r="AF497" s="129">
        <v>1</v>
      </c>
      <c r="AG497" s="129">
        <v>0</v>
      </c>
      <c r="AH497" s="129">
        <v>0</v>
      </c>
      <c r="AI497" s="126">
        <v>0</v>
      </c>
      <c r="AJ497" s="131">
        <v>24</v>
      </c>
    </row>
    <row r="498" spans="1:36" x14ac:dyDescent="0.35">
      <c r="A498" s="127" t="s">
        <v>1139</v>
      </c>
      <c r="B498" s="127" t="s">
        <v>1140</v>
      </c>
      <c r="C498" s="129">
        <v>64</v>
      </c>
      <c r="D498" s="129">
        <v>1</v>
      </c>
      <c r="E498" s="129">
        <v>0</v>
      </c>
      <c r="F498" s="129">
        <v>0</v>
      </c>
      <c r="G498" s="129">
        <v>65</v>
      </c>
      <c r="H498" s="129">
        <v>4</v>
      </c>
      <c r="I498" s="129">
        <v>0</v>
      </c>
      <c r="J498" s="129">
        <v>0</v>
      </c>
      <c r="K498" s="129">
        <v>0</v>
      </c>
      <c r="L498" s="129">
        <v>4</v>
      </c>
      <c r="M498" s="129">
        <v>2</v>
      </c>
      <c r="N498" s="129">
        <v>0</v>
      </c>
      <c r="O498" s="129">
        <v>0</v>
      </c>
      <c r="P498" s="129">
        <v>0</v>
      </c>
      <c r="Q498" s="129">
        <v>2</v>
      </c>
      <c r="R498" s="129">
        <v>1</v>
      </c>
      <c r="S498" s="129">
        <v>0</v>
      </c>
      <c r="T498" s="129">
        <v>0</v>
      </c>
      <c r="U498" s="129">
        <v>0</v>
      </c>
      <c r="V498" s="129">
        <v>1</v>
      </c>
      <c r="W498" s="129">
        <v>10</v>
      </c>
      <c r="X498" s="129">
        <v>0</v>
      </c>
      <c r="Y498" s="129">
        <v>0</v>
      </c>
      <c r="Z498" s="129">
        <v>0</v>
      </c>
      <c r="AA498" s="129">
        <v>10</v>
      </c>
      <c r="AB498" s="129">
        <v>2</v>
      </c>
      <c r="AC498" s="129">
        <v>0</v>
      </c>
      <c r="AD498" s="129">
        <v>0</v>
      </c>
      <c r="AE498" s="129">
        <v>0</v>
      </c>
      <c r="AF498" s="129">
        <v>2</v>
      </c>
      <c r="AG498" s="129">
        <v>0</v>
      </c>
      <c r="AH498" s="129">
        <v>0</v>
      </c>
      <c r="AI498" s="126">
        <v>0</v>
      </c>
      <c r="AJ498" s="131">
        <v>84</v>
      </c>
    </row>
    <row r="499" spans="1:36" x14ac:dyDescent="0.35">
      <c r="A499" s="127" t="s">
        <v>1141</v>
      </c>
      <c r="B499" s="127" t="s">
        <v>1142</v>
      </c>
      <c r="C499" s="129">
        <v>137</v>
      </c>
      <c r="D499" s="129">
        <v>0</v>
      </c>
      <c r="E499" s="129">
        <v>0</v>
      </c>
      <c r="F499" s="129">
        <v>0</v>
      </c>
      <c r="G499" s="129">
        <v>137</v>
      </c>
      <c r="H499" s="129">
        <v>17</v>
      </c>
      <c r="I499" s="129">
        <v>0</v>
      </c>
      <c r="J499" s="129">
        <v>0</v>
      </c>
      <c r="K499" s="129">
        <v>0</v>
      </c>
      <c r="L499" s="129">
        <v>17</v>
      </c>
      <c r="M499" s="129">
        <v>16</v>
      </c>
      <c r="N499" s="129">
        <v>0</v>
      </c>
      <c r="O499" s="129">
        <v>0</v>
      </c>
      <c r="P499" s="129">
        <v>0</v>
      </c>
      <c r="Q499" s="129">
        <v>16</v>
      </c>
      <c r="R499" s="129">
        <v>5</v>
      </c>
      <c r="S499" s="129">
        <v>0</v>
      </c>
      <c r="T499" s="129">
        <v>0</v>
      </c>
      <c r="U499" s="129">
        <v>0</v>
      </c>
      <c r="V499" s="129">
        <v>5</v>
      </c>
      <c r="W499" s="129">
        <v>26</v>
      </c>
      <c r="X499" s="129">
        <v>0</v>
      </c>
      <c r="Y499" s="129">
        <v>0</v>
      </c>
      <c r="Z499" s="129">
        <v>0</v>
      </c>
      <c r="AA499" s="129">
        <v>26</v>
      </c>
      <c r="AB499" s="129">
        <v>5</v>
      </c>
      <c r="AC499" s="129">
        <v>0</v>
      </c>
      <c r="AD499" s="129">
        <v>0</v>
      </c>
      <c r="AE499" s="129">
        <v>0</v>
      </c>
      <c r="AF499" s="129">
        <v>5</v>
      </c>
      <c r="AG499" s="129">
        <v>0</v>
      </c>
      <c r="AH499" s="129">
        <v>0</v>
      </c>
      <c r="AI499" s="126">
        <v>0</v>
      </c>
      <c r="AJ499" s="131">
        <v>206</v>
      </c>
    </row>
    <row r="500" spans="1:36" x14ac:dyDescent="0.35">
      <c r="A500" s="127" t="s">
        <v>1143</v>
      </c>
      <c r="B500" s="127" t="s">
        <v>1144</v>
      </c>
      <c r="C500" s="129">
        <v>90</v>
      </c>
      <c r="D500" s="129">
        <v>4</v>
      </c>
      <c r="E500" s="129">
        <v>0</v>
      </c>
      <c r="F500" s="129">
        <v>0</v>
      </c>
      <c r="G500" s="129">
        <v>94</v>
      </c>
      <c r="H500" s="129">
        <v>3</v>
      </c>
      <c r="I500" s="129">
        <v>0</v>
      </c>
      <c r="J500" s="129">
        <v>0</v>
      </c>
      <c r="K500" s="129">
        <v>0</v>
      </c>
      <c r="L500" s="129">
        <v>3</v>
      </c>
      <c r="M500" s="129">
        <v>1</v>
      </c>
      <c r="N500" s="129">
        <v>1</v>
      </c>
      <c r="O500" s="129">
        <v>0</v>
      </c>
      <c r="P500" s="129">
        <v>0</v>
      </c>
      <c r="Q500" s="129">
        <v>2</v>
      </c>
      <c r="R500" s="129">
        <v>0</v>
      </c>
      <c r="S500" s="129">
        <v>0</v>
      </c>
      <c r="T500" s="129">
        <v>0</v>
      </c>
      <c r="U500" s="129">
        <v>0</v>
      </c>
      <c r="V500" s="129">
        <v>0</v>
      </c>
      <c r="W500" s="129">
        <v>13</v>
      </c>
      <c r="X500" s="129">
        <v>0</v>
      </c>
      <c r="Y500" s="129">
        <v>0</v>
      </c>
      <c r="Z500" s="129">
        <v>0</v>
      </c>
      <c r="AA500" s="129">
        <v>13</v>
      </c>
      <c r="AB500" s="129">
        <v>2</v>
      </c>
      <c r="AC500" s="129">
        <v>0</v>
      </c>
      <c r="AD500" s="129">
        <v>0</v>
      </c>
      <c r="AE500" s="129">
        <v>0</v>
      </c>
      <c r="AF500" s="129">
        <v>2</v>
      </c>
      <c r="AG500" s="129">
        <v>0</v>
      </c>
      <c r="AH500" s="129">
        <v>0</v>
      </c>
      <c r="AI500" s="126">
        <v>0</v>
      </c>
      <c r="AJ500" s="131">
        <v>114</v>
      </c>
    </row>
    <row r="501" spans="1:36" x14ac:dyDescent="0.35">
      <c r="A501" s="127" t="s">
        <v>1145</v>
      </c>
      <c r="B501" s="127" t="s">
        <v>1146</v>
      </c>
      <c r="C501" s="129">
        <v>2731</v>
      </c>
      <c r="D501" s="129">
        <v>13</v>
      </c>
      <c r="E501" s="129">
        <v>1</v>
      </c>
      <c r="F501" s="129">
        <v>0</v>
      </c>
      <c r="G501" s="129">
        <v>2745</v>
      </c>
      <c r="H501" s="129">
        <v>290</v>
      </c>
      <c r="I501" s="129">
        <v>0</v>
      </c>
      <c r="J501" s="129">
        <v>0</v>
      </c>
      <c r="K501" s="129">
        <v>0</v>
      </c>
      <c r="L501" s="129">
        <v>290</v>
      </c>
      <c r="M501" s="129">
        <v>250</v>
      </c>
      <c r="N501" s="129">
        <v>0</v>
      </c>
      <c r="O501" s="129">
        <v>0</v>
      </c>
      <c r="P501" s="129">
        <v>0</v>
      </c>
      <c r="Q501" s="129">
        <v>250</v>
      </c>
      <c r="R501" s="129">
        <v>96</v>
      </c>
      <c r="S501" s="129">
        <v>0</v>
      </c>
      <c r="T501" s="129">
        <v>0</v>
      </c>
      <c r="U501" s="129">
        <v>0</v>
      </c>
      <c r="V501" s="129">
        <v>96</v>
      </c>
      <c r="W501" s="129">
        <v>620</v>
      </c>
      <c r="X501" s="129">
        <v>0</v>
      </c>
      <c r="Y501" s="129">
        <v>0</v>
      </c>
      <c r="Z501" s="129">
        <v>0</v>
      </c>
      <c r="AA501" s="129">
        <v>620</v>
      </c>
      <c r="AB501" s="129">
        <v>142</v>
      </c>
      <c r="AC501" s="129">
        <v>0</v>
      </c>
      <c r="AD501" s="129">
        <v>0</v>
      </c>
      <c r="AE501" s="129">
        <v>0</v>
      </c>
      <c r="AF501" s="129">
        <v>142</v>
      </c>
      <c r="AG501" s="129">
        <v>0</v>
      </c>
      <c r="AH501" s="129">
        <v>0</v>
      </c>
      <c r="AI501" s="126">
        <v>0</v>
      </c>
      <c r="AJ501" s="131">
        <v>4143</v>
      </c>
    </row>
    <row r="502" spans="1:36" x14ac:dyDescent="0.35">
      <c r="A502" s="127" t="s">
        <v>1147</v>
      </c>
      <c r="B502" s="127" t="s">
        <v>1148</v>
      </c>
      <c r="C502" s="129">
        <v>37</v>
      </c>
      <c r="D502" s="129">
        <v>7</v>
      </c>
      <c r="E502" s="129">
        <v>5</v>
      </c>
      <c r="F502" s="129">
        <v>1</v>
      </c>
      <c r="G502" s="129">
        <v>50</v>
      </c>
      <c r="H502" s="129">
        <v>13</v>
      </c>
      <c r="I502" s="129">
        <v>0</v>
      </c>
      <c r="J502" s="129">
        <v>0</v>
      </c>
      <c r="K502" s="129">
        <v>0</v>
      </c>
      <c r="L502" s="129">
        <v>13</v>
      </c>
      <c r="M502" s="129">
        <v>7</v>
      </c>
      <c r="N502" s="129">
        <v>1</v>
      </c>
      <c r="O502" s="129">
        <v>0</v>
      </c>
      <c r="P502" s="129">
        <v>0</v>
      </c>
      <c r="Q502" s="129">
        <v>8</v>
      </c>
      <c r="R502" s="129">
        <v>6</v>
      </c>
      <c r="S502" s="129">
        <v>0</v>
      </c>
      <c r="T502" s="129">
        <v>0</v>
      </c>
      <c r="U502" s="129">
        <v>0</v>
      </c>
      <c r="V502" s="129">
        <v>6</v>
      </c>
      <c r="W502" s="129">
        <v>9</v>
      </c>
      <c r="X502" s="129">
        <v>0</v>
      </c>
      <c r="Y502" s="129">
        <v>0</v>
      </c>
      <c r="Z502" s="129">
        <v>0</v>
      </c>
      <c r="AA502" s="129">
        <v>9</v>
      </c>
      <c r="AB502" s="129">
        <v>4</v>
      </c>
      <c r="AC502" s="129">
        <v>0</v>
      </c>
      <c r="AD502" s="129">
        <v>0</v>
      </c>
      <c r="AE502" s="129">
        <v>0</v>
      </c>
      <c r="AF502" s="129">
        <v>4</v>
      </c>
      <c r="AG502" s="129">
        <v>0</v>
      </c>
      <c r="AH502" s="129">
        <v>0</v>
      </c>
      <c r="AI502" s="126">
        <v>0</v>
      </c>
      <c r="AJ502" s="131">
        <v>90</v>
      </c>
    </row>
    <row r="503" spans="1:36" x14ac:dyDescent="0.35">
      <c r="A503" s="127" t="s">
        <v>1149</v>
      </c>
      <c r="B503" s="127" t="s">
        <v>1150</v>
      </c>
      <c r="C503" s="129">
        <v>575</v>
      </c>
      <c r="D503" s="129">
        <v>11</v>
      </c>
      <c r="E503" s="129">
        <v>3</v>
      </c>
      <c r="F503" s="129">
        <v>0</v>
      </c>
      <c r="G503" s="129">
        <v>589</v>
      </c>
      <c r="H503" s="129">
        <v>15</v>
      </c>
      <c r="I503" s="129">
        <v>0</v>
      </c>
      <c r="J503" s="129">
        <v>0</v>
      </c>
      <c r="K503" s="129">
        <v>0</v>
      </c>
      <c r="L503" s="129">
        <v>15</v>
      </c>
      <c r="M503" s="129">
        <v>20</v>
      </c>
      <c r="N503" s="129">
        <v>0</v>
      </c>
      <c r="O503" s="129">
        <v>0</v>
      </c>
      <c r="P503" s="129">
        <v>0</v>
      </c>
      <c r="Q503" s="129">
        <v>20</v>
      </c>
      <c r="R503" s="129">
        <v>11</v>
      </c>
      <c r="S503" s="129">
        <v>0</v>
      </c>
      <c r="T503" s="129">
        <v>0</v>
      </c>
      <c r="U503" s="129">
        <v>0</v>
      </c>
      <c r="V503" s="129">
        <v>11</v>
      </c>
      <c r="W503" s="129">
        <v>134</v>
      </c>
      <c r="X503" s="129">
        <v>0</v>
      </c>
      <c r="Y503" s="129">
        <v>0</v>
      </c>
      <c r="Z503" s="129">
        <v>0</v>
      </c>
      <c r="AA503" s="129">
        <v>134</v>
      </c>
      <c r="AB503" s="129">
        <v>6</v>
      </c>
      <c r="AC503" s="129">
        <v>0</v>
      </c>
      <c r="AD503" s="129">
        <v>0</v>
      </c>
      <c r="AE503" s="129">
        <v>0</v>
      </c>
      <c r="AF503" s="129">
        <v>6</v>
      </c>
      <c r="AG503" s="129">
        <v>0</v>
      </c>
      <c r="AH503" s="129">
        <v>0</v>
      </c>
      <c r="AI503" s="126">
        <v>0</v>
      </c>
      <c r="AJ503" s="131">
        <v>775</v>
      </c>
    </row>
    <row r="504" spans="1:36" x14ac:dyDescent="0.35">
      <c r="A504" s="127" t="s">
        <v>1151</v>
      </c>
      <c r="B504" s="127" t="s">
        <v>255</v>
      </c>
      <c r="C504" s="129">
        <v>13</v>
      </c>
      <c r="D504" s="129">
        <v>0</v>
      </c>
      <c r="E504" s="129">
        <v>0</v>
      </c>
      <c r="F504" s="129">
        <v>0</v>
      </c>
      <c r="G504" s="129">
        <v>13</v>
      </c>
      <c r="H504" s="129">
        <v>0</v>
      </c>
      <c r="I504" s="129">
        <v>0</v>
      </c>
      <c r="J504" s="129">
        <v>0</v>
      </c>
      <c r="K504" s="129">
        <v>0</v>
      </c>
      <c r="L504" s="129">
        <v>0</v>
      </c>
      <c r="M504" s="129">
        <v>1</v>
      </c>
      <c r="N504" s="129">
        <v>0</v>
      </c>
      <c r="O504" s="129">
        <v>0</v>
      </c>
      <c r="P504" s="129">
        <v>0</v>
      </c>
      <c r="Q504" s="129">
        <v>1</v>
      </c>
      <c r="R504" s="129">
        <v>0</v>
      </c>
      <c r="S504" s="129">
        <v>0</v>
      </c>
      <c r="T504" s="129">
        <v>0</v>
      </c>
      <c r="U504" s="129">
        <v>0</v>
      </c>
      <c r="V504" s="129">
        <v>0</v>
      </c>
      <c r="W504" s="129">
        <v>0</v>
      </c>
      <c r="X504" s="129">
        <v>0</v>
      </c>
      <c r="Y504" s="129">
        <v>0</v>
      </c>
      <c r="Z504" s="129">
        <v>0</v>
      </c>
      <c r="AA504" s="129">
        <v>0</v>
      </c>
      <c r="AB504" s="129">
        <v>0</v>
      </c>
      <c r="AC504" s="129">
        <v>0</v>
      </c>
      <c r="AD504" s="129">
        <v>0</v>
      </c>
      <c r="AE504" s="129">
        <v>0</v>
      </c>
      <c r="AF504" s="129">
        <v>0</v>
      </c>
      <c r="AG504" s="129">
        <v>0</v>
      </c>
      <c r="AH504" s="129">
        <v>0</v>
      </c>
      <c r="AI504" s="126">
        <v>0</v>
      </c>
      <c r="AJ504" s="131">
        <v>14</v>
      </c>
    </row>
    <row r="505" spans="1:36" x14ac:dyDescent="0.35">
      <c r="A505" s="127" t="s">
        <v>1152</v>
      </c>
      <c r="B505" s="127" t="s">
        <v>1153</v>
      </c>
      <c r="C505" s="129">
        <v>1</v>
      </c>
      <c r="D505" s="129">
        <v>0</v>
      </c>
      <c r="E505" s="129">
        <v>0</v>
      </c>
      <c r="F505" s="129">
        <v>0</v>
      </c>
      <c r="G505" s="129">
        <v>1</v>
      </c>
      <c r="H505" s="129">
        <v>0</v>
      </c>
      <c r="I505" s="129">
        <v>0</v>
      </c>
      <c r="J505" s="129">
        <v>0</v>
      </c>
      <c r="K505" s="129">
        <v>0</v>
      </c>
      <c r="L505" s="129">
        <v>0</v>
      </c>
      <c r="M505" s="129">
        <v>0</v>
      </c>
      <c r="N505" s="129">
        <v>0</v>
      </c>
      <c r="O505" s="129">
        <v>0</v>
      </c>
      <c r="P505" s="129">
        <v>0</v>
      </c>
      <c r="Q505" s="129">
        <v>0</v>
      </c>
      <c r="R505" s="129">
        <v>0</v>
      </c>
      <c r="S505" s="129">
        <v>0</v>
      </c>
      <c r="T505" s="129">
        <v>0</v>
      </c>
      <c r="U505" s="129">
        <v>0</v>
      </c>
      <c r="V505" s="129">
        <v>0</v>
      </c>
      <c r="W505" s="129">
        <v>0</v>
      </c>
      <c r="X505" s="129">
        <v>0</v>
      </c>
      <c r="Y505" s="129">
        <v>0</v>
      </c>
      <c r="Z505" s="129">
        <v>0</v>
      </c>
      <c r="AA505" s="129">
        <v>0</v>
      </c>
      <c r="AB505" s="129">
        <v>0</v>
      </c>
      <c r="AC505" s="129">
        <v>0</v>
      </c>
      <c r="AD505" s="129">
        <v>0</v>
      </c>
      <c r="AE505" s="129">
        <v>0</v>
      </c>
      <c r="AF505" s="129">
        <v>0</v>
      </c>
      <c r="AG505" s="129">
        <v>0</v>
      </c>
      <c r="AH505" s="129">
        <v>0</v>
      </c>
      <c r="AI505" s="126">
        <v>0</v>
      </c>
      <c r="AJ505" s="131">
        <v>1</v>
      </c>
    </row>
    <row r="506" spans="1:36" x14ac:dyDescent="0.35">
      <c r="A506" s="127" t="s">
        <v>1154</v>
      </c>
      <c r="B506" s="127" t="s">
        <v>1155</v>
      </c>
      <c r="C506" s="129">
        <v>5</v>
      </c>
      <c r="D506" s="129">
        <v>5</v>
      </c>
      <c r="E506" s="129">
        <v>0</v>
      </c>
      <c r="F506" s="129">
        <v>0</v>
      </c>
      <c r="G506" s="129">
        <v>10</v>
      </c>
      <c r="H506" s="129">
        <v>0</v>
      </c>
      <c r="I506" s="129">
        <v>0</v>
      </c>
      <c r="J506" s="129">
        <v>0</v>
      </c>
      <c r="K506" s="129">
        <v>0</v>
      </c>
      <c r="L506" s="129">
        <v>0</v>
      </c>
      <c r="M506" s="129">
        <v>0</v>
      </c>
      <c r="N506" s="129">
        <v>0</v>
      </c>
      <c r="O506" s="129">
        <v>0</v>
      </c>
      <c r="P506" s="129">
        <v>0</v>
      </c>
      <c r="Q506" s="129">
        <v>0</v>
      </c>
      <c r="R506" s="129">
        <v>0</v>
      </c>
      <c r="S506" s="129">
        <v>0</v>
      </c>
      <c r="T506" s="129">
        <v>0</v>
      </c>
      <c r="U506" s="129">
        <v>0</v>
      </c>
      <c r="V506" s="129">
        <v>0</v>
      </c>
      <c r="W506" s="129">
        <v>0</v>
      </c>
      <c r="X506" s="129">
        <v>0</v>
      </c>
      <c r="Y506" s="129">
        <v>0</v>
      </c>
      <c r="Z506" s="129">
        <v>0</v>
      </c>
      <c r="AA506" s="129">
        <v>0</v>
      </c>
      <c r="AB506" s="129">
        <v>0</v>
      </c>
      <c r="AC506" s="129">
        <v>0</v>
      </c>
      <c r="AD506" s="129">
        <v>0</v>
      </c>
      <c r="AE506" s="129">
        <v>0</v>
      </c>
      <c r="AF506" s="129">
        <v>0</v>
      </c>
      <c r="AG506" s="129">
        <v>0</v>
      </c>
      <c r="AH506" s="129">
        <v>0</v>
      </c>
      <c r="AI506" s="126">
        <v>0</v>
      </c>
      <c r="AJ506" s="131">
        <v>10</v>
      </c>
    </row>
    <row r="507" spans="1:36" x14ac:dyDescent="0.35">
      <c r="A507" s="127" t="s">
        <v>1204</v>
      </c>
      <c r="B507" s="127" t="s">
        <v>67</v>
      </c>
      <c r="C507" s="129">
        <v>0</v>
      </c>
      <c r="D507" s="129">
        <v>0</v>
      </c>
      <c r="E507" s="129">
        <v>0</v>
      </c>
      <c r="F507" s="129">
        <v>0</v>
      </c>
      <c r="G507" s="129">
        <v>0</v>
      </c>
      <c r="H507" s="129">
        <v>0</v>
      </c>
      <c r="I507" s="129">
        <v>0</v>
      </c>
      <c r="J507" s="129">
        <v>0</v>
      </c>
      <c r="K507" s="129">
        <v>0</v>
      </c>
      <c r="L507" s="129">
        <v>0</v>
      </c>
      <c r="M507" s="129">
        <v>1</v>
      </c>
      <c r="N507" s="129">
        <v>0</v>
      </c>
      <c r="O507" s="129">
        <v>0</v>
      </c>
      <c r="P507" s="129">
        <v>0</v>
      </c>
      <c r="Q507" s="129">
        <v>1</v>
      </c>
      <c r="R507" s="129">
        <v>0</v>
      </c>
      <c r="S507" s="129">
        <v>0</v>
      </c>
      <c r="T507" s="129">
        <v>0</v>
      </c>
      <c r="U507" s="129">
        <v>0</v>
      </c>
      <c r="V507" s="129">
        <v>0</v>
      </c>
      <c r="W507" s="129">
        <v>0</v>
      </c>
      <c r="X507" s="129">
        <v>0</v>
      </c>
      <c r="Y507" s="129">
        <v>0</v>
      </c>
      <c r="Z507" s="129">
        <v>0</v>
      </c>
      <c r="AA507" s="129">
        <v>0</v>
      </c>
      <c r="AB507" s="129">
        <v>0</v>
      </c>
      <c r="AC507" s="129">
        <v>0</v>
      </c>
      <c r="AD507" s="129">
        <v>0</v>
      </c>
      <c r="AE507" s="129">
        <v>0</v>
      </c>
      <c r="AF507" s="129">
        <v>0</v>
      </c>
      <c r="AG507" s="129">
        <v>0</v>
      </c>
      <c r="AH507" s="129">
        <v>0</v>
      </c>
      <c r="AI507" s="126">
        <v>0</v>
      </c>
      <c r="AJ507" s="131">
        <v>1</v>
      </c>
    </row>
    <row r="508" spans="1:36" x14ac:dyDescent="0.35">
      <c r="A508" s="127" t="s">
        <v>1193</v>
      </c>
      <c r="B508" s="127" t="s">
        <v>1193</v>
      </c>
      <c r="C508" s="129">
        <v>2</v>
      </c>
      <c r="D508" s="129">
        <v>3</v>
      </c>
      <c r="E508" s="129">
        <v>2</v>
      </c>
      <c r="F508" s="129">
        <v>0</v>
      </c>
      <c r="G508" s="129">
        <v>7</v>
      </c>
      <c r="H508" s="129">
        <v>0</v>
      </c>
      <c r="I508" s="129">
        <v>0</v>
      </c>
      <c r="J508" s="129">
        <v>0</v>
      </c>
      <c r="K508" s="129">
        <v>0</v>
      </c>
      <c r="L508" s="129">
        <v>0</v>
      </c>
      <c r="M508" s="129">
        <v>0</v>
      </c>
      <c r="N508" s="129">
        <v>0</v>
      </c>
      <c r="O508" s="129">
        <v>0</v>
      </c>
      <c r="P508" s="129">
        <v>0</v>
      </c>
      <c r="Q508" s="129">
        <v>0</v>
      </c>
      <c r="R508" s="129">
        <v>0</v>
      </c>
      <c r="S508" s="129">
        <v>0</v>
      </c>
      <c r="T508" s="129">
        <v>0</v>
      </c>
      <c r="U508" s="129">
        <v>0</v>
      </c>
      <c r="V508" s="129">
        <v>0</v>
      </c>
      <c r="W508" s="129">
        <v>0</v>
      </c>
      <c r="X508" s="129">
        <v>0</v>
      </c>
      <c r="Y508" s="129">
        <v>0</v>
      </c>
      <c r="Z508" s="129">
        <v>0</v>
      </c>
      <c r="AA508" s="129">
        <v>0</v>
      </c>
      <c r="AB508" s="129">
        <v>0</v>
      </c>
      <c r="AC508" s="129">
        <v>0</v>
      </c>
      <c r="AD508" s="129">
        <v>0</v>
      </c>
      <c r="AE508" s="129">
        <v>0</v>
      </c>
      <c r="AF508" s="129">
        <v>0</v>
      </c>
      <c r="AG508" s="129">
        <v>0</v>
      </c>
      <c r="AH508" s="129">
        <v>0</v>
      </c>
      <c r="AI508" s="126">
        <v>0</v>
      </c>
      <c r="AJ508" s="131">
        <v>7</v>
      </c>
    </row>
    <row r="509" spans="1:36" x14ac:dyDescent="0.35">
      <c r="A509" s="59" t="s">
        <v>16</v>
      </c>
      <c r="B509" s="59"/>
      <c r="C509" s="132">
        <v>101110</v>
      </c>
      <c r="D509" s="132">
        <v>13080</v>
      </c>
      <c r="E509" s="132">
        <v>3353</v>
      </c>
      <c r="F509" s="132">
        <v>898</v>
      </c>
      <c r="G509" s="132">
        <v>118441</v>
      </c>
      <c r="H509" s="132">
        <v>9160</v>
      </c>
      <c r="I509" s="132">
        <v>234</v>
      </c>
      <c r="J509" s="132">
        <v>54</v>
      </c>
      <c r="K509" s="132">
        <v>12</v>
      </c>
      <c r="L509" s="132">
        <v>9460</v>
      </c>
      <c r="M509" s="132">
        <v>5992</v>
      </c>
      <c r="N509" s="132">
        <v>237</v>
      </c>
      <c r="O509" s="132">
        <v>39</v>
      </c>
      <c r="P509" s="132">
        <v>5</v>
      </c>
      <c r="Q509" s="132">
        <v>6273</v>
      </c>
      <c r="R509" s="132">
        <v>3418</v>
      </c>
      <c r="S509" s="132">
        <v>167</v>
      </c>
      <c r="T509" s="132">
        <v>16</v>
      </c>
      <c r="U509" s="132">
        <v>1</v>
      </c>
      <c r="V509" s="132">
        <v>3602</v>
      </c>
      <c r="W509" s="132">
        <v>15861</v>
      </c>
      <c r="X509" s="132">
        <v>583</v>
      </c>
      <c r="Y509" s="132">
        <v>119</v>
      </c>
      <c r="Z509" s="132">
        <v>41</v>
      </c>
      <c r="AA509" s="132">
        <v>16604</v>
      </c>
      <c r="AB509" s="132">
        <v>4515</v>
      </c>
      <c r="AC509" s="132">
        <v>98</v>
      </c>
      <c r="AD509" s="132">
        <v>12</v>
      </c>
      <c r="AE509" s="132">
        <v>1</v>
      </c>
      <c r="AF509" s="132">
        <v>4626</v>
      </c>
      <c r="AG509" s="132">
        <v>2</v>
      </c>
      <c r="AH509" s="132">
        <v>1</v>
      </c>
      <c r="AI509" s="132">
        <v>3</v>
      </c>
      <c r="AJ509" s="132">
        <v>159009</v>
      </c>
    </row>
  </sheetData>
  <mergeCells count="18">
    <mergeCell ref="A509:B509"/>
    <mergeCell ref="M3:P3"/>
    <mergeCell ref="Q3:Q4"/>
    <mergeCell ref="R3:U3"/>
    <mergeCell ref="V3:V4"/>
    <mergeCell ref="A3:A4"/>
    <mergeCell ref="B3:B4"/>
    <mergeCell ref="C3:F3"/>
    <mergeCell ref="G3:G4"/>
    <mergeCell ref="H3:K3"/>
    <mergeCell ref="L3:L4"/>
    <mergeCell ref="AF3:AF4"/>
    <mergeCell ref="AG3:AH3"/>
    <mergeCell ref="AB3:AE3"/>
    <mergeCell ref="W3:Z3"/>
    <mergeCell ref="AI3:AI4"/>
    <mergeCell ref="AJ3:AJ4"/>
    <mergeCell ref="AA3:AA4"/>
  </mergeCells>
  <hyperlinks>
    <hyperlink ref="H1" location="Índice!A1" display="Volver al índice" xr:uid="{5C72E209-5E10-453B-9725-71D70C95B902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11FA-3072-42D5-8B77-A21CAC2EE0F4}">
  <dimension ref="A1:AQ483"/>
  <sheetViews>
    <sheetView workbookViewId="0">
      <selection activeCell="F1" sqref="F1"/>
    </sheetView>
  </sheetViews>
  <sheetFormatPr baseColWidth="10" defaultColWidth="11.453125" defaultRowHeight="14.5" x14ac:dyDescent="0.35"/>
  <cols>
    <col min="2" max="2" width="68.1796875" customWidth="1"/>
    <col min="3" max="3" width="18.26953125" bestFit="1" customWidth="1"/>
    <col min="4" max="4" width="16.26953125" customWidth="1"/>
    <col min="5" max="5" width="19.81640625" bestFit="1" customWidth="1"/>
    <col min="7" max="7" width="11.81640625" bestFit="1" customWidth="1"/>
    <col min="8" max="8" width="16.26953125" customWidth="1"/>
    <col min="9" max="9" width="11.81640625" bestFit="1" customWidth="1"/>
    <col min="14" max="14" width="16.7265625" bestFit="1" customWidth="1"/>
    <col min="20" max="20" width="16.7265625" bestFit="1" customWidth="1"/>
    <col min="26" max="26" width="16.7265625" bestFit="1" customWidth="1"/>
    <col min="32" max="32" width="16.7265625" bestFit="1" customWidth="1"/>
  </cols>
  <sheetData>
    <row r="1" spans="1:43" ht="18.5" x14ac:dyDescent="0.45">
      <c r="A1" s="21" t="s">
        <v>1302</v>
      </c>
      <c r="F1" s="17" t="s">
        <v>1</v>
      </c>
    </row>
    <row r="3" spans="1:43" ht="15" customHeight="1" x14ac:dyDescent="0.35">
      <c r="A3" s="50" t="s">
        <v>327</v>
      </c>
      <c r="B3" s="76" t="s">
        <v>19</v>
      </c>
      <c r="C3" s="38"/>
      <c r="D3" s="79" t="s">
        <v>71</v>
      </c>
      <c r="E3" s="80"/>
      <c r="F3" s="80"/>
      <c r="G3" s="80"/>
      <c r="H3" s="81"/>
      <c r="I3" s="83" t="s">
        <v>79</v>
      </c>
      <c r="J3" s="79" t="s">
        <v>72</v>
      </c>
      <c r="K3" s="80"/>
      <c r="L3" s="80"/>
      <c r="M3" s="80"/>
      <c r="N3" s="81"/>
      <c r="O3" s="83" t="s">
        <v>80</v>
      </c>
      <c r="P3" s="79" t="s">
        <v>73</v>
      </c>
      <c r="Q3" s="80"/>
      <c r="R3" s="80"/>
      <c r="S3" s="80"/>
      <c r="T3" s="81"/>
      <c r="U3" s="83" t="s">
        <v>81</v>
      </c>
      <c r="V3" s="79" t="s">
        <v>74</v>
      </c>
      <c r="W3" s="80"/>
      <c r="X3" s="80"/>
      <c r="Y3" s="80"/>
      <c r="Z3" s="81"/>
      <c r="AA3" s="83" t="s">
        <v>82</v>
      </c>
      <c r="AB3" s="79" t="s">
        <v>1156</v>
      </c>
      <c r="AC3" s="80"/>
      <c r="AD3" s="80"/>
      <c r="AE3" s="80"/>
      <c r="AF3" s="81"/>
      <c r="AG3" s="83" t="s">
        <v>1157</v>
      </c>
      <c r="AH3" s="79" t="s">
        <v>76</v>
      </c>
      <c r="AI3" s="80"/>
      <c r="AJ3" s="80"/>
      <c r="AK3" s="80"/>
      <c r="AL3" s="81"/>
      <c r="AM3" s="83" t="s">
        <v>83</v>
      </c>
      <c r="AN3" s="79" t="s">
        <v>77</v>
      </c>
      <c r="AO3" s="81"/>
      <c r="AP3" s="83" t="s">
        <v>1158</v>
      </c>
      <c r="AQ3" s="78" t="s">
        <v>1159</v>
      </c>
    </row>
    <row r="4" spans="1:43" x14ac:dyDescent="0.35">
      <c r="A4" s="50"/>
      <c r="B4" s="76"/>
      <c r="C4" s="36" t="s">
        <v>1285</v>
      </c>
      <c r="D4" s="25" t="s">
        <v>22</v>
      </c>
      <c r="E4" s="25" t="s">
        <v>23</v>
      </c>
      <c r="F4" s="25" t="s">
        <v>24</v>
      </c>
      <c r="G4" s="25" t="s">
        <v>25</v>
      </c>
      <c r="H4" s="26" t="s">
        <v>1186</v>
      </c>
      <c r="I4" s="83"/>
      <c r="J4" s="25" t="s">
        <v>22</v>
      </c>
      <c r="K4" s="25" t="s">
        <v>23</v>
      </c>
      <c r="L4" s="25" t="s">
        <v>24</v>
      </c>
      <c r="M4" s="25" t="s">
        <v>25</v>
      </c>
      <c r="N4" s="26" t="s">
        <v>1186</v>
      </c>
      <c r="O4" s="83"/>
      <c r="P4" s="25" t="s">
        <v>22</v>
      </c>
      <c r="Q4" s="25" t="s">
        <v>23</v>
      </c>
      <c r="R4" s="25" t="s">
        <v>24</v>
      </c>
      <c r="S4" s="25" t="s">
        <v>25</v>
      </c>
      <c r="T4" s="26" t="s">
        <v>1186</v>
      </c>
      <c r="U4" s="83"/>
      <c r="V4" s="25" t="s">
        <v>22</v>
      </c>
      <c r="W4" s="25" t="s">
        <v>23</v>
      </c>
      <c r="X4" s="25" t="s">
        <v>24</v>
      </c>
      <c r="Y4" s="25" t="s">
        <v>25</v>
      </c>
      <c r="Z4" s="26" t="s">
        <v>1186</v>
      </c>
      <c r="AA4" s="83"/>
      <c r="AB4" s="25" t="s">
        <v>22</v>
      </c>
      <c r="AC4" s="25" t="s">
        <v>23</v>
      </c>
      <c r="AD4" s="25" t="s">
        <v>24</v>
      </c>
      <c r="AE4" s="25" t="s">
        <v>25</v>
      </c>
      <c r="AF4" s="26" t="s">
        <v>1186</v>
      </c>
      <c r="AG4" s="83"/>
      <c r="AH4" s="25" t="s">
        <v>22</v>
      </c>
      <c r="AI4" s="25" t="s">
        <v>23</v>
      </c>
      <c r="AJ4" s="25" t="s">
        <v>24</v>
      </c>
      <c r="AK4" s="25" t="s">
        <v>25</v>
      </c>
      <c r="AL4" s="26" t="s">
        <v>1186</v>
      </c>
      <c r="AM4" s="83"/>
      <c r="AN4" s="25" t="s">
        <v>22</v>
      </c>
      <c r="AO4" s="25" t="s">
        <v>23</v>
      </c>
      <c r="AP4" s="83"/>
      <c r="AQ4" s="78"/>
    </row>
    <row r="5" spans="1:43" x14ac:dyDescent="0.35">
      <c r="A5" s="126" t="s">
        <v>329</v>
      </c>
      <c r="B5" s="126" t="s">
        <v>1207</v>
      </c>
      <c r="C5" s="126" t="s">
        <v>1293</v>
      </c>
      <c r="D5" s="128">
        <v>20</v>
      </c>
      <c r="E5" s="128">
        <v>4</v>
      </c>
      <c r="F5" s="128"/>
      <c r="G5" s="128"/>
      <c r="H5" s="128"/>
      <c r="I5" s="18">
        <f>+SUM(D5:H5)</f>
        <v>24</v>
      </c>
      <c r="J5" s="128">
        <v>1</v>
      </c>
      <c r="K5" s="128"/>
      <c r="L5" s="128"/>
      <c r="M5" s="128"/>
      <c r="N5" s="128"/>
      <c r="O5" s="18">
        <f>+SUM(J5:N5)</f>
        <v>1</v>
      </c>
      <c r="P5" s="18">
        <v>1</v>
      </c>
      <c r="Q5" s="18"/>
      <c r="R5" s="18"/>
      <c r="S5" s="18"/>
      <c r="T5" s="18"/>
      <c r="U5" s="18">
        <f>+SUM(P5:T5)</f>
        <v>1</v>
      </c>
      <c r="V5" s="18"/>
      <c r="W5" s="18"/>
      <c r="X5" s="18"/>
      <c r="Y5" s="18"/>
      <c r="Z5" s="18"/>
      <c r="AA5" s="18">
        <f>+SUM(V5:Z5)</f>
        <v>0</v>
      </c>
      <c r="AB5" s="18">
        <v>2</v>
      </c>
      <c r="AC5" s="18"/>
      <c r="AD5" s="18"/>
      <c r="AE5" s="18"/>
      <c r="AF5" s="18"/>
      <c r="AG5" s="18">
        <f>+SUM(AB5:AF5)</f>
        <v>2</v>
      </c>
      <c r="AH5" s="18"/>
      <c r="AI5" s="18"/>
      <c r="AJ5" s="18"/>
      <c r="AK5" s="18"/>
      <c r="AL5" s="18"/>
      <c r="AM5" s="18">
        <f>+SUM(AH5:AL5)</f>
        <v>0</v>
      </c>
      <c r="AN5" s="18"/>
      <c r="AO5" s="18"/>
      <c r="AP5" s="18">
        <f>+AO5+AN5</f>
        <v>0</v>
      </c>
      <c r="AQ5" s="32">
        <f>+AP5+AM5+AG5+AA5+U5+O5+I5</f>
        <v>28</v>
      </c>
    </row>
    <row r="6" spans="1:43" x14ac:dyDescent="0.35">
      <c r="A6" s="126" t="s">
        <v>330</v>
      </c>
      <c r="B6" s="126" t="s">
        <v>1208</v>
      </c>
      <c r="C6" s="126" t="s">
        <v>1293</v>
      </c>
      <c r="D6" s="128">
        <v>4</v>
      </c>
      <c r="E6" s="128">
        <v>2</v>
      </c>
      <c r="F6" s="128"/>
      <c r="G6" s="128"/>
      <c r="H6" s="128"/>
      <c r="I6" s="18">
        <f t="shared" ref="I6:I69" si="0">+SUM(D6:H6)</f>
        <v>6</v>
      </c>
      <c r="J6" s="128"/>
      <c r="K6" s="128"/>
      <c r="L6" s="128"/>
      <c r="M6" s="128"/>
      <c r="N6" s="128"/>
      <c r="O6" s="18">
        <f t="shared" ref="O6:O69" si="1">+SUM(J6:N6)</f>
        <v>0</v>
      </c>
      <c r="P6" s="18"/>
      <c r="Q6" s="18"/>
      <c r="R6" s="18"/>
      <c r="S6" s="18"/>
      <c r="T6" s="18"/>
      <c r="U6" s="18">
        <f t="shared" ref="U6:U69" si="2">+SUM(P6:T6)</f>
        <v>0</v>
      </c>
      <c r="V6" s="18">
        <v>3</v>
      </c>
      <c r="W6" s="18">
        <v>1</v>
      </c>
      <c r="X6" s="18"/>
      <c r="Y6" s="18"/>
      <c r="Z6" s="18"/>
      <c r="AA6" s="18">
        <f t="shared" ref="AA6:AA69" si="3">+SUM(V6:Z6)</f>
        <v>4</v>
      </c>
      <c r="AB6" s="18"/>
      <c r="AC6" s="18"/>
      <c r="AD6" s="18"/>
      <c r="AE6" s="18"/>
      <c r="AF6" s="18"/>
      <c r="AG6" s="18">
        <f t="shared" ref="AG6:AG69" si="4">+SUM(AB6:AF6)</f>
        <v>0</v>
      </c>
      <c r="AH6" s="18"/>
      <c r="AI6" s="18"/>
      <c r="AJ6" s="18"/>
      <c r="AK6" s="18"/>
      <c r="AL6" s="18"/>
      <c r="AM6" s="18">
        <f t="shared" ref="AM6:AM69" si="5">+SUM(AH6:AL6)</f>
        <v>0</v>
      </c>
      <c r="AN6" s="18"/>
      <c r="AO6" s="18"/>
      <c r="AP6" s="18">
        <f t="shared" ref="AP6:AP69" si="6">+AO6+AN6</f>
        <v>0</v>
      </c>
      <c r="AQ6" s="32">
        <f t="shared" ref="AQ6:AQ69" si="7">+AP6+AM6+AG6+AA6+U6+O6+I6</f>
        <v>10</v>
      </c>
    </row>
    <row r="7" spans="1:43" x14ac:dyDescent="0.35">
      <c r="A7" s="126" t="s">
        <v>331</v>
      </c>
      <c r="B7" s="126" t="s">
        <v>1209</v>
      </c>
      <c r="C7" s="126" t="s">
        <v>1293</v>
      </c>
      <c r="D7" s="128">
        <v>48</v>
      </c>
      <c r="E7" s="128">
        <v>4</v>
      </c>
      <c r="F7" s="128">
        <v>1</v>
      </c>
      <c r="G7" s="128">
        <v>1</v>
      </c>
      <c r="H7" s="128"/>
      <c r="I7" s="18">
        <f t="shared" si="0"/>
        <v>54</v>
      </c>
      <c r="J7" s="128">
        <v>4</v>
      </c>
      <c r="K7" s="128"/>
      <c r="L7" s="128"/>
      <c r="M7" s="128"/>
      <c r="N7" s="128"/>
      <c r="O7" s="18">
        <f t="shared" si="1"/>
        <v>4</v>
      </c>
      <c r="P7" s="18">
        <v>3</v>
      </c>
      <c r="Q7" s="18"/>
      <c r="R7" s="18"/>
      <c r="S7" s="18"/>
      <c r="T7" s="18"/>
      <c r="U7" s="18">
        <f t="shared" si="2"/>
        <v>3</v>
      </c>
      <c r="V7" s="18"/>
      <c r="W7" s="18"/>
      <c r="X7" s="18"/>
      <c r="Y7" s="18"/>
      <c r="Z7" s="18"/>
      <c r="AA7" s="18">
        <f t="shared" si="3"/>
        <v>0</v>
      </c>
      <c r="AB7" s="18">
        <v>4</v>
      </c>
      <c r="AC7" s="18"/>
      <c r="AD7" s="18">
        <v>1</v>
      </c>
      <c r="AE7" s="18"/>
      <c r="AF7" s="18"/>
      <c r="AG7" s="18">
        <f t="shared" si="4"/>
        <v>5</v>
      </c>
      <c r="AH7" s="18"/>
      <c r="AI7" s="18">
        <v>1</v>
      </c>
      <c r="AJ7" s="18"/>
      <c r="AK7" s="18"/>
      <c r="AL7" s="18"/>
      <c r="AM7" s="18">
        <f t="shared" si="5"/>
        <v>1</v>
      </c>
      <c r="AN7" s="18"/>
      <c r="AO7" s="18"/>
      <c r="AP7" s="18">
        <f t="shared" si="6"/>
        <v>0</v>
      </c>
      <c r="AQ7" s="32">
        <f t="shared" si="7"/>
        <v>67</v>
      </c>
    </row>
    <row r="8" spans="1:43" x14ac:dyDescent="0.35">
      <c r="A8" s="126" t="s">
        <v>332</v>
      </c>
      <c r="B8" s="126" t="s">
        <v>1210</v>
      </c>
      <c r="C8" s="126" t="s">
        <v>1293</v>
      </c>
      <c r="D8" s="128">
        <v>2</v>
      </c>
      <c r="E8" s="128"/>
      <c r="F8" s="128"/>
      <c r="G8" s="128"/>
      <c r="H8" s="128"/>
      <c r="I8" s="18">
        <f t="shared" si="0"/>
        <v>2</v>
      </c>
      <c r="J8" s="128"/>
      <c r="K8" s="128"/>
      <c r="L8" s="128"/>
      <c r="M8" s="128"/>
      <c r="N8" s="128"/>
      <c r="O8" s="18">
        <f t="shared" si="1"/>
        <v>0</v>
      </c>
      <c r="P8" s="18"/>
      <c r="Q8" s="18"/>
      <c r="R8" s="18"/>
      <c r="S8" s="18"/>
      <c r="T8" s="18"/>
      <c r="U8" s="18">
        <f t="shared" si="2"/>
        <v>0</v>
      </c>
      <c r="V8" s="18"/>
      <c r="W8" s="18"/>
      <c r="X8" s="18"/>
      <c r="Y8" s="18"/>
      <c r="Z8" s="18"/>
      <c r="AA8" s="18">
        <f t="shared" si="3"/>
        <v>0</v>
      </c>
      <c r="AB8" s="18"/>
      <c r="AC8" s="18"/>
      <c r="AD8" s="18"/>
      <c r="AE8" s="18"/>
      <c r="AF8" s="18"/>
      <c r="AG8" s="18">
        <f t="shared" si="4"/>
        <v>0</v>
      </c>
      <c r="AH8" s="18"/>
      <c r="AI8" s="18"/>
      <c r="AJ8" s="18"/>
      <c r="AK8" s="18"/>
      <c r="AL8" s="18"/>
      <c r="AM8" s="18">
        <f t="shared" si="5"/>
        <v>0</v>
      </c>
      <c r="AN8" s="18"/>
      <c r="AO8" s="18"/>
      <c r="AP8" s="18">
        <f t="shared" si="6"/>
        <v>0</v>
      </c>
      <c r="AQ8" s="32">
        <f t="shared" si="7"/>
        <v>2</v>
      </c>
    </row>
    <row r="9" spans="1:43" x14ac:dyDescent="0.35">
      <c r="A9" s="126" t="s">
        <v>333</v>
      </c>
      <c r="B9" s="126" t="s">
        <v>334</v>
      </c>
      <c r="C9" s="126" t="s">
        <v>1293</v>
      </c>
      <c r="D9" s="128">
        <v>18</v>
      </c>
      <c r="E9" s="128">
        <v>1</v>
      </c>
      <c r="F9" s="128"/>
      <c r="G9" s="128"/>
      <c r="H9" s="128"/>
      <c r="I9" s="18">
        <f t="shared" si="0"/>
        <v>19</v>
      </c>
      <c r="J9" s="128">
        <v>2</v>
      </c>
      <c r="K9" s="128"/>
      <c r="L9" s="128">
        <v>1</v>
      </c>
      <c r="M9" s="128">
        <v>1</v>
      </c>
      <c r="N9" s="128"/>
      <c r="O9" s="18">
        <f t="shared" si="1"/>
        <v>4</v>
      </c>
      <c r="P9" s="18">
        <v>1</v>
      </c>
      <c r="Q9" s="18"/>
      <c r="R9" s="18"/>
      <c r="S9" s="18"/>
      <c r="T9" s="18"/>
      <c r="U9" s="18">
        <f t="shared" si="2"/>
        <v>1</v>
      </c>
      <c r="V9" s="18"/>
      <c r="W9" s="18"/>
      <c r="X9" s="18"/>
      <c r="Y9" s="18"/>
      <c r="Z9" s="18"/>
      <c r="AA9" s="18">
        <f t="shared" si="3"/>
        <v>0</v>
      </c>
      <c r="AB9" s="18"/>
      <c r="AC9" s="18"/>
      <c r="AD9" s="18"/>
      <c r="AE9" s="18"/>
      <c r="AF9" s="18"/>
      <c r="AG9" s="18">
        <f t="shared" si="4"/>
        <v>0</v>
      </c>
      <c r="AH9" s="18"/>
      <c r="AI9" s="18"/>
      <c r="AJ9" s="18"/>
      <c r="AK9" s="18"/>
      <c r="AL9" s="18"/>
      <c r="AM9" s="18">
        <f t="shared" si="5"/>
        <v>0</v>
      </c>
      <c r="AN9" s="18"/>
      <c r="AO9" s="18"/>
      <c r="AP9" s="18">
        <f t="shared" si="6"/>
        <v>0</v>
      </c>
      <c r="AQ9" s="32">
        <f t="shared" si="7"/>
        <v>24</v>
      </c>
    </row>
    <row r="10" spans="1:43" x14ac:dyDescent="0.35">
      <c r="A10" s="126" t="s">
        <v>335</v>
      </c>
      <c r="B10" s="126" t="s">
        <v>336</v>
      </c>
      <c r="C10" s="126" t="s">
        <v>1293</v>
      </c>
      <c r="D10" s="128">
        <v>163</v>
      </c>
      <c r="E10" s="128">
        <v>36</v>
      </c>
      <c r="F10" s="128">
        <v>3</v>
      </c>
      <c r="G10" s="128"/>
      <c r="H10" s="128"/>
      <c r="I10" s="18">
        <f t="shared" si="0"/>
        <v>202</v>
      </c>
      <c r="J10" s="128">
        <v>67</v>
      </c>
      <c r="K10" s="128">
        <v>14</v>
      </c>
      <c r="L10" s="128">
        <v>2</v>
      </c>
      <c r="M10" s="128"/>
      <c r="N10" s="128"/>
      <c r="O10" s="18">
        <f t="shared" si="1"/>
        <v>83</v>
      </c>
      <c r="P10" s="18">
        <v>13</v>
      </c>
      <c r="Q10" s="18">
        <v>4</v>
      </c>
      <c r="R10" s="18"/>
      <c r="S10" s="18"/>
      <c r="T10" s="18"/>
      <c r="U10" s="18">
        <f t="shared" si="2"/>
        <v>17</v>
      </c>
      <c r="V10" s="18"/>
      <c r="W10" s="18"/>
      <c r="X10" s="18"/>
      <c r="Y10" s="18"/>
      <c r="Z10" s="18"/>
      <c r="AA10" s="18">
        <f t="shared" si="3"/>
        <v>0</v>
      </c>
      <c r="AB10" s="18">
        <v>9</v>
      </c>
      <c r="AC10" s="18"/>
      <c r="AD10" s="18"/>
      <c r="AE10" s="18"/>
      <c r="AF10" s="18"/>
      <c r="AG10" s="18">
        <f t="shared" si="4"/>
        <v>9</v>
      </c>
      <c r="AH10" s="18">
        <v>6</v>
      </c>
      <c r="AI10" s="18"/>
      <c r="AJ10" s="18"/>
      <c r="AK10" s="18"/>
      <c r="AL10" s="18"/>
      <c r="AM10" s="18">
        <f t="shared" si="5"/>
        <v>6</v>
      </c>
      <c r="AN10" s="18"/>
      <c r="AO10" s="18"/>
      <c r="AP10" s="18">
        <f t="shared" si="6"/>
        <v>0</v>
      </c>
      <c r="AQ10" s="32">
        <f t="shared" si="7"/>
        <v>317</v>
      </c>
    </row>
    <row r="11" spans="1:43" x14ac:dyDescent="0.35">
      <c r="A11" s="126" t="s">
        <v>337</v>
      </c>
      <c r="B11" s="126" t="s">
        <v>338</v>
      </c>
      <c r="C11" s="126" t="s">
        <v>1293</v>
      </c>
      <c r="D11" s="128">
        <v>34</v>
      </c>
      <c r="E11" s="128">
        <v>37</v>
      </c>
      <c r="F11" s="128">
        <v>26</v>
      </c>
      <c r="G11" s="128">
        <v>2</v>
      </c>
      <c r="H11" s="128"/>
      <c r="I11" s="18">
        <f t="shared" si="0"/>
        <v>99</v>
      </c>
      <c r="J11" s="128">
        <v>3</v>
      </c>
      <c r="K11" s="128"/>
      <c r="L11" s="128"/>
      <c r="M11" s="128"/>
      <c r="N11" s="128"/>
      <c r="O11" s="18">
        <f t="shared" si="1"/>
        <v>3</v>
      </c>
      <c r="P11" s="18"/>
      <c r="Q11" s="18"/>
      <c r="R11" s="18"/>
      <c r="S11" s="18"/>
      <c r="T11" s="18"/>
      <c r="U11" s="18">
        <f t="shared" si="2"/>
        <v>0</v>
      </c>
      <c r="V11" s="18"/>
      <c r="W11" s="18"/>
      <c r="X11" s="18"/>
      <c r="Y11" s="18"/>
      <c r="Z11" s="18"/>
      <c r="AA11" s="18">
        <f t="shared" si="3"/>
        <v>0</v>
      </c>
      <c r="AB11" s="18"/>
      <c r="AC11" s="18"/>
      <c r="AD11" s="18"/>
      <c r="AE11" s="18"/>
      <c r="AF11" s="18"/>
      <c r="AG11" s="18">
        <f t="shared" si="4"/>
        <v>0</v>
      </c>
      <c r="AH11" s="18"/>
      <c r="AI11" s="18"/>
      <c r="AJ11" s="18"/>
      <c r="AK11" s="18"/>
      <c r="AL11" s="18"/>
      <c r="AM11" s="18">
        <f t="shared" si="5"/>
        <v>0</v>
      </c>
      <c r="AN11" s="18"/>
      <c r="AO11" s="18"/>
      <c r="AP11" s="18">
        <f t="shared" si="6"/>
        <v>0</v>
      </c>
      <c r="AQ11" s="32">
        <f t="shared" si="7"/>
        <v>102</v>
      </c>
    </row>
    <row r="12" spans="1:43" x14ac:dyDescent="0.35">
      <c r="A12" s="126" t="s">
        <v>339</v>
      </c>
      <c r="B12" s="126" t="s">
        <v>340</v>
      </c>
      <c r="C12" s="126" t="s">
        <v>1293</v>
      </c>
      <c r="D12" s="128">
        <v>64</v>
      </c>
      <c r="E12" s="128">
        <v>8</v>
      </c>
      <c r="F12" s="128">
        <v>1</v>
      </c>
      <c r="G12" s="128"/>
      <c r="H12" s="128"/>
      <c r="I12" s="18">
        <f t="shared" si="0"/>
        <v>73</v>
      </c>
      <c r="J12" s="128">
        <v>116</v>
      </c>
      <c r="K12" s="128">
        <v>16</v>
      </c>
      <c r="L12" s="128">
        <v>1</v>
      </c>
      <c r="M12" s="128"/>
      <c r="N12" s="128"/>
      <c r="O12" s="18">
        <f t="shared" si="1"/>
        <v>133</v>
      </c>
      <c r="P12" s="18">
        <v>6</v>
      </c>
      <c r="Q12" s="18"/>
      <c r="R12" s="18"/>
      <c r="S12" s="18"/>
      <c r="T12" s="18"/>
      <c r="U12" s="18">
        <f t="shared" si="2"/>
        <v>6</v>
      </c>
      <c r="V12" s="18"/>
      <c r="W12" s="18"/>
      <c r="X12" s="18"/>
      <c r="Y12" s="18"/>
      <c r="Z12" s="18"/>
      <c r="AA12" s="18">
        <f t="shared" si="3"/>
        <v>0</v>
      </c>
      <c r="AB12" s="18">
        <v>6</v>
      </c>
      <c r="AC12" s="18"/>
      <c r="AD12" s="18"/>
      <c r="AE12" s="18"/>
      <c r="AF12" s="18"/>
      <c r="AG12" s="18">
        <f t="shared" si="4"/>
        <v>6</v>
      </c>
      <c r="AH12" s="18">
        <v>23</v>
      </c>
      <c r="AI12" s="18"/>
      <c r="AJ12" s="18"/>
      <c r="AK12" s="18"/>
      <c r="AL12" s="18"/>
      <c r="AM12" s="18">
        <f t="shared" si="5"/>
        <v>23</v>
      </c>
      <c r="AN12" s="18"/>
      <c r="AO12" s="18"/>
      <c r="AP12" s="18">
        <f t="shared" si="6"/>
        <v>0</v>
      </c>
      <c r="AQ12" s="32">
        <f t="shared" si="7"/>
        <v>241</v>
      </c>
    </row>
    <row r="13" spans="1:43" x14ac:dyDescent="0.35">
      <c r="A13" s="126" t="s">
        <v>341</v>
      </c>
      <c r="B13" s="126" t="s">
        <v>342</v>
      </c>
      <c r="C13" s="126" t="s">
        <v>1293</v>
      </c>
      <c r="D13" s="128">
        <v>10</v>
      </c>
      <c r="E13" s="128">
        <v>1</v>
      </c>
      <c r="F13" s="128"/>
      <c r="G13" s="128"/>
      <c r="H13" s="128"/>
      <c r="I13" s="18">
        <f t="shared" si="0"/>
        <v>11</v>
      </c>
      <c r="J13" s="128"/>
      <c r="K13" s="128"/>
      <c r="L13" s="128"/>
      <c r="M13" s="128"/>
      <c r="N13" s="128"/>
      <c r="O13" s="18">
        <f t="shared" si="1"/>
        <v>0</v>
      </c>
      <c r="P13" s="18">
        <v>1</v>
      </c>
      <c r="Q13" s="18"/>
      <c r="R13" s="18"/>
      <c r="S13" s="18"/>
      <c r="T13" s="18"/>
      <c r="U13" s="18">
        <f t="shared" si="2"/>
        <v>1</v>
      </c>
      <c r="V13" s="18"/>
      <c r="W13" s="18"/>
      <c r="X13" s="18"/>
      <c r="Y13" s="18"/>
      <c r="Z13" s="18"/>
      <c r="AA13" s="18">
        <f t="shared" si="3"/>
        <v>0</v>
      </c>
      <c r="AB13" s="18"/>
      <c r="AC13" s="18"/>
      <c r="AD13" s="18"/>
      <c r="AE13" s="18"/>
      <c r="AF13" s="18"/>
      <c r="AG13" s="18">
        <f t="shared" si="4"/>
        <v>0</v>
      </c>
      <c r="AH13" s="18"/>
      <c r="AI13" s="18"/>
      <c r="AJ13" s="18"/>
      <c r="AK13" s="18"/>
      <c r="AL13" s="18"/>
      <c r="AM13" s="18">
        <f t="shared" si="5"/>
        <v>0</v>
      </c>
      <c r="AN13" s="18"/>
      <c r="AO13" s="18"/>
      <c r="AP13" s="18">
        <f t="shared" si="6"/>
        <v>0</v>
      </c>
      <c r="AQ13" s="32">
        <f t="shared" si="7"/>
        <v>12</v>
      </c>
    </row>
    <row r="14" spans="1:43" x14ac:dyDescent="0.35">
      <c r="A14" s="126" t="s">
        <v>343</v>
      </c>
      <c r="B14" s="126" t="s">
        <v>344</v>
      </c>
      <c r="C14" s="126" t="s">
        <v>1293</v>
      </c>
      <c r="D14" s="128">
        <v>24</v>
      </c>
      <c r="E14" s="128">
        <v>4</v>
      </c>
      <c r="F14" s="128">
        <v>3</v>
      </c>
      <c r="G14" s="128">
        <v>1</v>
      </c>
      <c r="H14" s="128"/>
      <c r="I14" s="18">
        <f t="shared" si="0"/>
        <v>32</v>
      </c>
      <c r="J14" s="128">
        <v>1</v>
      </c>
      <c r="K14" s="128"/>
      <c r="L14" s="128"/>
      <c r="M14" s="128"/>
      <c r="N14" s="128"/>
      <c r="O14" s="18">
        <f t="shared" si="1"/>
        <v>1</v>
      </c>
      <c r="P14" s="18"/>
      <c r="Q14" s="18"/>
      <c r="R14" s="18"/>
      <c r="S14" s="18"/>
      <c r="T14" s="18"/>
      <c r="U14" s="18">
        <f t="shared" si="2"/>
        <v>0</v>
      </c>
      <c r="V14" s="18"/>
      <c r="W14" s="18"/>
      <c r="X14" s="18"/>
      <c r="Y14" s="18"/>
      <c r="Z14" s="18"/>
      <c r="AA14" s="18">
        <f t="shared" si="3"/>
        <v>0</v>
      </c>
      <c r="AB14" s="18"/>
      <c r="AC14" s="18"/>
      <c r="AD14" s="18"/>
      <c r="AE14" s="18"/>
      <c r="AF14" s="18"/>
      <c r="AG14" s="18">
        <f t="shared" si="4"/>
        <v>0</v>
      </c>
      <c r="AH14" s="18"/>
      <c r="AI14" s="18"/>
      <c r="AJ14" s="18"/>
      <c r="AK14" s="18"/>
      <c r="AL14" s="18"/>
      <c r="AM14" s="18">
        <f t="shared" si="5"/>
        <v>0</v>
      </c>
      <c r="AN14" s="18"/>
      <c r="AO14" s="18"/>
      <c r="AP14" s="18">
        <f t="shared" si="6"/>
        <v>0</v>
      </c>
      <c r="AQ14" s="32">
        <f t="shared" si="7"/>
        <v>33</v>
      </c>
    </row>
    <row r="15" spans="1:43" x14ac:dyDescent="0.35">
      <c r="A15" s="126" t="s">
        <v>345</v>
      </c>
      <c r="B15" s="126" t="s">
        <v>346</v>
      </c>
      <c r="C15" s="126" t="s">
        <v>1293</v>
      </c>
      <c r="D15" s="128">
        <v>18</v>
      </c>
      <c r="E15" s="128">
        <v>16</v>
      </c>
      <c r="F15" s="128">
        <v>4</v>
      </c>
      <c r="G15" s="128"/>
      <c r="H15" s="128"/>
      <c r="I15" s="18">
        <f t="shared" si="0"/>
        <v>38</v>
      </c>
      <c r="J15" s="128">
        <v>2</v>
      </c>
      <c r="K15" s="128"/>
      <c r="L15" s="128"/>
      <c r="M15" s="128"/>
      <c r="N15" s="128"/>
      <c r="O15" s="18">
        <f t="shared" si="1"/>
        <v>2</v>
      </c>
      <c r="P15" s="18"/>
      <c r="Q15" s="18"/>
      <c r="R15" s="18"/>
      <c r="S15" s="18"/>
      <c r="T15" s="18"/>
      <c r="U15" s="18">
        <f t="shared" si="2"/>
        <v>0</v>
      </c>
      <c r="V15" s="18"/>
      <c r="W15" s="18"/>
      <c r="X15" s="18"/>
      <c r="Y15" s="18"/>
      <c r="Z15" s="18"/>
      <c r="AA15" s="18">
        <f t="shared" si="3"/>
        <v>0</v>
      </c>
      <c r="AB15" s="18"/>
      <c r="AC15" s="18"/>
      <c r="AD15" s="18"/>
      <c r="AE15" s="18"/>
      <c r="AF15" s="18"/>
      <c r="AG15" s="18">
        <f t="shared" si="4"/>
        <v>0</v>
      </c>
      <c r="AH15" s="18"/>
      <c r="AI15" s="18"/>
      <c r="AJ15" s="18"/>
      <c r="AK15" s="18"/>
      <c r="AL15" s="18"/>
      <c r="AM15" s="18">
        <f t="shared" si="5"/>
        <v>0</v>
      </c>
      <c r="AN15" s="18"/>
      <c r="AO15" s="18"/>
      <c r="AP15" s="18">
        <f t="shared" si="6"/>
        <v>0</v>
      </c>
      <c r="AQ15" s="32">
        <f t="shared" si="7"/>
        <v>40</v>
      </c>
    </row>
    <row r="16" spans="1:43" x14ac:dyDescent="0.35">
      <c r="A16" s="126" t="s">
        <v>347</v>
      </c>
      <c r="B16" s="126" t="s">
        <v>348</v>
      </c>
      <c r="C16" s="126" t="s">
        <v>1293</v>
      </c>
      <c r="D16" s="128">
        <v>4</v>
      </c>
      <c r="E16" s="128">
        <v>2</v>
      </c>
      <c r="F16" s="128"/>
      <c r="G16" s="128"/>
      <c r="H16" s="128"/>
      <c r="I16" s="18">
        <f t="shared" si="0"/>
        <v>6</v>
      </c>
      <c r="J16" s="128">
        <v>1</v>
      </c>
      <c r="K16" s="128"/>
      <c r="L16" s="128"/>
      <c r="M16" s="128">
        <v>1</v>
      </c>
      <c r="N16" s="128"/>
      <c r="O16" s="18">
        <f t="shared" si="1"/>
        <v>2</v>
      </c>
      <c r="P16" s="18">
        <v>1</v>
      </c>
      <c r="Q16" s="18"/>
      <c r="R16" s="18"/>
      <c r="S16" s="18"/>
      <c r="T16" s="18"/>
      <c r="U16" s="18">
        <f t="shared" si="2"/>
        <v>1</v>
      </c>
      <c r="V16" s="18">
        <v>1</v>
      </c>
      <c r="W16" s="18"/>
      <c r="X16" s="18"/>
      <c r="Y16" s="18"/>
      <c r="Z16" s="18"/>
      <c r="AA16" s="18">
        <f t="shared" si="3"/>
        <v>1</v>
      </c>
      <c r="AB16" s="18"/>
      <c r="AC16" s="18"/>
      <c r="AD16" s="18"/>
      <c r="AE16" s="18"/>
      <c r="AF16" s="18"/>
      <c r="AG16" s="18">
        <f t="shared" si="4"/>
        <v>0</v>
      </c>
      <c r="AH16" s="18"/>
      <c r="AI16" s="18"/>
      <c r="AJ16" s="18"/>
      <c r="AK16" s="18"/>
      <c r="AL16" s="18"/>
      <c r="AM16" s="18">
        <f t="shared" si="5"/>
        <v>0</v>
      </c>
      <c r="AN16" s="18"/>
      <c r="AO16" s="18"/>
      <c r="AP16" s="18">
        <f t="shared" si="6"/>
        <v>0</v>
      </c>
      <c r="AQ16" s="32">
        <f t="shared" si="7"/>
        <v>10</v>
      </c>
    </row>
    <row r="17" spans="1:43" x14ac:dyDescent="0.35">
      <c r="A17" s="126" t="s">
        <v>349</v>
      </c>
      <c r="B17" s="126" t="s">
        <v>1211</v>
      </c>
      <c r="C17" s="126" t="s">
        <v>1293</v>
      </c>
      <c r="D17" s="128">
        <v>69</v>
      </c>
      <c r="E17" s="128">
        <v>1</v>
      </c>
      <c r="F17" s="128"/>
      <c r="G17" s="128"/>
      <c r="H17" s="128"/>
      <c r="I17" s="18">
        <f t="shared" si="0"/>
        <v>70</v>
      </c>
      <c r="J17" s="128">
        <v>6</v>
      </c>
      <c r="K17" s="128"/>
      <c r="L17" s="128"/>
      <c r="M17" s="128"/>
      <c r="N17" s="128"/>
      <c r="O17" s="18">
        <f t="shared" si="1"/>
        <v>6</v>
      </c>
      <c r="P17" s="18">
        <v>2</v>
      </c>
      <c r="Q17" s="18"/>
      <c r="R17" s="18"/>
      <c r="S17" s="18"/>
      <c r="T17" s="18"/>
      <c r="U17" s="18">
        <f t="shared" si="2"/>
        <v>2</v>
      </c>
      <c r="V17" s="18"/>
      <c r="W17" s="18"/>
      <c r="X17" s="18"/>
      <c r="Y17" s="18"/>
      <c r="Z17" s="18"/>
      <c r="AA17" s="18">
        <f t="shared" si="3"/>
        <v>0</v>
      </c>
      <c r="AB17" s="18">
        <v>3</v>
      </c>
      <c r="AC17" s="18"/>
      <c r="AD17" s="18"/>
      <c r="AE17" s="18"/>
      <c r="AF17" s="18"/>
      <c r="AG17" s="18">
        <f t="shared" si="4"/>
        <v>3</v>
      </c>
      <c r="AH17" s="18">
        <v>2</v>
      </c>
      <c r="AI17" s="18"/>
      <c r="AJ17" s="18"/>
      <c r="AK17" s="18"/>
      <c r="AL17" s="18"/>
      <c r="AM17" s="18">
        <f t="shared" si="5"/>
        <v>2</v>
      </c>
      <c r="AN17" s="18"/>
      <c r="AO17" s="18"/>
      <c r="AP17" s="18">
        <f t="shared" si="6"/>
        <v>0</v>
      </c>
      <c r="AQ17" s="32">
        <f t="shared" si="7"/>
        <v>83</v>
      </c>
    </row>
    <row r="18" spans="1:43" x14ac:dyDescent="0.35">
      <c r="A18" s="126" t="s">
        <v>350</v>
      </c>
      <c r="B18" s="126" t="s">
        <v>351</v>
      </c>
      <c r="C18" s="126" t="s">
        <v>1293</v>
      </c>
      <c r="D18" s="128">
        <v>24</v>
      </c>
      <c r="E18" s="128">
        <v>5</v>
      </c>
      <c r="F18" s="128">
        <v>1</v>
      </c>
      <c r="G18" s="128"/>
      <c r="H18" s="128"/>
      <c r="I18" s="18">
        <f t="shared" si="0"/>
        <v>30</v>
      </c>
      <c r="J18" s="128">
        <v>3</v>
      </c>
      <c r="K18" s="128"/>
      <c r="L18" s="128"/>
      <c r="M18" s="128"/>
      <c r="N18" s="128"/>
      <c r="O18" s="18">
        <f t="shared" si="1"/>
        <v>3</v>
      </c>
      <c r="P18" s="18">
        <v>7</v>
      </c>
      <c r="Q18" s="18"/>
      <c r="R18" s="18"/>
      <c r="S18" s="18"/>
      <c r="T18" s="18"/>
      <c r="U18" s="18">
        <f t="shared" si="2"/>
        <v>7</v>
      </c>
      <c r="V18" s="18">
        <v>1</v>
      </c>
      <c r="W18" s="18"/>
      <c r="X18" s="18"/>
      <c r="Y18" s="18"/>
      <c r="Z18" s="18"/>
      <c r="AA18" s="18">
        <f t="shared" si="3"/>
        <v>1</v>
      </c>
      <c r="AB18" s="18"/>
      <c r="AC18" s="18"/>
      <c r="AD18" s="18"/>
      <c r="AE18" s="18"/>
      <c r="AF18" s="18"/>
      <c r="AG18" s="18">
        <f t="shared" si="4"/>
        <v>0</v>
      </c>
      <c r="AH18" s="18">
        <v>1</v>
      </c>
      <c r="AI18" s="18"/>
      <c r="AJ18" s="18"/>
      <c r="AK18" s="18"/>
      <c r="AL18" s="18"/>
      <c r="AM18" s="18">
        <f t="shared" si="5"/>
        <v>1</v>
      </c>
      <c r="AN18" s="18"/>
      <c r="AO18" s="18"/>
      <c r="AP18" s="18">
        <f t="shared" si="6"/>
        <v>0</v>
      </c>
      <c r="AQ18" s="32">
        <f t="shared" si="7"/>
        <v>42</v>
      </c>
    </row>
    <row r="19" spans="1:43" x14ac:dyDescent="0.35">
      <c r="A19" s="126" t="s">
        <v>352</v>
      </c>
      <c r="B19" s="126" t="s">
        <v>1212</v>
      </c>
      <c r="C19" s="126" t="s">
        <v>1293</v>
      </c>
      <c r="D19" s="128">
        <v>65</v>
      </c>
      <c r="E19" s="128">
        <v>2</v>
      </c>
      <c r="F19" s="128"/>
      <c r="G19" s="128"/>
      <c r="H19" s="128"/>
      <c r="I19" s="18">
        <f t="shared" si="0"/>
        <v>67</v>
      </c>
      <c r="J19" s="128">
        <v>20</v>
      </c>
      <c r="K19" s="128"/>
      <c r="L19" s="128"/>
      <c r="M19" s="128"/>
      <c r="N19" s="128"/>
      <c r="O19" s="18">
        <f t="shared" si="1"/>
        <v>20</v>
      </c>
      <c r="P19" s="18">
        <v>8</v>
      </c>
      <c r="Q19" s="18"/>
      <c r="R19" s="18"/>
      <c r="S19" s="18"/>
      <c r="T19" s="18"/>
      <c r="U19" s="18">
        <f t="shared" si="2"/>
        <v>8</v>
      </c>
      <c r="V19" s="18">
        <v>4</v>
      </c>
      <c r="W19" s="18"/>
      <c r="X19" s="18"/>
      <c r="Y19" s="18"/>
      <c r="Z19" s="18"/>
      <c r="AA19" s="18">
        <f t="shared" si="3"/>
        <v>4</v>
      </c>
      <c r="AB19" s="18">
        <v>11</v>
      </c>
      <c r="AC19" s="18"/>
      <c r="AD19" s="18"/>
      <c r="AE19" s="18"/>
      <c r="AF19" s="18"/>
      <c r="AG19" s="18">
        <f t="shared" si="4"/>
        <v>11</v>
      </c>
      <c r="AH19" s="18">
        <v>14</v>
      </c>
      <c r="AI19" s="18"/>
      <c r="AJ19" s="18"/>
      <c r="AK19" s="18"/>
      <c r="AL19" s="18"/>
      <c r="AM19" s="18">
        <f t="shared" si="5"/>
        <v>14</v>
      </c>
      <c r="AN19" s="18"/>
      <c r="AO19" s="18"/>
      <c r="AP19" s="18">
        <f t="shared" si="6"/>
        <v>0</v>
      </c>
      <c r="AQ19" s="32">
        <f t="shared" si="7"/>
        <v>124</v>
      </c>
    </row>
    <row r="20" spans="1:43" x14ac:dyDescent="0.35">
      <c r="A20" s="126" t="s">
        <v>353</v>
      </c>
      <c r="B20" s="126" t="s">
        <v>354</v>
      </c>
      <c r="C20" s="126" t="s">
        <v>1293</v>
      </c>
      <c r="D20" s="128">
        <v>543</v>
      </c>
      <c r="E20" s="128">
        <v>182</v>
      </c>
      <c r="F20" s="128">
        <v>18</v>
      </c>
      <c r="G20" s="128"/>
      <c r="H20" s="128"/>
      <c r="I20" s="18">
        <f t="shared" si="0"/>
        <v>743</v>
      </c>
      <c r="J20" s="128">
        <v>17</v>
      </c>
      <c r="K20" s="128">
        <v>4</v>
      </c>
      <c r="L20" s="128">
        <v>1</v>
      </c>
      <c r="M20" s="128"/>
      <c r="N20" s="128"/>
      <c r="O20" s="18">
        <f t="shared" si="1"/>
        <v>22</v>
      </c>
      <c r="P20" s="18">
        <v>74</v>
      </c>
      <c r="Q20" s="18">
        <v>29</v>
      </c>
      <c r="R20" s="18">
        <v>7</v>
      </c>
      <c r="S20" s="18">
        <v>1</v>
      </c>
      <c r="T20" s="18"/>
      <c r="U20" s="18">
        <f t="shared" si="2"/>
        <v>111</v>
      </c>
      <c r="V20" s="18">
        <v>52</v>
      </c>
      <c r="W20" s="18">
        <v>7</v>
      </c>
      <c r="X20" s="18">
        <v>2</v>
      </c>
      <c r="Y20" s="18"/>
      <c r="Z20" s="18"/>
      <c r="AA20" s="18">
        <f t="shared" si="3"/>
        <v>61</v>
      </c>
      <c r="AB20" s="18">
        <v>25</v>
      </c>
      <c r="AC20" s="18"/>
      <c r="AD20" s="18">
        <v>1</v>
      </c>
      <c r="AE20" s="18"/>
      <c r="AF20" s="18"/>
      <c r="AG20" s="18">
        <f t="shared" si="4"/>
        <v>26</v>
      </c>
      <c r="AH20" s="18">
        <v>8</v>
      </c>
      <c r="AI20" s="18">
        <v>1</v>
      </c>
      <c r="AJ20" s="18"/>
      <c r="AK20" s="18"/>
      <c r="AL20" s="18"/>
      <c r="AM20" s="18">
        <f t="shared" si="5"/>
        <v>9</v>
      </c>
      <c r="AN20" s="18"/>
      <c r="AO20" s="18"/>
      <c r="AP20" s="18">
        <f t="shared" si="6"/>
        <v>0</v>
      </c>
      <c r="AQ20" s="32">
        <f t="shared" si="7"/>
        <v>972</v>
      </c>
    </row>
    <row r="21" spans="1:43" x14ac:dyDescent="0.35">
      <c r="A21" s="126" t="s">
        <v>355</v>
      </c>
      <c r="B21" s="126" t="s">
        <v>1213</v>
      </c>
      <c r="C21" s="126" t="s">
        <v>1293</v>
      </c>
      <c r="D21" s="128">
        <v>22</v>
      </c>
      <c r="E21" s="128"/>
      <c r="F21" s="128"/>
      <c r="G21" s="128"/>
      <c r="H21" s="128"/>
      <c r="I21" s="18">
        <f t="shared" si="0"/>
        <v>22</v>
      </c>
      <c r="J21" s="128">
        <v>1</v>
      </c>
      <c r="K21" s="128"/>
      <c r="L21" s="128"/>
      <c r="M21" s="128"/>
      <c r="N21" s="128"/>
      <c r="O21" s="18">
        <f t="shared" si="1"/>
        <v>1</v>
      </c>
      <c r="P21" s="18"/>
      <c r="Q21" s="18"/>
      <c r="R21" s="18"/>
      <c r="S21" s="18"/>
      <c r="T21" s="18"/>
      <c r="U21" s="18">
        <f t="shared" si="2"/>
        <v>0</v>
      </c>
      <c r="V21" s="18"/>
      <c r="W21" s="18"/>
      <c r="X21" s="18"/>
      <c r="Y21" s="18"/>
      <c r="Z21" s="18"/>
      <c r="AA21" s="18">
        <f t="shared" si="3"/>
        <v>0</v>
      </c>
      <c r="AB21" s="18">
        <v>10</v>
      </c>
      <c r="AC21" s="18"/>
      <c r="AD21" s="18"/>
      <c r="AE21" s="18"/>
      <c r="AF21" s="18"/>
      <c r="AG21" s="18">
        <f t="shared" si="4"/>
        <v>10</v>
      </c>
      <c r="AH21" s="18">
        <v>1</v>
      </c>
      <c r="AI21" s="18"/>
      <c r="AJ21" s="18"/>
      <c r="AK21" s="18"/>
      <c r="AL21" s="18"/>
      <c r="AM21" s="18">
        <f t="shared" si="5"/>
        <v>1</v>
      </c>
      <c r="AN21" s="18"/>
      <c r="AO21" s="18"/>
      <c r="AP21" s="18">
        <f t="shared" si="6"/>
        <v>0</v>
      </c>
      <c r="AQ21" s="32">
        <f t="shared" si="7"/>
        <v>34</v>
      </c>
    </row>
    <row r="22" spans="1:43" x14ac:dyDescent="0.35">
      <c r="A22" s="126" t="s">
        <v>356</v>
      </c>
      <c r="B22" s="126" t="s">
        <v>1214</v>
      </c>
      <c r="C22" s="126" t="s">
        <v>1293</v>
      </c>
      <c r="D22" s="128">
        <v>2</v>
      </c>
      <c r="E22" s="128"/>
      <c r="F22" s="128"/>
      <c r="G22" s="128"/>
      <c r="H22" s="128"/>
      <c r="I22" s="18">
        <f t="shared" si="0"/>
        <v>2</v>
      </c>
      <c r="J22" s="128">
        <v>1</v>
      </c>
      <c r="K22" s="128"/>
      <c r="L22" s="128"/>
      <c r="M22" s="128"/>
      <c r="N22" s="128"/>
      <c r="O22" s="18">
        <f t="shared" si="1"/>
        <v>1</v>
      </c>
      <c r="P22" s="18"/>
      <c r="Q22" s="18"/>
      <c r="R22" s="18"/>
      <c r="S22" s="18"/>
      <c r="T22" s="18"/>
      <c r="U22" s="18">
        <f t="shared" si="2"/>
        <v>0</v>
      </c>
      <c r="V22" s="18"/>
      <c r="W22" s="18"/>
      <c r="X22" s="18"/>
      <c r="Y22" s="18"/>
      <c r="Z22" s="18"/>
      <c r="AA22" s="18">
        <f t="shared" si="3"/>
        <v>0</v>
      </c>
      <c r="AB22" s="18"/>
      <c r="AC22" s="18"/>
      <c r="AD22" s="18"/>
      <c r="AE22" s="18"/>
      <c r="AF22" s="18"/>
      <c r="AG22" s="18">
        <f t="shared" si="4"/>
        <v>0</v>
      </c>
      <c r="AH22" s="18"/>
      <c r="AI22" s="18"/>
      <c r="AJ22" s="18"/>
      <c r="AK22" s="18"/>
      <c r="AL22" s="18"/>
      <c r="AM22" s="18">
        <f t="shared" si="5"/>
        <v>0</v>
      </c>
      <c r="AN22" s="18"/>
      <c r="AO22" s="18"/>
      <c r="AP22" s="18">
        <f t="shared" si="6"/>
        <v>0</v>
      </c>
      <c r="AQ22" s="32">
        <f t="shared" si="7"/>
        <v>3</v>
      </c>
    </row>
    <row r="23" spans="1:43" x14ac:dyDescent="0.35">
      <c r="A23" s="126" t="s">
        <v>357</v>
      </c>
      <c r="B23" s="126" t="s">
        <v>358</v>
      </c>
      <c r="C23" s="126" t="s">
        <v>1293</v>
      </c>
      <c r="D23" s="128">
        <v>40</v>
      </c>
      <c r="E23" s="128">
        <v>41</v>
      </c>
      <c r="F23" s="128">
        <v>18</v>
      </c>
      <c r="G23" s="128">
        <v>2</v>
      </c>
      <c r="H23" s="128"/>
      <c r="I23" s="18">
        <f t="shared" si="0"/>
        <v>101</v>
      </c>
      <c r="J23" s="128">
        <v>9</v>
      </c>
      <c r="K23" s="128">
        <v>4</v>
      </c>
      <c r="L23" s="128">
        <v>3</v>
      </c>
      <c r="M23" s="128"/>
      <c r="N23" s="128"/>
      <c r="O23" s="18">
        <f t="shared" si="1"/>
        <v>16</v>
      </c>
      <c r="P23" s="18">
        <v>30</v>
      </c>
      <c r="Q23" s="18">
        <v>15</v>
      </c>
      <c r="R23" s="18">
        <v>10</v>
      </c>
      <c r="S23" s="18"/>
      <c r="T23" s="18"/>
      <c r="U23" s="18">
        <f t="shared" si="2"/>
        <v>55</v>
      </c>
      <c r="V23" s="18">
        <v>3</v>
      </c>
      <c r="W23" s="18"/>
      <c r="X23" s="18"/>
      <c r="Y23" s="18"/>
      <c r="Z23" s="18"/>
      <c r="AA23" s="18">
        <f t="shared" si="3"/>
        <v>3</v>
      </c>
      <c r="AB23" s="18">
        <v>16</v>
      </c>
      <c r="AC23" s="18">
        <v>4</v>
      </c>
      <c r="AD23" s="18">
        <v>4</v>
      </c>
      <c r="AE23" s="18"/>
      <c r="AF23" s="18"/>
      <c r="AG23" s="18">
        <f t="shared" si="4"/>
        <v>24</v>
      </c>
      <c r="AH23" s="18">
        <v>12</v>
      </c>
      <c r="AI23" s="18"/>
      <c r="AJ23" s="18"/>
      <c r="AK23" s="18"/>
      <c r="AL23" s="18"/>
      <c r="AM23" s="18">
        <f t="shared" si="5"/>
        <v>12</v>
      </c>
      <c r="AN23" s="18"/>
      <c r="AO23" s="18"/>
      <c r="AP23" s="18">
        <f t="shared" si="6"/>
        <v>0</v>
      </c>
      <c r="AQ23" s="32">
        <f t="shared" si="7"/>
        <v>211</v>
      </c>
    </row>
    <row r="24" spans="1:43" x14ac:dyDescent="0.35">
      <c r="A24" s="126" t="s">
        <v>359</v>
      </c>
      <c r="B24" s="126" t="s">
        <v>360</v>
      </c>
      <c r="C24" s="126" t="s">
        <v>1293</v>
      </c>
      <c r="D24" s="128">
        <v>34</v>
      </c>
      <c r="E24" s="128">
        <v>2</v>
      </c>
      <c r="F24" s="128">
        <v>4</v>
      </c>
      <c r="G24" s="128">
        <v>1</v>
      </c>
      <c r="H24" s="128"/>
      <c r="I24" s="18">
        <f t="shared" si="0"/>
        <v>41</v>
      </c>
      <c r="J24" s="128">
        <v>10</v>
      </c>
      <c r="K24" s="128">
        <v>1</v>
      </c>
      <c r="L24" s="128"/>
      <c r="M24" s="128"/>
      <c r="N24" s="128"/>
      <c r="O24" s="18">
        <f t="shared" si="1"/>
        <v>11</v>
      </c>
      <c r="P24" s="18">
        <v>14</v>
      </c>
      <c r="Q24" s="18">
        <v>1</v>
      </c>
      <c r="R24" s="18"/>
      <c r="S24" s="18"/>
      <c r="T24" s="18"/>
      <c r="U24" s="18">
        <f t="shared" si="2"/>
        <v>15</v>
      </c>
      <c r="V24" s="18">
        <v>1</v>
      </c>
      <c r="W24" s="18"/>
      <c r="X24" s="18"/>
      <c r="Y24" s="18"/>
      <c r="Z24" s="18"/>
      <c r="AA24" s="18">
        <f t="shared" si="3"/>
        <v>1</v>
      </c>
      <c r="AB24" s="18">
        <v>14</v>
      </c>
      <c r="AC24" s="18"/>
      <c r="AD24" s="18"/>
      <c r="AE24" s="18">
        <v>2</v>
      </c>
      <c r="AF24" s="18"/>
      <c r="AG24" s="18">
        <f t="shared" si="4"/>
        <v>16</v>
      </c>
      <c r="AH24" s="18">
        <v>7</v>
      </c>
      <c r="AI24" s="18"/>
      <c r="AJ24" s="18">
        <v>1</v>
      </c>
      <c r="AK24" s="18"/>
      <c r="AL24" s="18"/>
      <c r="AM24" s="18">
        <f t="shared" si="5"/>
        <v>8</v>
      </c>
      <c r="AN24" s="18"/>
      <c r="AO24" s="18"/>
      <c r="AP24" s="18">
        <f t="shared" si="6"/>
        <v>0</v>
      </c>
      <c r="AQ24" s="32">
        <f t="shared" si="7"/>
        <v>92</v>
      </c>
    </row>
    <row r="25" spans="1:43" x14ac:dyDescent="0.35">
      <c r="A25" s="126" t="s">
        <v>361</v>
      </c>
      <c r="B25" s="126" t="s">
        <v>362</v>
      </c>
      <c r="C25" s="126" t="s">
        <v>1293</v>
      </c>
      <c r="D25" s="128">
        <v>30</v>
      </c>
      <c r="E25" s="128">
        <v>1</v>
      </c>
      <c r="F25" s="128"/>
      <c r="G25" s="128"/>
      <c r="H25" s="128"/>
      <c r="I25" s="18">
        <f t="shared" si="0"/>
        <v>31</v>
      </c>
      <c r="J25" s="128">
        <v>14</v>
      </c>
      <c r="K25" s="128"/>
      <c r="L25" s="128"/>
      <c r="M25" s="128"/>
      <c r="N25" s="128"/>
      <c r="O25" s="18">
        <f t="shared" si="1"/>
        <v>14</v>
      </c>
      <c r="P25" s="18">
        <v>1</v>
      </c>
      <c r="Q25" s="18"/>
      <c r="R25" s="18"/>
      <c r="S25" s="18"/>
      <c r="T25" s="18"/>
      <c r="U25" s="18">
        <f t="shared" si="2"/>
        <v>1</v>
      </c>
      <c r="V25" s="18">
        <v>1</v>
      </c>
      <c r="W25" s="18"/>
      <c r="X25" s="18"/>
      <c r="Y25" s="18"/>
      <c r="Z25" s="18"/>
      <c r="AA25" s="18">
        <f t="shared" si="3"/>
        <v>1</v>
      </c>
      <c r="AB25" s="18">
        <v>9</v>
      </c>
      <c r="AC25" s="18"/>
      <c r="AD25" s="18"/>
      <c r="AE25" s="18"/>
      <c r="AF25" s="18"/>
      <c r="AG25" s="18">
        <f t="shared" si="4"/>
        <v>9</v>
      </c>
      <c r="AH25" s="18">
        <v>4</v>
      </c>
      <c r="AI25" s="18"/>
      <c r="AJ25" s="18"/>
      <c r="AK25" s="18"/>
      <c r="AL25" s="18"/>
      <c r="AM25" s="18">
        <f t="shared" si="5"/>
        <v>4</v>
      </c>
      <c r="AN25" s="18"/>
      <c r="AO25" s="18"/>
      <c r="AP25" s="18">
        <f t="shared" si="6"/>
        <v>0</v>
      </c>
      <c r="AQ25" s="32">
        <f t="shared" si="7"/>
        <v>60</v>
      </c>
    </row>
    <row r="26" spans="1:43" x14ac:dyDescent="0.35">
      <c r="A26" s="126" t="s">
        <v>363</v>
      </c>
      <c r="B26" s="126" t="s">
        <v>1215</v>
      </c>
      <c r="C26" s="126" t="s">
        <v>1293</v>
      </c>
      <c r="D26" s="128">
        <v>143</v>
      </c>
      <c r="E26" s="128">
        <v>23</v>
      </c>
      <c r="F26" s="128">
        <v>4</v>
      </c>
      <c r="G26" s="128"/>
      <c r="H26" s="128"/>
      <c r="I26" s="18">
        <f t="shared" si="0"/>
        <v>170</v>
      </c>
      <c r="J26" s="128">
        <v>17</v>
      </c>
      <c r="K26" s="128">
        <v>4</v>
      </c>
      <c r="L26" s="128">
        <v>1</v>
      </c>
      <c r="M26" s="128"/>
      <c r="N26" s="128"/>
      <c r="O26" s="18">
        <f t="shared" si="1"/>
        <v>22</v>
      </c>
      <c r="P26" s="18">
        <v>10</v>
      </c>
      <c r="Q26" s="18">
        <v>2</v>
      </c>
      <c r="R26" s="18">
        <v>1</v>
      </c>
      <c r="S26" s="18"/>
      <c r="T26" s="18"/>
      <c r="U26" s="18">
        <f t="shared" si="2"/>
        <v>13</v>
      </c>
      <c r="V26" s="18">
        <v>28</v>
      </c>
      <c r="W26" s="18"/>
      <c r="X26" s="18"/>
      <c r="Y26" s="18"/>
      <c r="Z26" s="18"/>
      <c r="AA26" s="18">
        <f t="shared" si="3"/>
        <v>28</v>
      </c>
      <c r="AB26" s="18">
        <v>7</v>
      </c>
      <c r="AC26" s="18">
        <v>1</v>
      </c>
      <c r="AD26" s="18"/>
      <c r="AE26" s="18"/>
      <c r="AF26" s="18"/>
      <c r="AG26" s="18">
        <f t="shared" si="4"/>
        <v>8</v>
      </c>
      <c r="AH26" s="18">
        <v>2</v>
      </c>
      <c r="AI26" s="18"/>
      <c r="AJ26" s="18"/>
      <c r="AK26" s="18"/>
      <c r="AL26" s="18"/>
      <c r="AM26" s="18">
        <f t="shared" si="5"/>
        <v>2</v>
      </c>
      <c r="AN26" s="18"/>
      <c r="AO26" s="18"/>
      <c r="AP26" s="18">
        <f t="shared" si="6"/>
        <v>0</v>
      </c>
      <c r="AQ26" s="32">
        <f t="shared" si="7"/>
        <v>243</v>
      </c>
    </row>
    <row r="27" spans="1:43" x14ac:dyDescent="0.35">
      <c r="A27" s="126" t="s">
        <v>364</v>
      </c>
      <c r="B27" s="126" t="s">
        <v>1216</v>
      </c>
      <c r="C27" s="126" t="s">
        <v>1294</v>
      </c>
      <c r="D27" s="128">
        <v>164</v>
      </c>
      <c r="E27" s="128">
        <v>8</v>
      </c>
      <c r="F27" s="128">
        <v>1</v>
      </c>
      <c r="G27" s="128">
        <v>1</v>
      </c>
      <c r="H27" s="128"/>
      <c r="I27" s="18">
        <f t="shared" si="0"/>
        <v>174</v>
      </c>
      <c r="J27" s="128">
        <v>26</v>
      </c>
      <c r="K27" s="128">
        <v>2</v>
      </c>
      <c r="L27" s="128"/>
      <c r="M27" s="128"/>
      <c r="N27" s="128"/>
      <c r="O27" s="18">
        <f t="shared" si="1"/>
        <v>28</v>
      </c>
      <c r="P27" s="18">
        <v>14</v>
      </c>
      <c r="Q27" s="18"/>
      <c r="R27" s="18"/>
      <c r="S27" s="18"/>
      <c r="T27" s="18"/>
      <c r="U27" s="18">
        <f t="shared" si="2"/>
        <v>14</v>
      </c>
      <c r="V27" s="18">
        <v>11</v>
      </c>
      <c r="W27" s="18"/>
      <c r="X27" s="18"/>
      <c r="Y27" s="18"/>
      <c r="Z27" s="18"/>
      <c r="AA27" s="18">
        <f t="shared" si="3"/>
        <v>11</v>
      </c>
      <c r="AB27" s="18">
        <v>19</v>
      </c>
      <c r="AC27" s="18"/>
      <c r="AD27" s="18"/>
      <c r="AE27" s="18"/>
      <c r="AF27" s="18"/>
      <c r="AG27" s="18">
        <f t="shared" si="4"/>
        <v>19</v>
      </c>
      <c r="AH27" s="18">
        <v>6</v>
      </c>
      <c r="AI27" s="18"/>
      <c r="AJ27" s="18"/>
      <c r="AK27" s="18"/>
      <c r="AL27" s="18"/>
      <c r="AM27" s="18">
        <f t="shared" si="5"/>
        <v>6</v>
      </c>
      <c r="AN27" s="18"/>
      <c r="AO27" s="18"/>
      <c r="AP27" s="18">
        <f t="shared" si="6"/>
        <v>0</v>
      </c>
      <c r="AQ27" s="32">
        <f t="shared" si="7"/>
        <v>252</v>
      </c>
    </row>
    <row r="28" spans="1:43" x14ac:dyDescent="0.35">
      <c r="A28" s="126" t="s">
        <v>365</v>
      </c>
      <c r="B28" s="126" t="s">
        <v>366</v>
      </c>
      <c r="C28" s="126" t="s">
        <v>1294</v>
      </c>
      <c r="D28" s="128">
        <v>85</v>
      </c>
      <c r="E28" s="128">
        <v>3</v>
      </c>
      <c r="F28" s="128">
        <v>2</v>
      </c>
      <c r="G28" s="128"/>
      <c r="H28" s="128"/>
      <c r="I28" s="18">
        <f t="shared" si="0"/>
        <v>90</v>
      </c>
      <c r="J28" s="128">
        <v>1</v>
      </c>
      <c r="K28" s="128"/>
      <c r="L28" s="128"/>
      <c r="M28" s="128"/>
      <c r="N28" s="128"/>
      <c r="O28" s="18">
        <f t="shared" si="1"/>
        <v>1</v>
      </c>
      <c r="P28" s="18">
        <v>8</v>
      </c>
      <c r="Q28" s="18"/>
      <c r="R28" s="18">
        <v>1</v>
      </c>
      <c r="S28" s="18"/>
      <c r="T28" s="18"/>
      <c r="U28" s="18">
        <f t="shared" si="2"/>
        <v>9</v>
      </c>
      <c r="V28" s="18">
        <v>8</v>
      </c>
      <c r="W28" s="18"/>
      <c r="X28" s="18"/>
      <c r="Y28" s="18"/>
      <c r="Z28" s="18"/>
      <c r="AA28" s="18">
        <f t="shared" si="3"/>
        <v>8</v>
      </c>
      <c r="AB28" s="18">
        <v>7</v>
      </c>
      <c r="AC28" s="18"/>
      <c r="AD28" s="18"/>
      <c r="AE28" s="18"/>
      <c r="AF28" s="18"/>
      <c r="AG28" s="18">
        <f t="shared" si="4"/>
        <v>7</v>
      </c>
      <c r="AH28" s="18">
        <v>3</v>
      </c>
      <c r="AI28" s="18"/>
      <c r="AJ28" s="18"/>
      <c r="AK28" s="18"/>
      <c r="AL28" s="18"/>
      <c r="AM28" s="18">
        <f t="shared" si="5"/>
        <v>3</v>
      </c>
      <c r="AN28" s="18"/>
      <c r="AO28" s="18"/>
      <c r="AP28" s="18">
        <f t="shared" si="6"/>
        <v>0</v>
      </c>
      <c r="AQ28" s="32">
        <f t="shared" si="7"/>
        <v>118</v>
      </c>
    </row>
    <row r="29" spans="1:43" x14ac:dyDescent="0.35">
      <c r="A29" s="126" t="s">
        <v>367</v>
      </c>
      <c r="B29" s="126" t="s">
        <v>1217</v>
      </c>
      <c r="C29" s="126" t="s">
        <v>1294</v>
      </c>
      <c r="D29" s="128">
        <v>18</v>
      </c>
      <c r="E29" s="128">
        <v>3</v>
      </c>
      <c r="F29" s="128"/>
      <c r="G29" s="128">
        <v>1</v>
      </c>
      <c r="H29" s="128"/>
      <c r="I29" s="18">
        <f t="shared" si="0"/>
        <v>22</v>
      </c>
      <c r="J29" s="128">
        <v>12</v>
      </c>
      <c r="K29" s="128"/>
      <c r="L29" s="128"/>
      <c r="M29" s="128"/>
      <c r="N29" s="128"/>
      <c r="O29" s="18">
        <f t="shared" si="1"/>
        <v>12</v>
      </c>
      <c r="P29" s="18">
        <v>2</v>
      </c>
      <c r="Q29" s="18"/>
      <c r="R29" s="18"/>
      <c r="S29" s="18"/>
      <c r="T29" s="18"/>
      <c r="U29" s="18">
        <f t="shared" si="2"/>
        <v>2</v>
      </c>
      <c r="V29" s="18"/>
      <c r="W29" s="18"/>
      <c r="X29" s="18"/>
      <c r="Y29" s="18"/>
      <c r="Z29" s="18"/>
      <c r="AA29" s="18">
        <f t="shared" si="3"/>
        <v>0</v>
      </c>
      <c r="AB29" s="18">
        <v>1</v>
      </c>
      <c r="AC29" s="18"/>
      <c r="AD29" s="18"/>
      <c r="AE29" s="18"/>
      <c r="AF29" s="18"/>
      <c r="AG29" s="18">
        <f t="shared" si="4"/>
        <v>1</v>
      </c>
      <c r="AH29" s="18">
        <v>3</v>
      </c>
      <c r="AI29" s="18"/>
      <c r="AJ29" s="18"/>
      <c r="AK29" s="18"/>
      <c r="AL29" s="18"/>
      <c r="AM29" s="18">
        <f t="shared" si="5"/>
        <v>3</v>
      </c>
      <c r="AN29" s="18"/>
      <c r="AO29" s="18"/>
      <c r="AP29" s="18">
        <f t="shared" si="6"/>
        <v>0</v>
      </c>
      <c r="AQ29" s="32">
        <f t="shared" si="7"/>
        <v>40</v>
      </c>
    </row>
    <row r="30" spans="1:43" x14ac:dyDescent="0.35">
      <c r="A30" s="126" t="s">
        <v>368</v>
      </c>
      <c r="B30" s="126" t="s">
        <v>1218</v>
      </c>
      <c r="C30" s="126" t="s">
        <v>1294</v>
      </c>
      <c r="D30" s="128">
        <v>5</v>
      </c>
      <c r="E30" s="128"/>
      <c r="F30" s="128"/>
      <c r="G30" s="128"/>
      <c r="H30" s="128"/>
      <c r="I30" s="18">
        <f t="shared" si="0"/>
        <v>5</v>
      </c>
      <c r="J30" s="128"/>
      <c r="K30" s="128"/>
      <c r="L30" s="128"/>
      <c r="M30" s="128"/>
      <c r="N30" s="128"/>
      <c r="O30" s="18">
        <f t="shared" si="1"/>
        <v>0</v>
      </c>
      <c r="P30" s="18"/>
      <c r="Q30" s="18"/>
      <c r="R30" s="18"/>
      <c r="S30" s="18"/>
      <c r="T30" s="18"/>
      <c r="U30" s="18">
        <f t="shared" si="2"/>
        <v>0</v>
      </c>
      <c r="V30" s="18"/>
      <c r="W30" s="18"/>
      <c r="X30" s="18"/>
      <c r="Y30" s="18"/>
      <c r="Z30" s="18"/>
      <c r="AA30" s="18">
        <f t="shared" si="3"/>
        <v>0</v>
      </c>
      <c r="AB30" s="18"/>
      <c r="AC30" s="18"/>
      <c r="AD30" s="18"/>
      <c r="AE30" s="18"/>
      <c r="AF30" s="18"/>
      <c r="AG30" s="18">
        <f t="shared" si="4"/>
        <v>0</v>
      </c>
      <c r="AH30" s="18"/>
      <c r="AI30" s="18"/>
      <c r="AJ30" s="18"/>
      <c r="AK30" s="18"/>
      <c r="AL30" s="18"/>
      <c r="AM30" s="18">
        <f t="shared" si="5"/>
        <v>0</v>
      </c>
      <c r="AN30" s="18"/>
      <c r="AO30" s="18"/>
      <c r="AP30" s="18">
        <f t="shared" si="6"/>
        <v>0</v>
      </c>
      <c r="AQ30" s="32">
        <f t="shared" si="7"/>
        <v>5</v>
      </c>
    </row>
    <row r="31" spans="1:43" x14ac:dyDescent="0.35">
      <c r="A31" s="126" t="s">
        <v>369</v>
      </c>
      <c r="B31" s="126" t="s">
        <v>370</v>
      </c>
      <c r="C31" s="126" t="s">
        <v>1294</v>
      </c>
      <c r="D31" s="128">
        <v>74</v>
      </c>
      <c r="E31" s="128">
        <v>7</v>
      </c>
      <c r="F31" s="128">
        <v>5</v>
      </c>
      <c r="G31" s="128">
        <v>1</v>
      </c>
      <c r="H31" s="128"/>
      <c r="I31" s="18">
        <f t="shared" si="0"/>
        <v>87</v>
      </c>
      <c r="J31" s="128">
        <v>4</v>
      </c>
      <c r="K31" s="128"/>
      <c r="L31" s="128"/>
      <c r="M31" s="128"/>
      <c r="N31" s="128"/>
      <c r="O31" s="18">
        <f t="shared" si="1"/>
        <v>4</v>
      </c>
      <c r="P31" s="18">
        <v>4</v>
      </c>
      <c r="Q31" s="18"/>
      <c r="R31" s="18"/>
      <c r="S31" s="18"/>
      <c r="T31" s="18"/>
      <c r="U31" s="18">
        <f t="shared" si="2"/>
        <v>4</v>
      </c>
      <c r="V31" s="18">
        <v>5</v>
      </c>
      <c r="W31" s="18"/>
      <c r="X31" s="18"/>
      <c r="Y31" s="18"/>
      <c r="Z31" s="18"/>
      <c r="AA31" s="18">
        <f t="shared" si="3"/>
        <v>5</v>
      </c>
      <c r="AB31" s="18">
        <v>2</v>
      </c>
      <c r="AC31" s="18"/>
      <c r="AD31" s="18">
        <v>1</v>
      </c>
      <c r="AE31" s="18"/>
      <c r="AF31" s="18"/>
      <c r="AG31" s="18">
        <f t="shared" si="4"/>
        <v>3</v>
      </c>
      <c r="AH31" s="18">
        <v>2</v>
      </c>
      <c r="AI31" s="18"/>
      <c r="AJ31" s="18"/>
      <c r="AK31" s="18"/>
      <c r="AL31" s="18"/>
      <c r="AM31" s="18">
        <f t="shared" si="5"/>
        <v>2</v>
      </c>
      <c r="AN31" s="18"/>
      <c r="AO31" s="18"/>
      <c r="AP31" s="18">
        <f t="shared" si="6"/>
        <v>0</v>
      </c>
      <c r="AQ31" s="32">
        <f t="shared" si="7"/>
        <v>105</v>
      </c>
    </row>
    <row r="32" spans="1:43" x14ac:dyDescent="0.35">
      <c r="A32" s="126" t="s">
        <v>371</v>
      </c>
      <c r="B32" s="126" t="s">
        <v>1219</v>
      </c>
      <c r="C32" s="126" t="s">
        <v>1293</v>
      </c>
      <c r="D32" s="128">
        <v>19</v>
      </c>
      <c r="E32" s="128">
        <v>2</v>
      </c>
      <c r="F32" s="128"/>
      <c r="G32" s="128"/>
      <c r="H32" s="128"/>
      <c r="I32" s="18">
        <f t="shared" si="0"/>
        <v>21</v>
      </c>
      <c r="J32" s="128">
        <v>7</v>
      </c>
      <c r="K32" s="128">
        <v>1</v>
      </c>
      <c r="L32" s="128"/>
      <c r="M32" s="128"/>
      <c r="N32" s="128"/>
      <c r="O32" s="18">
        <f t="shared" si="1"/>
        <v>8</v>
      </c>
      <c r="P32" s="18">
        <v>2</v>
      </c>
      <c r="Q32" s="18"/>
      <c r="R32" s="18"/>
      <c r="S32" s="18"/>
      <c r="T32" s="18"/>
      <c r="U32" s="18">
        <f t="shared" si="2"/>
        <v>2</v>
      </c>
      <c r="V32" s="18">
        <v>2</v>
      </c>
      <c r="W32" s="18"/>
      <c r="X32" s="18"/>
      <c r="Y32" s="18"/>
      <c r="Z32" s="18"/>
      <c r="AA32" s="18">
        <f t="shared" si="3"/>
        <v>2</v>
      </c>
      <c r="AB32" s="18">
        <v>7</v>
      </c>
      <c r="AC32" s="18"/>
      <c r="AD32" s="18"/>
      <c r="AE32" s="18"/>
      <c r="AF32" s="18"/>
      <c r="AG32" s="18">
        <f t="shared" si="4"/>
        <v>7</v>
      </c>
      <c r="AH32" s="18">
        <v>4</v>
      </c>
      <c r="AI32" s="18"/>
      <c r="AJ32" s="18"/>
      <c r="AK32" s="18"/>
      <c r="AL32" s="18"/>
      <c r="AM32" s="18">
        <f t="shared" si="5"/>
        <v>4</v>
      </c>
      <c r="AN32" s="18"/>
      <c r="AO32" s="18"/>
      <c r="AP32" s="18">
        <f t="shared" si="6"/>
        <v>0</v>
      </c>
      <c r="AQ32" s="32">
        <f t="shared" si="7"/>
        <v>44</v>
      </c>
    </row>
    <row r="33" spans="1:43" x14ac:dyDescent="0.35">
      <c r="A33" s="126" t="s">
        <v>372</v>
      </c>
      <c r="B33" s="126" t="s">
        <v>373</v>
      </c>
      <c r="C33" s="126" t="s">
        <v>1293</v>
      </c>
      <c r="D33" s="128">
        <v>2</v>
      </c>
      <c r="E33" s="128"/>
      <c r="F33" s="128"/>
      <c r="G33" s="128"/>
      <c r="H33" s="128"/>
      <c r="I33" s="18">
        <f t="shared" si="0"/>
        <v>2</v>
      </c>
      <c r="J33" s="128"/>
      <c r="K33" s="128"/>
      <c r="L33" s="128"/>
      <c r="M33" s="128"/>
      <c r="N33" s="128"/>
      <c r="O33" s="18">
        <f t="shared" si="1"/>
        <v>0</v>
      </c>
      <c r="P33" s="18"/>
      <c r="Q33" s="18"/>
      <c r="R33" s="18"/>
      <c r="S33" s="18"/>
      <c r="T33" s="18"/>
      <c r="U33" s="18">
        <f t="shared" si="2"/>
        <v>0</v>
      </c>
      <c r="V33" s="18"/>
      <c r="W33" s="18"/>
      <c r="X33" s="18"/>
      <c r="Y33" s="18"/>
      <c r="Z33" s="18"/>
      <c r="AA33" s="18">
        <f t="shared" si="3"/>
        <v>0</v>
      </c>
      <c r="AB33" s="18"/>
      <c r="AC33" s="18"/>
      <c r="AD33" s="18"/>
      <c r="AE33" s="18"/>
      <c r="AF33" s="18"/>
      <c r="AG33" s="18">
        <f t="shared" si="4"/>
        <v>0</v>
      </c>
      <c r="AH33" s="18"/>
      <c r="AI33" s="18"/>
      <c r="AJ33" s="18"/>
      <c r="AK33" s="18"/>
      <c r="AL33" s="18"/>
      <c r="AM33" s="18">
        <f t="shared" si="5"/>
        <v>0</v>
      </c>
      <c r="AN33" s="18"/>
      <c r="AO33" s="18"/>
      <c r="AP33" s="18">
        <f t="shared" si="6"/>
        <v>0</v>
      </c>
      <c r="AQ33" s="32">
        <f t="shared" si="7"/>
        <v>2</v>
      </c>
    </row>
    <row r="34" spans="1:43" x14ac:dyDescent="0.35">
      <c r="A34" s="126" t="s">
        <v>374</v>
      </c>
      <c r="B34" s="126" t="s">
        <v>1220</v>
      </c>
      <c r="C34" s="126" t="s">
        <v>1294</v>
      </c>
      <c r="D34" s="128">
        <v>6</v>
      </c>
      <c r="E34" s="128">
        <v>4</v>
      </c>
      <c r="F34" s="128"/>
      <c r="G34" s="128"/>
      <c r="H34" s="128"/>
      <c r="I34" s="18">
        <f t="shared" si="0"/>
        <v>10</v>
      </c>
      <c r="J34" s="128"/>
      <c r="K34" s="128"/>
      <c r="L34" s="128"/>
      <c r="M34" s="128"/>
      <c r="N34" s="128"/>
      <c r="O34" s="18">
        <f t="shared" si="1"/>
        <v>0</v>
      </c>
      <c r="P34" s="18">
        <v>1</v>
      </c>
      <c r="Q34" s="18"/>
      <c r="R34" s="18"/>
      <c r="S34" s="18"/>
      <c r="T34" s="18"/>
      <c r="U34" s="18">
        <f t="shared" si="2"/>
        <v>1</v>
      </c>
      <c r="V34" s="18">
        <v>1</v>
      </c>
      <c r="W34" s="18">
        <v>1</v>
      </c>
      <c r="X34" s="18"/>
      <c r="Y34" s="18"/>
      <c r="Z34" s="18"/>
      <c r="AA34" s="18">
        <f t="shared" si="3"/>
        <v>2</v>
      </c>
      <c r="AB34" s="18"/>
      <c r="AC34" s="18"/>
      <c r="AD34" s="18"/>
      <c r="AE34" s="18"/>
      <c r="AF34" s="18"/>
      <c r="AG34" s="18">
        <f t="shared" si="4"/>
        <v>0</v>
      </c>
      <c r="AH34" s="18"/>
      <c r="AI34" s="18"/>
      <c r="AJ34" s="18"/>
      <c r="AK34" s="18"/>
      <c r="AL34" s="18"/>
      <c r="AM34" s="18">
        <f t="shared" si="5"/>
        <v>0</v>
      </c>
      <c r="AN34" s="18"/>
      <c r="AO34" s="18"/>
      <c r="AP34" s="18">
        <f t="shared" si="6"/>
        <v>0</v>
      </c>
      <c r="AQ34" s="32">
        <f t="shared" si="7"/>
        <v>13</v>
      </c>
    </row>
    <row r="35" spans="1:43" x14ac:dyDescent="0.35">
      <c r="A35" s="126" t="s">
        <v>375</v>
      </c>
      <c r="B35" s="126" t="s">
        <v>1221</v>
      </c>
      <c r="C35" s="126" t="s">
        <v>1293</v>
      </c>
      <c r="D35" s="128">
        <v>2</v>
      </c>
      <c r="E35" s="128"/>
      <c r="F35" s="128"/>
      <c r="G35" s="128"/>
      <c r="H35" s="128"/>
      <c r="I35" s="18">
        <f t="shared" si="0"/>
        <v>2</v>
      </c>
      <c r="J35" s="128">
        <v>1</v>
      </c>
      <c r="K35" s="128"/>
      <c r="L35" s="128"/>
      <c r="M35" s="128"/>
      <c r="N35" s="128"/>
      <c r="O35" s="18">
        <f t="shared" si="1"/>
        <v>1</v>
      </c>
      <c r="P35" s="18">
        <v>1</v>
      </c>
      <c r="Q35" s="18"/>
      <c r="R35" s="18"/>
      <c r="S35" s="18"/>
      <c r="T35" s="18"/>
      <c r="U35" s="18">
        <f t="shared" si="2"/>
        <v>1</v>
      </c>
      <c r="V35" s="18">
        <v>1</v>
      </c>
      <c r="W35" s="18"/>
      <c r="X35" s="18"/>
      <c r="Y35" s="18"/>
      <c r="Z35" s="18"/>
      <c r="AA35" s="18">
        <f t="shared" si="3"/>
        <v>1</v>
      </c>
      <c r="AB35" s="18"/>
      <c r="AC35" s="18"/>
      <c r="AD35" s="18"/>
      <c r="AE35" s="18"/>
      <c r="AF35" s="18"/>
      <c r="AG35" s="18">
        <f t="shared" si="4"/>
        <v>0</v>
      </c>
      <c r="AH35" s="18"/>
      <c r="AI35" s="18"/>
      <c r="AJ35" s="18"/>
      <c r="AK35" s="18"/>
      <c r="AL35" s="18"/>
      <c r="AM35" s="18">
        <f t="shared" si="5"/>
        <v>0</v>
      </c>
      <c r="AN35" s="18"/>
      <c r="AO35" s="18"/>
      <c r="AP35" s="18">
        <f t="shared" si="6"/>
        <v>0</v>
      </c>
      <c r="AQ35" s="32">
        <f t="shared" si="7"/>
        <v>5</v>
      </c>
    </row>
    <row r="36" spans="1:43" x14ac:dyDescent="0.35">
      <c r="A36" s="126" t="s">
        <v>376</v>
      </c>
      <c r="B36" s="126" t="s">
        <v>1222</v>
      </c>
      <c r="C36" s="126" t="s">
        <v>1293</v>
      </c>
      <c r="D36" s="128"/>
      <c r="E36" s="128"/>
      <c r="F36" s="128"/>
      <c r="G36" s="128"/>
      <c r="H36" s="128"/>
      <c r="I36" s="18">
        <f t="shared" si="0"/>
        <v>0</v>
      </c>
      <c r="J36" s="128"/>
      <c r="K36" s="128"/>
      <c r="L36" s="128"/>
      <c r="M36" s="128"/>
      <c r="N36" s="128"/>
      <c r="O36" s="18">
        <f t="shared" si="1"/>
        <v>0</v>
      </c>
      <c r="P36" s="18"/>
      <c r="Q36" s="18"/>
      <c r="R36" s="18"/>
      <c r="S36" s="18"/>
      <c r="T36" s="18"/>
      <c r="U36" s="18">
        <f t="shared" si="2"/>
        <v>0</v>
      </c>
      <c r="V36" s="18"/>
      <c r="W36" s="18"/>
      <c r="X36" s="18"/>
      <c r="Y36" s="18"/>
      <c r="Z36" s="18"/>
      <c r="AA36" s="18">
        <f t="shared" si="3"/>
        <v>0</v>
      </c>
      <c r="AB36" s="18">
        <v>1</v>
      </c>
      <c r="AC36" s="18"/>
      <c r="AD36" s="18"/>
      <c r="AE36" s="18"/>
      <c r="AF36" s="18"/>
      <c r="AG36" s="18">
        <f t="shared" si="4"/>
        <v>1</v>
      </c>
      <c r="AH36" s="18"/>
      <c r="AI36" s="18"/>
      <c r="AJ36" s="18"/>
      <c r="AK36" s="18"/>
      <c r="AL36" s="18"/>
      <c r="AM36" s="18">
        <f t="shared" si="5"/>
        <v>0</v>
      </c>
      <c r="AN36" s="18"/>
      <c r="AO36" s="18"/>
      <c r="AP36" s="18">
        <f t="shared" si="6"/>
        <v>0</v>
      </c>
      <c r="AQ36" s="32">
        <f t="shared" si="7"/>
        <v>1</v>
      </c>
    </row>
    <row r="37" spans="1:43" x14ac:dyDescent="0.35">
      <c r="A37" s="126" t="s">
        <v>377</v>
      </c>
      <c r="B37" s="126" t="s">
        <v>378</v>
      </c>
      <c r="C37" s="126" t="s">
        <v>1293</v>
      </c>
      <c r="D37" s="128">
        <v>20</v>
      </c>
      <c r="E37" s="128">
        <v>4</v>
      </c>
      <c r="F37" s="128">
        <v>1</v>
      </c>
      <c r="G37" s="128"/>
      <c r="H37" s="128"/>
      <c r="I37" s="18">
        <f t="shared" si="0"/>
        <v>25</v>
      </c>
      <c r="J37" s="128">
        <v>8</v>
      </c>
      <c r="K37" s="128"/>
      <c r="L37" s="128"/>
      <c r="M37" s="128"/>
      <c r="N37" s="128"/>
      <c r="O37" s="18">
        <f t="shared" si="1"/>
        <v>8</v>
      </c>
      <c r="P37" s="18">
        <v>4</v>
      </c>
      <c r="Q37" s="18"/>
      <c r="R37" s="18"/>
      <c r="S37" s="18"/>
      <c r="T37" s="18"/>
      <c r="U37" s="18">
        <f t="shared" si="2"/>
        <v>4</v>
      </c>
      <c r="V37" s="18">
        <v>3</v>
      </c>
      <c r="W37" s="18"/>
      <c r="X37" s="18"/>
      <c r="Y37" s="18"/>
      <c r="Z37" s="18"/>
      <c r="AA37" s="18">
        <f t="shared" si="3"/>
        <v>3</v>
      </c>
      <c r="AB37" s="18">
        <v>4</v>
      </c>
      <c r="AC37" s="18"/>
      <c r="AD37" s="18"/>
      <c r="AE37" s="18"/>
      <c r="AF37" s="18"/>
      <c r="AG37" s="18">
        <f t="shared" si="4"/>
        <v>4</v>
      </c>
      <c r="AH37" s="18">
        <v>3</v>
      </c>
      <c r="AI37" s="18"/>
      <c r="AJ37" s="18"/>
      <c r="AK37" s="18"/>
      <c r="AL37" s="18"/>
      <c r="AM37" s="18">
        <f t="shared" si="5"/>
        <v>3</v>
      </c>
      <c r="AN37" s="18"/>
      <c r="AO37" s="18"/>
      <c r="AP37" s="18">
        <f t="shared" si="6"/>
        <v>0</v>
      </c>
      <c r="AQ37" s="32">
        <f t="shared" si="7"/>
        <v>47</v>
      </c>
    </row>
    <row r="38" spans="1:43" x14ac:dyDescent="0.35">
      <c r="A38" s="126" t="s">
        <v>379</v>
      </c>
      <c r="B38" s="126" t="s">
        <v>380</v>
      </c>
      <c r="C38" s="126" t="s">
        <v>1293</v>
      </c>
      <c r="D38" s="128">
        <v>10</v>
      </c>
      <c r="E38" s="128">
        <v>1</v>
      </c>
      <c r="F38" s="128">
        <v>1</v>
      </c>
      <c r="G38" s="128">
        <v>1</v>
      </c>
      <c r="H38" s="128"/>
      <c r="I38" s="18">
        <f t="shared" si="0"/>
        <v>13</v>
      </c>
      <c r="J38" s="128">
        <v>43</v>
      </c>
      <c r="K38" s="128">
        <v>6</v>
      </c>
      <c r="L38" s="128">
        <v>4</v>
      </c>
      <c r="M38" s="128"/>
      <c r="N38" s="128"/>
      <c r="O38" s="18">
        <f t="shared" si="1"/>
        <v>53</v>
      </c>
      <c r="P38" s="18"/>
      <c r="Q38" s="18"/>
      <c r="R38" s="18"/>
      <c r="S38" s="18"/>
      <c r="T38" s="18"/>
      <c r="U38" s="18">
        <f t="shared" si="2"/>
        <v>0</v>
      </c>
      <c r="V38" s="18"/>
      <c r="W38" s="18"/>
      <c r="X38" s="18"/>
      <c r="Y38" s="18"/>
      <c r="Z38" s="18"/>
      <c r="AA38" s="18">
        <f t="shared" si="3"/>
        <v>0</v>
      </c>
      <c r="AB38" s="18"/>
      <c r="AC38" s="18"/>
      <c r="AD38" s="18"/>
      <c r="AE38" s="18"/>
      <c r="AF38" s="18"/>
      <c r="AG38" s="18">
        <f t="shared" si="4"/>
        <v>0</v>
      </c>
      <c r="AH38" s="18"/>
      <c r="AI38" s="18"/>
      <c r="AJ38" s="18"/>
      <c r="AK38" s="18"/>
      <c r="AL38" s="18"/>
      <c r="AM38" s="18">
        <f t="shared" si="5"/>
        <v>0</v>
      </c>
      <c r="AN38" s="18"/>
      <c r="AO38" s="18"/>
      <c r="AP38" s="18">
        <f t="shared" si="6"/>
        <v>0</v>
      </c>
      <c r="AQ38" s="32">
        <f t="shared" si="7"/>
        <v>66</v>
      </c>
    </row>
    <row r="39" spans="1:43" x14ac:dyDescent="0.35">
      <c r="A39" s="126" t="s">
        <v>1196</v>
      </c>
      <c r="B39" s="126" t="s">
        <v>1205</v>
      </c>
      <c r="C39" s="126" t="s">
        <v>1293</v>
      </c>
      <c r="D39" s="128">
        <v>1</v>
      </c>
      <c r="E39" s="128"/>
      <c r="F39" s="128"/>
      <c r="G39" s="128"/>
      <c r="H39" s="128"/>
      <c r="I39" s="18">
        <f t="shared" si="0"/>
        <v>1</v>
      </c>
      <c r="J39" s="128"/>
      <c r="K39" s="128"/>
      <c r="L39" s="128"/>
      <c r="M39" s="128"/>
      <c r="N39" s="128"/>
      <c r="O39" s="18">
        <f t="shared" si="1"/>
        <v>0</v>
      </c>
      <c r="P39" s="18"/>
      <c r="Q39" s="18"/>
      <c r="R39" s="18"/>
      <c r="S39" s="18"/>
      <c r="T39" s="18"/>
      <c r="U39" s="18">
        <f t="shared" si="2"/>
        <v>0</v>
      </c>
      <c r="V39" s="18"/>
      <c r="W39" s="18"/>
      <c r="X39" s="18"/>
      <c r="Y39" s="18"/>
      <c r="Z39" s="18"/>
      <c r="AA39" s="18">
        <f t="shared" si="3"/>
        <v>0</v>
      </c>
      <c r="AB39" s="18"/>
      <c r="AC39" s="18"/>
      <c r="AD39" s="18"/>
      <c r="AE39" s="18"/>
      <c r="AF39" s="18"/>
      <c r="AG39" s="18">
        <f t="shared" si="4"/>
        <v>0</v>
      </c>
      <c r="AH39" s="18"/>
      <c r="AI39" s="18"/>
      <c r="AJ39" s="18"/>
      <c r="AK39" s="18"/>
      <c r="AL39" s="18"/>
      <c r="AM39" s="18">
        <f t="shared" si="5"/>
        <v>0</v>
      </c>
      <c r="AN39" s="18"/>
      <c r="AO39" s="18"/>
      <c r="AP39" s="18">
        <f t="shared" si="6"/>
        <v>0</v>
      </c>
      <c r="AQ39" s="32">
        <f t="shared" si="7"/>
        <v>1</v>
      </c>
    </row>
    <row r="40" spans="1:43" x14ac:dyDescent="0.35">
      <c r="A40" s="126" t="s">
        <v>381</v>
      </c>
      <c r="B40" s="126" t="s">
        <v>382</v>
      </c>
      <c r="C40" s="126" t="s">
        <v>1293</v>
      </c>
      <c r="D40" s="128">
        <v>1</v>
      </c>
      <c r="E40" s="128"/>
      <c r="F40" s="128"/>
      <c r="G40" s="128"/>
      <c r="H40" s="128"/>
      <c r="I40" s="18">
        <f t="shared" si="0"/>
        <v>1</v>
      </c>
      <c r="J40" s="128"/>
      <c r="K40" s="128"/>
      <c r="L40" s="128"/>
      <c r="M40" s="128"/>
      <c r="N40" s="128"/>
      <c r="O40" s="18">
        <f t="shared" si="1"/>
        <v>0</v>
      </c>
      <c r="P40" s="18"/>
      <c r="Q40" s="18"/>
      <c r="R40" s="18"/>
      <c r="S40" s="18"/>
      <c r="T40" s="18"/>
      <c r="U40" s="18">
        <f t="shared" si="2"/>
        <v>0</v>
      </c>
      <c r="V40" s="18"/>
      <c r="W40" s="18"/>
      <c r="X40" s="18"/>
      <c r="Y40" s="18"/>
      <c r="Z40" s="18"/>
      <c r="AA40" s="18">
        <f t="shared" si="3"/>
        <v>0</v>
      </c>
      <c r="AB40" s="18"/>
      <c r="AC40" s="18"/>
      <c r="AD40" s="18"/>
      <c r="AE40" s="18"/>
      <c r="AF40" s="18"/>
      <c r="AG40" s="18">
        <f t="shared" si="4"/>
        <v>0</v>
      </c>
      <c r="AH40" s="18"/>
      <c r="AI40" s="18"/>
      <c r="AJ40" s="18"/>
      <c r="AK40" s="18"/>
      <c r="AL40" s="18"/>
      <c r="AM40" s="18">
        <f t="shared" si="5"/>
        <v>0</v>
      </c>
      <c r="AN40" s="18"/>
      <c r="AO40" s="18"/>
      <c r="AP40" s="18">
        <f t="shared" si="6"/>
        <v>0</v>
      </c>
      <c r="AQ40" s="32">
        <f t="shared" si="7"/>
        <v>1</v>
      </c>
    </row>
    <row r="41" spans="1:43" x14ac:dyDescent="0.35">
      <c r="A41" s="126" t="s">
        <v>383</v>
      </c>
      <c r="B41" s="126" t="s">
        <v>384</v>
      </c>
      <c r="C41" s="126" t="s">
        <v>1293</v>
      </c>
      <c r="D41" s="128">
        <v>149</v>
      </c>
      <c r="E41" s="128">
        <v>9</v>
      </c>
      <c r="F41" s="128">
        <v>6</v>
      </c>
      <c r="G41" s="128">
        <v>5</v>
      </c>
      <c r="H41" s="128"/>
      <c r="I41" s="18">
        <f t="shared" si="0"/>
        <v>169</v>
      </c>
      <c r="J41" s="128">
        <v>8</v>
      </c>
      <c r="K41" s="128"/>
      <c r="L41" s="128"/>
      <c r="M41" s="128"/>
      <c r="N41" s="128"/>
      <c r="O41" s="18">
        <f t="shared" si="1"/>
        <v>8</v>
      </c>
      <c r="P41" s="18">
        <v>8</v>
      </c>
      <c r="Q41" s="18">
        <v>1</v>
      </c>
      <c r="R41" s="18"/>
      <c r="S41" s="18"/>
      <c r="T41" s="18"/>
      <c r="U41" s="18">
        <f t="shared" si="2"/>
        <v>9</v>
      </c>
      <c r="V41" s="18">
        <v>45</v>
      </c>
      <c r="W41" s="18">
        <v>9</v>
      </c>
      <c r="X41" s="18">
        <v>2</v>
      </c>
      <c r="Y41" s="18"/>
      <c r="Z41" s="18"/>
      <c r="AA41" s="18">
        <f t="shared" si="3"/>
        <v>56</v>
      </c>
      <c r="AB41" s="18">
        <v>20</v>
      </c>
      <c r="AC41" s="18">
        <v>3</v>
      </c>
      <c r="AD41" s="18"/>
      <c r="AE41" s="18"/>
      <c r="AF41" s="18"/>
      <c r="AG41" s="18">
        <f t="shared" si="4"/>
        <v>23</v>
      </c>
      <c r="AH41" s="18">
        <v>18</v>
      </c>
      <c r="AI41" s="18">
        <v>1</v>
      </c>
      <c r="AJ41" s="18"/>
      <c r="AK41" s="18"/>
      <c r="AL41" s="18"/>
      <c r="AM41" s="18">
        <f t="shared" si="5"/>
        <v>19</v>
      </c>
      <c r="AN41" s="18"/>
      <c r="AO41" s="18"/>
      <c r="AP41" s="18">
        <f t="shared" si="6"/>
        <v>0</v>
      </c>
      <c r="AQ41" s="32">
        <f t="shared" si="7"/>
        <v>284</v>
      </c>
    </row>
    <row r="42" spans="1:43" x14ac:dyDescent="0.35">
      <c r="A42" s="126" t="s">
        <v>385</v>
      </c>
      <c r="B42" s="126" t="s">
        <v>386</v>
      </c>
      <c r="C42" s="126" t="s">
        <v>1293</v>
      </c>
      <c r="D42" s="128">
        <v>6</v>
      </c>
      <c r="E42" s="128"/>
      <c r="F42" s="128"/>
      <c r="G42" s="128">
        <v>1</v>
      </c>
      <c r="H42" s="128"/>
      <c r="I42" s="18">
        <f t="shared" si="0"/>
        <v>7</v>
      </c>
      <c r="J42" s="128">
        <v>2</v>
      </c>
      <c r="K42" s="128"/>
      <c r="L42" s="128"/>
      <c r="M42" s="128"/>
      <c r="N42" s="128"/>
      <c r="O42" s="18">
        <f t="shared" si="1"/>
        <v>2</v>
      </c>
      <c r="P42" s="18"/>
      <c r="Q42" s="18"/>
      <c r="R42" s="18"/>
      <c r="S42" s="18"/>
      <c r="T42" s="18"/>
      <c r="U42" s="18">
        <f t="shared" si="2"/>
        <v>0</v>
      </c>
      <c r="V42" s="18"/>
      <c r="W42" s="18"/>
      <c r="X42" s="18"/>
      <c r="Y42" s="18"/>
      <c r="Z42" s="18"/>
      <c r="AA42" s="18">
        <f t="shared" si="3"/>
        <v>0</v>
      </c>
      <c r="AB42" s="18">
        <v>1</v>
      </c>
      <c r="AC42" s="18"/>
      <c r="AD42" s="18"/>
      <c r="AE42" s="18"/>
      <c r="AF42" s="18"/>
      <c r="AG42" s="18">
        <f t="shared" si="4"/>
        <v>1</v>
      </c>
      <c r="AH42" s="18"/>
      <c r="AI42" s="18"/>
      <c r="AJ42" s="18"/>
      <c r="AK42" s="18"/>
      <c r="AL42" s="18"/>
      <c r="AM42" s="18">
        <f t="shared" si="5"/>
        <v>0</v>
      </c>
      <c r="AN42" s="18"/>
      <c r="AO42" s="18"/>
      <c r="AP42" s="18">
        <f t="shared" si="6"/>
        <v>0</v>
      </c>
      <c r="AQ42" s="32">
        <f t="shared" si="7"/>
        <v>10</v>
      </c>
    </row>
    <row r="43" spans="1:43" x14ac:dyDescent="0.35">
      <c r="A43" s="126" t="s">
        <v>387</v>
      </c>
      <c r="B43" s="126" t="s">
        <v>388</v>
      </c>
      <c r="C43" s="126" t="s">
        <v>1293</v>
      </c>
      <c r="D43" s="128">
        <v>48</v>
      </c>
      <c r="E43" s="128">
        <v>10</v>
      </c>
      <c r="F43" s="128">
        <v>3</v>
      </c>
      <c r="G43" s="128"/>
      <c r="H43" s="128"/>
      <c r="I43" s="18">
        <f t="shared" si="0"/>
        <v>61</v>
      </c>
      <c r="J43" s="128">
        <v>12</v>
      </c>
      <c r="K43" s="128">
        <v>2</v>
      </c>
      <c r="L43" s="128"/>
      <c r="M43" s="128"/>
      <c r="N43" s="128"/>
      <c r="O43" s="18">
        <f t="shared" si="1"/>
        <v>14</v>
      </c>
      <c r="P43" s="18">
        <v>6</v>
      </c>
      <c r="Q43" s="18">
        <v>1</v>
      </c>
      <c r="R43" s="18"/>
      <c r="S43" s="18"/>
      <c r="T43" s="18"/>
      <c r="U43" s="18">
        <f t="shared" si="2"/>
        <v>7</v>
      </c>
      <c r="V43" s="18">
        <v>3</v>
      </c>
      <c r="W43" s="18"/>
      <c r="X43" s="18"/>
      <c r="Y43" s="18"/>
      <c r="Z43" s="18"/>
      <c r="AA43" s="18">
        <f t="shared" si="3"/>
        <v>3</v>
      </c>
      <c r="AB43" s="18">
        <v>15</v>
      </c>
      <c r="AC43" s="18">
        <v>1</v>
      </c>
      <c r="AD43" s="18">
        <v>2</v>
      </c>
      <c r="AE43" s="18"/>
      <c r="AF43" s="18"/>
      <c r="AG43" s="18">
        <f t="shared" si="4"/>
        <v>18</v>
      </c>
      <c r="AH43" s="18">
        <v>4</v>
      </c>
      <c r="AI43" s="18">
        <v>1</v>
      </c>
      <c r="AJ43" s="18">
        <v>1</v>
      </c>
      <c r="AK43" s="18"/>
      <c r="AL43" s="18"/>
      <c r="AM43" s="18">
        <f t="shared" si="5"/>
        <v>6</v>
      </c>
      <c r="AN43" s="18"/>
      <c r="AO43" s="18"/>
      <c r="AP43" s="18">
        <f t="shared" si="6"/>
        <v>0</v>
      </c>
      <c r="AQ43" s="32">
        <f t="shared" si="7"/>
        <v>109</v>
      </c>
    </row>
    <row r="44" spans="1:43" x14ac:dyDescent="0.35">
      <c r="A44" s="126" t="s">
        <v>389</v>
      </c>
      <c r="B44" s="126" t="s">
        <v>390</v>
      </c>
      <c r="C44" s="126" t="s">
        <v>1293</v>
      </c>
      <c r="D44" s="128">
        <v>6</v>
      </c>
      <c r="E44" s="128">
        <v>2</v>
      </c>
      <c r="F44" s="128"/>
      <c r="G44" s="128"/>
      <c r="H44" s="128"/>
      <c r="I44" s="18">
        <f t="shared" si="0"/>
        <v>8</v>
      </c>
      <c r="J44" s="128"/>
      <c r="K44" s="128"/>
      <c r="L44" s="128"/>
      <c r="M44" s="128"/>
      <c r="N44" s="128"/>
      <c r="O44" s="18">
        <f t="shared" si="1"/>
        <v>0</v>
      </c>
      <c r="P44" s="18">
        <v>1</v>
      </c>
      <c r="Q44" s="18"/>
      <c r="R44" s="18"/>
      <c r="S44" s="18"/>
      <c r="T44" s="18"/>
      <c r="U44" s="18">
        <f t="shared" si="2"/>
        <v>1</v>
      </c>
      <c r="V44" s="18"/>
      <c r="W44" s="18"/>
      <c r="X44" s="18"/>
      <c r="Y44" s="18"/>
      <c r="Z44" s="18"/>
      <c r="AA44" s="18">
        <f t="shared" si="3"/>
        <v>0</v>
      </c>
      <c r="AB44" s="18">
        <v>1</v>
      </c>
      <c r="AC44" s="18"/>
      <c r="AD44" s="18"/>
      <c r="AE44" s="18"/>
      <c r="AF44" s="18"/>
      <c r="AG44" s="18">
        <f t="shared" si="4"/>
        <v>1</v>
      </c>
      <c r="AH44" s="18"/>
      <c r="AI44" s="18"/>
      <c r="AJ44" s="18"/>
      <c r="AK44" s="18"/>
      <c r="AL44" s="18"/>
      <c r="AM44" s="18">
        <f t="shared" si="5"/>
        <v>0</v>
      </c>
      <c r="AN44" s="18"/>
      <c r="AO44" s="18"/>
      <c r="AP44" s="18">
        <f t="shared" si="6"/>
        <v>0</v>
      </c>
      <c r="AQ44" s="32">
        <f t="shared" si="7"/>
        <v>10</v>
      </c>
    </row>
    <row r="45" spans="1:43" x14ac:dyDescent="0.35">
      <c r="A45" s="126" t="s">
        <v>391</v>
      </c>
      <c r="B45" s="126" t="s">
        <v>392</v>
      </c>
      <c r="C45" s="126" t="s">
        <v>1293</v>
      </c>
      <c r="D45" s="128">
        <v>9</v>
      </c>
      <c r="E45" s="128"/>
      <c r="F45" s="128"/>
      <c r="G45" s="128"/>
      <c r="H45" s="128"/>
      <c r="I45" s="18">
        <f t="shared" si="0"/>
        <v>9</v>
      </c>
      <c r="J45" s="128"/>
      <c r="K45" s="128"/>
      <c r="L45" s="128"/>
      <c r="M45" s="128"/>
      <c r="N45" s="128"/>
      <c r="O45" s="18">
        <f t="shared" si="1"/>
        <v>0</v>
      </c>
      <c r="P45" s="18"/>
      <c r="Q45" s="18"/>
      <c r="R45" s="18"/>
      <c r="S45" s="18"/>
      <c r="T45" s="18"/>
      <c r="U45" s="18">
        <f t="shared" si="2"/>
        <v>0</v>
      </c>
      <c r="V45" s="18"/>
      <c r="W45" s="18"/>
      <c r="X45" s="18"/>
      <c r="Y45" s="18"/>
      <c r="Z45" s="18"/>
      <c r="AA45" s="18">
        <f t="shared" si="3"/>
        <v>0</v>
      </c>
      <c r="AB45" s="18"/>
      <c r="AC45" s="18"/>
      <c r="AD45" s="18"/>
      <c r="AE45" s="18"/>
      <c r="AF45" s="18"/>
      <c r="AG45" s="18">
        <f t="shared" si="4"/>
        <v>0</v>
      </c>
      <c r="AH45" s="18"/>
      <c r="AI45" s="18"/>
      <c r="AJ45" s="18"/>
      <c r="AK45" s="18"/>
      <c r="AL45" s="18"/>
      <c r="AM45" s="18">
        <f t="shared" si="5"/>
        <v>0</v>
      </c>
      <c r="AN45" s="18"/>
      <c r="AO45" s="18"/>
      <c r="AP45" s="18">
        <f t="shared" si="6"/>
        <v>0</v>
      </c>
      <c r="AQ45" s="32">
        <f t="shared" si="7"/>
        <v>9</v>
      </c>
    </row>
    <row r="46" spans="1:43" x14ac:dyDescent="0.35">
      <c r="A46" s="126" t="s">
        <v>393</v>
      </c>
      <c r="B46" s="126" t="s">
        <v>394</v>
      </c>
      <c r="C46" s="126" t="s">
        <v>1293</v>
      </c>
      <c r="D46" s="128">
        <v>2</v>
      </c>
      <c r="E46" s="128"/>
      <c r="F46" s="128"/>
      <c r="G46" s="128"/>
      <c r="H46" s="128"/>
      <c r="I46" s="18">
        <f t="shared" si="0"/>
        <v>2</v>
      </c>
      <c r="J46" s="128"/>
      <c r="K46" s="128"/>
      <c r="L46" s="128"/>
      <c r="M46" s="128"/>
      <c r="N46" s="128"/>
      <c r="O46" s="18">
        <f t="shared" si="1"/>
        <v>0</v>
      </c>
      <c r="P46" s="18"/>
      <c r="Q46" s="18"/>
      <c r="R46" s="18"/>
      <c r="S46" s="18"/>
      <c r="T46" s="18"/>
      <c r="U46" s="18">
        <f t="shared" si="2"/>
        <v>0</v>
      </c>
      <c r="V46" s="18"/>
      <c r="W46" s="18"/>
      <c r="X46" s="18"/>
      <c r="Y46" s="18"/>
      <c r="Z46" s="18"/>
      <c r="AA46" s="18">
        <f t="shared" si="3"/>
        <v>0</v>
      </c>
      <c r="AB46" s="18"/>
      <c r="AC46" s="18"/>
      <c r="AD46" s="18"/>
      <c r="AE46" s="18"/>
      <c r="AF46" s="18"/>
      <c r="AG46" s="18">
        <f t="shared" si="4"/>
        <v>0</v>
      </c>
      <c r="AH46" s="18">
        <v>2</v>
      </c>
      <c r="AI46" s="18"/>
      <c r="AJ46" s="18"/>
      <c r="AK46" s="18"/>
      <c r="AL46" s="18"/>
      <c r="AM46" s="18">
        <f t="shared" si="5"/>
        <v>2</v>
      </c>
      <c r="AN46" s="18"/>
      <c r="AO46" s="18"/>
      <c r="AP46" s="18">
        <f t="shared" si="6"/>
        <v>0</v>
      </c>
      <c r="AQ46" s="32">
        <f t="shared" si="7"/>
        <v>4</v>
      </c>
    </row>
    <row r="47" spans="1:43" x14ac:dyDescent="0.35">
      <c r="A47" s="126" t="s">
        <v>1197</v>
      </c>
      <c r="B47" s="126" t="s">
        <v>1206</v>
      </c>
      <c r="C47" s="126" t="s">
        <v>1293</v>
      </c>
      <c r="D47" s="128">
        <v>1</v>
      </c>
      <c r="E47" s="128"/>
      <c r="F47" s="128"/>
      <c r="G47" s="128"/>
      <c r="H47" s="128"/>
      <c r="I47" s="18">
        <f t="shared" si="0"/>
        <v>1</v>
      </c>
      <c r="J47" s="128"/>
      <c r="K47" s="128"/>
      <c r="L47" s="128"/>
      <c r="M47" s="128"/>
      <c r="N47" s="128"/>
      <c r="O47" s="18">
        <f t="shared" si="1"/>
        <v>0</v>
      </c>
      <c r="P47" s="18"/>
      <c r="Q47" s="18"/>
      <c r="R47" s="18"/>
      <c r="S47" s="18"/>
      <c r="T47" s="18"/>
      <c r="U47" s="18">
        <f t="shared" si="2"/>
        <v>0</v>
      </c>
      <c r="V47" s="18"/>
      <c r="W47" s="18"/>
      <c r="X47" s="18"/>
      <c r="Y47" s="18"/>
      <c r="Z47" s="18"/>
      <c r="AA47" s="18">
        <f t="shared" si="3"/>
        <v>0</v>
      </c>
      <c r="AB47" s="18"/>
      <c r="AC47" s="18"/>
      <c r="AD47" s="18"/>
      <c r="AE47" s="18"/>
      <c r="AF47" s="18"/>
      <c r="AG47" s="18">
        <f t="shared" si="4"/>
        <v>0</v>
      </c>
      <c r="AH47" s="18"/>
      <c r="AI47" s="18"/>
      <c r="AJ47" s="18"/>
      <c r="AK47" s="18"/>
      <c r="AL47" s="18"/>
      <c r="AM47" s="18">
        <f t="shared" si="5"/>
        <v>0</v>
      </c>
      <c r="AN47" s="18"/>
      <c r="AO47" s="18"/>
      <c r="AP47" s="18">
        <f t="shared" si="6"/>
        <v>0</v>
      </c>
      <c r="AQ47" s="32">
        <f t="shared" si="7"/>
        <v>1</v>
      </c>
    </row>
    <row r="48" spans="1:43" x14ac:dyDescent="0.35">
      <c r="A48" s="126" t="s">
        <v>395</v>
      </c>
      <c r="B48" s="126" t="s">
        <v>396</v>
      </c>
      <c r="C48" s="126" t="s">
        <v>1293</v>
      </c>
      <c r="D48" s="128">
        <v>1</v>
      </c>
      <c r="E48" s="128">
        <v>1</v>
      </c>
      <c r="F48" s="128">
        <v>1</v>
      </c>
      <c r="G48" s="128"/>
      <c r="H48" s="128"/>
      <c r="I48" s="18">
        <f t="shared" si="0"/>
        <v>3</v>
      </c>
      <c r="J48" s="128"/>
      <c r="K48" s="128"/>
      <c r="L48" s="128"/>
      <c r="M48" s="128"/>
      <c r="N48" s="128"/>
      <c r="O48" s="18">
        <f t="shared" si="1"/>
        <v>0</v>
      </c>
      <c r="P48" s="18"/>
      <c r="Q48" s="18"/>
      <c r="R48" s="18"/>
      <c r="S48" s="18"/>
      <c r="T48" s="18"/>
      <c r="U48" s="18">
        <f t="shared" si="2"/>
        <v>0</v>
      </c>
      <c r="V48" s="18"/>
      <c r="W48" s="18"/>
      <c r="X48" s="18"/>
      <c r="Y48" s="18"/>
      <c r="Z48" s="18"/>
      <c r="AA48" s="18">
        <f t="shared" si="3"/>
        <v>0</v>
      </c>
      <c r="AB48" s="18"/>
      <c r="AC48" s="18"/>
      <c r="AD48" s="18"/>
      <c r="AE48" s="18"/>
      <c r="AF48" s="18"/>
      <c r="AG48" s="18">
        <f t="shared" si="4"/>
        <v>0</v>
      </c>
      <c r="AH48" s="18"/>
      <c r="AI48" s="18"/>
      <c r="AJ48" s="18"/>
      <c r="AK48" s="18"/>
      <c r="AL48" s="18"/>
      <c r="AM48" s="18">
        <f t="shared" si="5"/>
        <v>0</v>
      </c>
      <c r="AN48" s="18"/>
      <c r="AO48" s="18"/>
      <c r="AP48" s="18">
        <f t="shared" si="6"/>
        <v>0</v>
      </c>
      <c r="AQ48" s="32">
        <f t="shared" si="7"/>
        <v>3</v>
      </c>
    </row>
    <row r="49" spans="1:43" x14ac:dyDescent="0.35">
      <c r="A49" s="126" t="s">
        <v>397</v>
      </c>
      <c r="B49" s="126" t="s">
        <v>398</v>
      </c>
      <c r="C49" s="126" t="s">
        <v>1294</v>
      </c>
      <c r="D49" s="128">
        <v>2</v>
      </c>
      <c r="E49" s="128"/>
      <c r="F49" s="128">
        <v>1</v>
      </c>
      <c r="G49" s="128"/>
      <c r="H49" s="128"/>
      <c r="I49" s="18">
        <f t="shared" si="0"/>
        <v>3</v>
      </c>
      <c r="J49" s="128"/>
      <c r="K49" s="128"/>
      <c r="L49" s="128"/>
      <c r="M49" s="128"/>
      <c r="N49" s="128"/>
      <c r="O49" s="18">
        <f t="shared" si="1"/>
        <v>0</v>
      </c>
      <c r="P49" s="18"/>
      <c r="Q49" s="18"/>
      <c r="R49" s="18"/>
      <c r="S49" s="18"/>
      <c r="T49" s="18"/>
      <c r="U49" s="18">
        <f t="shared" si="2"/>
        <v>0</v>
      </c>
      <c r="V49" s="18"/>
      <c r="W49" s="18"/>
      <c r="X49" s="18"/>
      <c r="Y49" s="18"/>
      <c r="Z49" s="18"/>
      <c r="AA49" s="18">
        <f t="shared" si="3"/>
        <v>0</v>
      </c>
      <c r="AB49" s="18">
        <v>1</v>
      </c>
      <c r="AC49" s="18"/>
      <c r="AD49" s="18"/>
      <c r="AE49" s="18"/>
      <c r="AF49" s="18"/>
      <c r="AG49" s="18">
        <f t="shared" si="4"/>
        <v>1</v>
      </c>
      <c r="AH49" s="18"/>
      <c r="AI49" s="18"/>
      <c r="AJ49" s="18"/>
      <c r="AK49" s="18"/>
      <c r="AL49" s="18"/>
      <c r="AM49" s="18">
        <f t="shared" si="5"/>
        <v>0</v>
      </c>
      <c r="AN49" s="18"/>
      <c r="AO49" s="18"/>
      <c r="AP49" s="18">
        <f t="shared" si="6"/>
        <v>0</v>
      </c>
      <c r="AQ49" s="32">
        <f t="shared" si="7"/>
        <v>4</v>
      </c>
    </row>
    <row r="50" spans="1:43" x14ac:dyDescent="0.35">
      <c r="A50" s="126" t="s">
        <v>399</v>
      </c>
      <c r="B50" s="126" t="s">
        <v>400</v>
      </c>
      <c r="C50" s="126" t="s">
        <v>1294</v>
      </c>
      <c r="D50" s="128">
        <v>53</v>
      </c>
      <c r="E50" s="128">
        <v>6</v>
      </c>
      <c r="F50" s="128">
        <v>3</v>
      </c>
      <c r="G50" s="128">
        <v>5</v>
      </c>
      <c r="H50" s="128"/>
      <c r="I50" s="18">
        <f t="shared" si="0"/>
        <v>67</v>
      </c>
      <c r="J50" s="128">
        <v>3</v>
      </c>
      <c r="K50" s="128"/>
      <c r="L50" s="128"/>
      <c r="M50" s="128"/>
      <c r="N50" s="128"/>
      <c r="O50" s="18">
        <f t="shared" si="1"/>
        <v>3</v>
      </c>
      <c r="P50" s="18">
        <v>1</v>
      </c>
      <c r="Q50" s="18"/>
      <c r="R50" s="18"/>
      <c r="S50" s="18"/>
      <c r="T50" s="18"/>
      <c r="U50" s="18">
        <f t="shared" si="2"/>
        <v>1</v>
      </c>
      <c r="V50" s="18">
        <v>7</v>
      </c>
      <c r="W50" s="18">
        <v>2</v>
      </c>
      <c r="X50" s="18"/>
      <c r="Y50" s="18"/>
      <c r="Z50" s="18"/>
      <c r="AA50" s="18">
        <f t="shared" si="3"/>
        <v>9</v>
      </c>
      <c r="AB50" s="18">
        <v>3</v>
      </c>
      <c r="AC50" s="18"/>
      <c r="AD50" s="18"/>
      <c r="AE50" s="18"/>
      <c r="AF50" s="18"/>
      <c r="AG50" s="18">
        <f t="shared" si="4"/>
        <v>3</v>
      </c>
      <c r="AH50" s="18">
        <v>3</v>
      </c>
      <c r="AI50" s="18"/>
      <c r="AJ50" s="18">
        <v>1</v>
      </c>
      <c r="AK50" s="18"/>
      <c r="AL50" s="18"/>
      <c r="AM50" s="18">
        <f t="shared" si="5"/>
        <v>4</v>
      </c>
      <c r="AN50" s="18"/>
      <c r="AO50" s="18"/>
      <c r="AP50" s="18">
        <f t="shared" si="6"/>
        <v>0</v>
      </c>
      <c r="AQ50" s="32">
        <f t="shared" si="7"/>
        <v>87</v>
      </c>
    </row>
    <row r="51" spans="1:43" x14ac:dyDescent="0.35">
      <c r="A51" s="126" t="s">
        <v>401</v>
      </c>
      <c r="B51" s="126" t="s">
        <v>402</v>
      </c>
      <c r="C51" s="126" t="s">
        <v>1293</v>
      </c>
      <c r="D51" s="128">
        <v>167</v>
      </c>
      <c r="E51" s="128">
        <v>39</v>
      </c>
      <c r="F51" s="128">
        <v>21</v>
      </c>
      <c r="G51" s="128">
        <v>7</v>
      </c>
      <c r="H51" s="128"/>
      <c r="I51" s="18">
        <f t="shared" si="0"/>
        <v>234</v>
      </c>
      <c r="J51" s="128">
        <v>15</v>
      </c>
      <c r="K51" s="128">
        <v>3</v>
      </c>
      <c r="L51" s="128">
        <v>2</v>
      </c>
      <c r="M51" s="128"/>
      <c r="N51" s="128"/>
      <c r="O51" s="18">
        <f t="shared" si="1"/>
        <v>20</v>
      </c>
      <c r="P51" s="18">
        <v>12</v>
      </c>
      <c r="Q51" s="18">
        <v>2</v>
      </c>
      <c r="R51" s="18">
        <v>1</v>
      </c>
      <c r="S51" s="18"/>
      <c r="T51" s="18"/>
      <c r="U51" s="18">
        <f t="shared" si="2"/>
        <v>15</v>
      </c>
      <c r="V51" s="18">
        <v>3</v>
      </c>
      <c r="W51" s="18"/>
      <c r="X51" s="18"/>
      <c r="Y51" s="18"/>
      <c r="Z51" s="18"/>
      <c r="AA51" s="18">
        <f t="shared" si="3"/>
        <v>3</v>
      </c>
      <c r="AB51" s="18">
        <v>46</v>
      </c>
      <c r="AC51" s="18">
        <v>6</v>
      </c>
      <c r="AD51" s="18">
        <v>8</v>
      </c>
      <c r="AE51" s="18">
        <v>1</v>
      </c>
      <c r="AF51" s="18"/>
      <c r="AG51" s="18">
        <f t="shared" si="4"/>
        <v>61</v>
      </c>
      <c r="AH51" s="18">
        <v>4</v>
      </c>
      <c r="AI51" s="18">
        <v>1</v>
      </c>
      <c r="AJ51" s="18"/>
      <c r="AK51" s="18"/>
      <c r="AL51" s="18"/>
      <c r="AM51" s="18">
        <f t="shared" si="5"/>
        <v>5</v>
      </c>
      <c r="AN51" s="18"/>
      <c r="AO51" s="18"/>
      <c r="AP51" s="18">
        <f t="shared" si="6"/>
        <v>0</v>
      </c>
      <c r="AQ51" s="32">
        <f t="shared" si="7"/>
        <v>338</v>
      </c>
    </row>
    <row r="52" spans="1:43" x14ac:dyDescent="0.35">
      <c r="A52" s="126" t="s">
        <v>403</v>
      </c>
      <c r="B52" s="126" t="s">
        <v>404</v>
      </c>
      <c r="C52" s="126" t="s">
        <v>1293</v>
      </c>
      <c r="D52" s="128">
        <v>5</v>
      </c>
      <c r="E52" s="128">
        <v>5</v>
      </c>
      <c r="F52" s="128">
        <v>2</v>
      </c>
      <c r="G52" s="128"/>
      <c r="H52" s="128"/>
      <c r="I52" s="18">
        <f t="shared" si="0"/>
        <v>12</v>
      </c>
      <c r="J52" s="128"/>
      <c r="K52" s="128"/>
      <c r="L52" s="128"/>
      <c r="M52" s="128"/>
      <c r="N52" s="128"/>
      <c r="O52" s="18">
        <f t="shared" si="1"/>
        <v>0</v>
      </c>
      <c r="P52" s="18"/>
      <c r="Q52" s="18"/>
      <c r="R52" s="18"/>
      <c r="S52" s="18"/>
      <c r="T52" s="18"/>
      <c r="U52" s="18">
        <f t="shared" si="2"/>
        <v>0</v>
      </c>
      <c r="V52" s="18"/>
      <c r="W52" s="18"/>
      <c r="X52" s="18"/>
      <c r="Y52" s="18"/>
      <c r="Z52" s="18"/>
      <c r="AA52" s="18">
        <f t="shared" si="3"/>
        <v>0</v>
      </c>
      <c r="AB52" s="18">
        <v>1</v>
      </c>
      <c r="AC52" s="18"/>
      <c r="AD52" s="18">
        <v>1</v>
      </c>
      <c r="AE52" s="18"/>
      <c r="AF52" s="18"/>
      <c r="AG52" s="18">
        <f t="shared" si="4"/>
        <v>2</v>
      </c>
      <c r="AH52" s="18"/>
      <c r="AI52" s="18"/>
      <c r="AJ52" s="18"/>
      <c r="AK52" s="18"/>
      <c r="AL52" s="18"/>
      <c r="AM52" s="18">
        <f t="shared" si="5"/>
        <v>0</v>
      </c>
      <c r="AN52" s="18"/>
      <c r="AO52" s="18"/>
      <c r="AP52" s="18">
        <f t="shared" si="6"/>
        <v>0</v>
      </c>
      <c r="AQ52" s="32">
        <f t="shared" si="7"/>
        <v>14</v>
      </c>
    </row>
    <row r="53" spans="1:43" x14ac:dyDescent="0.35">
      <c r="A53" s="126" t="s">
        <v>405</v>
      </c>
      <c r="B53" s="126" t="s">
        <v>406</v>
      </c>
      <c r="C53" s="126" t="s">
        <v>1293</v>
      </c>
      <c r="D53" s="128">
        <v>185</v>
      </c>
      <c r="E53" s="128">
        <v>11</v>
      </c>
      <c r="F53" s="128">
        <v>1</v>
      </c>
      <c r="G53" s="128">
        <v>2</v>
      </c>
      <c r="H53" s="128"/>
      <c r="I53" s="18">
        <f t="shared" si="0"/>
        <v>199</v>
      </c>
      <c r="J53" s="128">
        <v>17</v>
      </c>
      <c r="K53" s="128">
        <v>1</v>
      </c>
      <c r="L53" s="128">
        <v>1</v>
      </c>
      <c r="M53" s="128"/>
      <c r="N53" s="128"/>
      <c r="O53" s="18">
        <f t="shared" si="1"/>
        <v>19</v>
      </c>
      <c r="P53" s="18">
        <v>11</v>
      </c>
      <c r="Q53" s="18"/>
      <c r="R53" s="18"/>
      <c r="S53" s="18"/>
      <c r="T53" s="18"/>
      <c r="U53" s="18">
        <f t="shared" si="2"/>
        <v>11</v>
      </c>
      <c r="V53" s="18">
        <v>6</v>
      </c>
      <c r="W53" s="18"/>
      <c r="X53" s="18"/>
      <c r="Y53" s="18"/>
      <c r="Z53" s="18"/>
      <c r="AA53" s="18">
        <f t="shared" si="3"/>
        <v>6</v>
      </c>
      <c r="AB53" s="18">
        <v>30</v>
      </c>
      <c r="AC53" s="18">
        <v>3</v>
      </c>
      <c r="AD53" s="18"/>
      <c r="AE53" s="18"/>
      <c r="AF53" s="18"/>
      <c r="AG53" s="18">
        <f t="shared" si="4"/>
        <v>33</v>
      </c>
      <c r="AH53" s="18">
        <v>11</v>
      </c>
      <c r="AI53" s="18"/>
      <c r="AJ53" s="18"/>
      <c r="AK53" s="18"/>
      <c r="AL53" s="18"/>
      <c r="AM53" s="18">
        <f t="shared" si="5"/>
        <v>11</v>
      </c>
      <c r="AN53" s="18"/>
      <c r="AO53" s="18"/>
      <c r="AP53" s="18">
        <f t="shared" si="6"/>
        <v>0</v>
      </c>
      <c r="AQ53" s="32">
        <f t="shared" si="7"/>
        <v>279</v>
      </c>
    </row>
    <row r="54" spans="1:43" x14ac:dyDescent="0.35">
      <c r="A54" s="126" t="s">
        <v>1357</v>
      </c>
      <c r="B54" s="126" t="s">
        <v>1358</v>
      </c>
      <c r="C54" s="126" t="s">
        <v>1293</v>
      </c>
      <c r="D54" s="128">
        <v>5</v>
      </c>
      <c r="E54" s="128">
        <v>1</v>
      </c>
      <c r="F54" s="128">
        <v>1</v>
      </c>
      <c r="G54" s="128"/>
      <c r="H54" s="128"/>
      <c r="I54" s="18">
        <f t="shared" si="0"/>
        <v>7</v>
      </c>
      <c r="J54" s="128"/>
      <c r="K54" s="128"/>
      <c r="L54" s="128"/>
      <c r="M54" s="128"/>
      <c r="N54" s="128"/>
      <c r="O54" s="18">
        <f t="shared" si="1"/>
        <v>0</v>
      </c>
      <c r="P54" s="18"/>
      <c r="Q54" s="18"/>
      <c r="R54" s="18"/>
      <c r="S54" s="18"/>
      <c r="T54" s="18"/>
      <c r="U54" s="18">
        <f t="shared" si="2"/>
        <v>0</v>
      </c>
      <c r="V54" s="18"/>
      <c r="W54" s="18"/>
      <c r="X54" s="18"/>
      <c r="Y54" s="18"/>
      <c r="Z54" s="18"/>
      <c r="AA54" s="18">
        <f t="shared" si="3"/>
        <v>0</v>
      </c>
      <c r="AB54" s="18"/>
      <c r="AC54" s="18"/>
      <c r="AD54" s="18"/>
      <c r="AE54" s="18"/>
      <c r="AF54" s="18"/>
      <c r="AG54" s="18">
        <f t="shared" si="4"/>
        <v>0</v>
      </c>
      <c r="AH54" s="18"/>
      <c r="AI54" s="18"/>
      <c r="AJ54" s="18"/>
      <c r="AK54" s="18"/>
      <c r="AL54" s="18"/>
      <c r="AM54" s="18">
        <f t="shared" si="5"/>
        <v>0</v>
      </c>
      <c r="AN54" s="18"/>
      <c r="AO54" s="18"/>
      <c r="AP54" s="18">
        <f t="shared" si="6"/>
        <v>0</v>
      </c>
      <c r="AQ54" s="32">
        <f t="shared" si="7"/>
        <v>7</v>
      </c>
    </row>
    <row r="55" spans="1:43" x14ac:dyDescent="0.35">
      <c r="A55" s="126" t="s">
        <v>1359</v>
      </c>
      <c r="B55" s="126" t="s">
        <v>1360</v>
      </c>
      <c r="C55" s="126" t="s">
        <v>1293</v>
      </c>
      <c r="D55" s="128">
        <v>4</v>
      </c>
      <c r="E55" s="128"/>
      <c r="F55" s="128"/>
      <c r="G55" s="128"/>
      <c r="H55" s="128"/>
      <c r="I55" s="18">
        <f t="shared" si="0"/>
        <v>4</v>
      </c>
      <c r="J55" s="128"/>
      <c r="K55" s="128"/>
      <c r="L55" s="128"/>
      <c r="M55" s="128"/>
      <c r="N55" s="128"/>
      <c r="O55" s="18">
        <f t="shared" si="1"/>
        <v>0</v>
      </c>
      <c r="P55" s="18"/>
      <c r="Q55" s="18"/>
      <c r="R55" s="18"/>
      <c r="S55" s="18"/>
      <c r="T55" s="18"/>
      <c r="U55" s="18">
        <f t="shared" si="2"/>
        <v>0</v>
      </c>
      <c r="V55" s="18"/>
      <c r="W55" s="18"/>
      <c r="X55" s="18"/>
      <c r="Y55" s="18"/>
      <c r="Z55" s="18"/>
      <c r="AA55" s="18">
        <f t="shared" si="3"/>
        <v>0</v>
      </c>
      <c r="AB55" s="18"/>
      <c r="AC55" s="18"/>
      <c r="AD55" s="18"/>
      <c r="AE55" s="18"/>
      <c r="AF55" s="18"/>
      <c r="AG55" s="18">
        <f t="shared" si="4"/>
        <v>0</v>
      </c>
      <c r="AH55" s="18"/>
      <c r="AI55" s="18"/>
      <c r="AJ55" s="18"/>
      <c r="AK55" s="18"/>
      <c r="AL55" s="18"/>
      <c r="AM55" s="18">
        <f t="shared" si="5"/>
        <v>0</v>
      </c>
      <c r="AN55" s="18"/>
      <c r="AO55" s="18"/>
      <c r="AP55" s="18">
        <f t="shared" si="6"/>
        <v>0</v>
      </c>
      <c r="AQ55" s="32">
        <f t="shared" si="7"/>
        <v>4</v>
      </c>
    </row>
    <row r="56" spans="1:43" x14ac:dyDescent="0.35">
      <c r="A56" s="126" t="s">
        <v>1361</v>
      </c>
      <c r="B56" s="126" t="s">
        <v>1362</v>
      </c>
      <c r="C56" s="126" t="s">
        <v>1293</v>
      </c>
      <c r="D56" s="128"/>
      <c r="E56" s="128">
        <v>1</v>
      </c>
      <c r="F56" s="128"/>
      <c r="G56" s="128">
        <v>1</v>
      </c>
      <c r="H56" s="128"/>
      <c r="I56" s="18">
        <f t="shared" si="0"/>
        <v>2</v>
      </c>
      <c r="J56" s="128"/>
      <c r="K56" s="128"/>
      <c r="L56" s="128"/>
      <c r="M56" s="128"/>
      <c r="N56" s="128"/>
      <c r="O56" s="18">
        <f t="shared" si="1"/>
        <v>0</v>
      </c>
      <c r="P56" s="18"/>
      <c r="Q56" s="18"/>
      <c r="R56" s="18"/>
      <c r="S56" s="18"/>
      <c r="T56" s="18"/>
      <c r="U56" s="18">
        <f t="shared" si="2"/>
        <v>0</v>
      </c>
      <c r="V56" s="18"/>
      <c r="W56" s="18"/>
      <c r="X56" s="18"/>
      <c r="Y56" s="18"/>
      <c r="Z56" s="18"/>
      <c r="AA56" s="18">
        <f t="shared" si="3"/>
        <v>0</v>
      </c>
      <c r="AB56" s="18"/>
      <c r="AC56" s="18">
        <v>1</v>
      </c>
      <c r="AD56" s="18"/>
      <c r="AE56" s="18"/>
      <c r="AF56" s="18"/>
      <c r="AG56" s="18">
        <f t="shared" si="4"/>
        <v>1</v>
      </c>
      <c r="AH56" s="18"/>
      <c r="AI56" s="18"/>
      <c r="AJ56" s="18"/>
      <c r="AK56" s="18"/>
      <c r="AL56" s="18"/>
      <c r="AM56" s="18">
        <f t="shared" si="5"/>
        <v>0</v>
      </c>
      <c r="AN56" s="18"/>
      <c r="AO56" s="18"/>
      <c r="AP56" s="18">
        <f t="shared" si="6"/>
        <v>0</v>
      </c>
      <c r="AQ56" s="32">
        <f t="shared" si="7"/>
        <v>3</v>
      </c>
    </row>
    <row r="57" spans="1:43" x14ac:dyDescent="0.35">
      <c r="A57" s="126" t="s">
        <v>407</v>
      </c>
      <c r="B57" s="126" t="s">
        <v>408</v>
      </c>
      <c r="C57" s="126" t="s">
        <v>1293</v>
      </c>
      <c r="D57" s="128">
        <v>71</v>
      </c>
      <c r="E57" s="128">
        <v>10</v>
      </c>
      <c r="F57" s="128">
        <v>5</v>
      </c>
      <c r="G57" s="128">
        <v>1</v>
      </c>
      <c r="H57" s="128"/>
      <c r="I57" s="18">
        <f t="shared" si="0"/>
        <v>87</v>
      </c>
      <c r="J57" s="128">
        <v>14</v>
      </c>
      <c r="K57" s="128">
        <v>1</v>
      </c>
      <c r="L57" s="128">
        <v>1</v>
      </c>
      <c r="M57" s="128"/>
      <c r="N57" s="128"/>
      <c r="O57" s="18">
        <f t="shared" si="1"/>
        <v>16</v>
      </c>
      <c r="P57" s="18">
        <v>27</v>
      </c>
      <c r="Q57" s="18">
        <v>4</v>
      </c>
      <c r="R57" s="18">
        <v>4</v>
      </c>
      <c r="S57" s="18">
        <v>3</v>
      </c>
      <c r="T57" s="18"/>
      <c r="U57" s="18">
        <f t="shared" si="2"/>
        <v>38</v>
      </c>
      <c r="V57" s="18">
        <v>5</v>
      </c>
      <c r="W57" s="18">
        <v>1</v>
      </c>
      <c r="X57" s="18"/>
      <c r="Y57" s="18"/>
      <c r="Z57" s="18"/>
      <c r="AA57" s="18">
        <f t="shared" si="3"/>
        <v>6</v>
      </c>
      <c r="AB57" s="18">
        <v>16</v>
      </c>
      <c r="AC57" s="18">
        <v>2</v>
      </c>
      <c r="AD57" s="18">
        <v>1</v>
      </c>
      <c r="AE57" s="18"/>
      <c r="AF57" s="18"/>
      <c r="AG57" s="18">
        <f t="shared" si="4"/>
        <v>19</v>
      </c>
      <c r="AH57" s="18">
        <v>6</v>
      </c>
      <c r="AI57" s="18"/>
      <c r="AJ57" s="18"/>
      <c r="AK57" s="18"/>
      <c r="AL57" s="18"/>
      <c r="AM57" s="18">
        <f t="shared" si="5"/>
        <v>6</v>
      </c>
      <c r="AN57" s="18"/>
      <c r="AO57" s="18"/>
      <c r="AP57" s="18">
        <f t="shared" si="6"/>
        <v>0</v>
      </c>
      <c r="AQ57" s="32">
        <f t="shared" si="7"/>
        <v>172</v>
      </c>
    </row>
    <row r="58" spans="1:43" x14ac:dyDescent="0.35">
      <c r="A58" s="126" t="s">
        <v>409</v>
      </c>
      <c r="B58" s="126" t="s">
        <v>410</v>
      </c>
      <c r="C58" s="126" t="s">
        <v>1293</v>
      </c>
      <c r="D58" s="128">
        <v>89</v>
      </c>
      <c r="E58" s="128">
        <v>7</v>
      </c>
      <c r="F58" s="128">
        <v>1</v>
      </c>
      <c r="G58" s="128">
        <v>1</v>
      </c>
      <c r="H58" s="128"/>
      <c r="I58" s="18">
        <f t="shared" si="0"/>
        <v>98</v>
      </c>
      <c r="J58" s="128">
        <v>32</v>
      </c>
      <c r="K58" s="128"/>
      <c r="L58" s="128"/>
      <c r="M58" s="128"/>
      <c r="N58" s="128"/>
      <c r="O58" s="18">
        <f t="shared" si="1"/>
        <v>32</v>
      </c>
      <c r="P58" s="18">
        <v>24</v>
      </c>
      <c r="Q58" s="18"/>
      <c r="R58" s="18"/>
      <c r="S58" s="18"/>
      <c r="T58" s="18"/>
      <c r="U58" s="18">
        <f t="shared" si="2"/>
        <v>24</v>
      </c>
      <c r="V58" s="18">
        <v>3</v>
      </c>
      <c r="W58" s="18">
        <v>1</v>
      </c>
      <c r="X58" s="18"/>
      <c r="Y58" s="18"/>
      <c r="Z58" s="18"/>
      <c r="AA58" s="18">
        <f t="shared" si="3"/>
        <v>4</v>
      </c>
      <c r="AB58" s="18">
        <v>40</v>
      </c>
      <c r="AC58" s="18">
        <v>1</v>
      </c>
      <c r="AD58" s="18"/>
      <c r="AE58" s="18"/>
      <c r="AF58" s="18"/>
      <c r="AG58" s="18">
        <f t="shared" si="4"/>
        <v>41</v>
      </c>
      <c r="AH58" s="18">
        <v>4</v>
      </c>
      <c r="AI58" s="18"/>
      <c r="AJ58" s="18"/>
      <c r="AK58" s="18"/>
      <c r="AL58" s="18"/>
      <c r="AM58" s="18">
        <f t="shared" si="5"/>
        <v>4</v>
      </c>
      <c r="AN58" s="18"/>
      <c r="AO58" s="18"/>
      <c r="AP58" s="18">
        <f t="shared" si="6"/>
        <v>0</v>
      </c>
      <c r="AQ58" s="32">
        <f t="shared" si="7"/>
        <v>203</v>
      </c>
    </row>
    <row r="59" spans="1:43" x14ac:dyDescent="0.35">
      <c r="A59" s="126" t="s">
        <v>411</v>
      </c>
      <c r="B59" s="126" t="s">
        <v>412</v>
      </c>
      <c r="C59" s="126" t="s">
        <v>1293</v>
      </c>
      <c r="D59" s="128">
        <v>1</v>
      </c>
      <c r="E59" s="128"/>
      <c r="F59" s="128"/>
      <c r="G59" s="128"/>
      <c r="H59" s="128"/>
      <c r="I59" s="18">
        <f t="shared" si="0"/>
        <v>1</v>
      </c>
      <c r="J59" s="128"/>
      <c r="K59" s="128"/>
      <c r="L59" s="128"/>
      <c r="M59" s="128"/>
      <c r="N59" s="128"/>
      <c r="O59" s="18">
        <f t="shared" si="1"/>
        <v>0</v>
      </c>
      <c r="P59" s="18"/>
      <c r="Q59" s="18"/>
      <c r="R59" s="18"/>
      <c r="S59" s="18"/>
      <c r="T59" s="18"/>
      <c r="U59" s="18">
        <f t="shared" si="2"/>
        <v>0</v>
      </c>
      <c r="V59" s="18"/>
      <c r="W59" s="18"/>
      <c r="X59" s="18"/>
      <c r="Y59" s="18"/>
      <c r="Z59" s="18"/>
      <c r="AA59" s="18">
        <f t="shared" si="3"/>
        <v>0</v>
      </c>
      <c r="AB59" s="18"/>
      <c r="AC59" s="18"/>
      <c r="AD59" s="18"/>
      <c r="AE59" s="18"/>
      <c r="AF59" s="18"/>
      <c r="AG59" s="18">
        <f t="shared" si="4"/>
        <v>0</v>
      </c>
      <c r="AH59" s="18"/>
      <c r="AI59" s="18"/>
      <c r="AJ59" s="18"/>
      <c r="AK59" s="18"/>
      <c r="AL59" s="18"/>
      <c r="AM59" s="18">
        <f t="shared" si="5"/>
        <v>0</v>
      </c>
      <c r="AN59" s="18"/>
      <c r="AO59" s="18"/>
      <c r="AP59" s="18">
        <f t="shared" si="6"/>
        <v>0</v>
      </c>
      <c r="AQ59" s="32">
        <f t="shared" si="7"/>
        <v>1</v>
      </c>
    </row>
    <row r="60" spans="1:43" x14ac:dyDescent="0.35">
      <c r="A60" s="126" t="s">
        <v>413</v>
      </c>
      <c r="B60" s="126" t="s">
        <v>414</v>
      </c>
      <c r="C60" s="126" t="s">
        <v>1293</v>
      </c>
      <c r="D60" s="128">
        <v>3</v>
      </c>
      <c r="E60" s="128">
        <v>3</v>
      </c>
      <c r="F60" s="128"/>
      <c r="G60" s="128"/>
      <c r="H60" s="128"/>
      <c r="I60" s="18">
        <f t="shared" si="0"/>
        <v>6</v>
      </c>
      <c r="J60" s="128">
        <v>7</v>
      </c>
      <c r="K60" s="128">
        <v>1</v>
      </c>
      <c r="L60" s="128"/>
      <c r="M60" s="128"/>
      <c r="N60" s="128"/>
      <c r="O60" s="18">
        <f t="shared" si="1"/>
        <v>8</v>
      </c>
      <c r="P60" s="18"/>
      <c r="Q60" s="18"/>
      <c r="R60" s="18"/>
      <c r="S60" s="18"/>
      <c r="T60" s="18"/>
      <c r="U60" s="18">
        <f t="shared" si="2"/>
        <v>0</v>
      </c>
      <c r="V60" s="18"/>
      <c r="W60" s="18"/>
      <c r="X60" s="18"/>
      <c r="Y60" s="18"/>
      <c r="Z60" s="18"/>
      <c r="AA60" s="18">
        <f t="shared" si="3"/>
        <v>0</v>
      </c>
      <c r="AB60" s="18"/>
      <c r="AC60" s="18"/>
      <c r="AD60" s="18"/>
      <c r="AE60" s="18"/>
      <c r="AF60" s="18"/>
      <c r="AG60" s="18">
        <f t="shared" si="4"/>
        <v>0</v>
      </c>
      <c r="AH60" s="18"/>
      <c r="AI60" s="18"/>
      <c r="AJ60" s="18"/>
      <c r="AK60" s="18"/>
      <c r="AL60" s="18"/>
      <c r="AM60" s="18">
        <f t="shared" si="5"/>
        <v>0</v>
      </c>
      <c r="AN60" s="18"/>
      <c r="AO60" s="18"/>
      <c r="AP60" s="18">
        <f t="shared" si="6"/>
        <v>0</v>
      </c>
      <c r="AQ60" s="32">
        <f t="shared" si="7"/>
        <v>14</v>
      </c>
    </row>
    <row r="61" spans="1:43" x14ac:dyDescent="0.35">
      <c r="A61" s="126" t="s">
        <v>415</v>
      </c>
      <c r="B61" s="126" t="s">
        <v>416</v>
      </c>
      <c r="C61" s="126" t="s">
        <v>1293</v>
      </c>
      <c r="D61" s="128">
        <v>34</v>
      </c>
      <c r="E61" s="128">
        <v>2</v>
      </c>
      <c r="F61" s="128">
        <v>1</v>
      </c>
      <c r="G61" s="128">
        <v>1</v>
      </c>
      <c r="H61" s="128"/>
      <c r="I61" s="18">
        <f t="shared" si="0"/>
        <v>38</v>
      </c>
      <c r="J61" s="128">
        <v>33</v>
      </c>
      <c r="K61" s="128"/>
      <c r="L61" s="128"/>
      <c r="M61" s="128"/>
      <c r="N61" s="128"/>
      <c r="O61" s="18">
        <f t="shared" si="1"/>
        <v>33</v>
      </c>
      <c r="P61" s="18">
        <v>3</v>
      </c>
      <c r="Q61" s="18"/>
      <c r="R61" s="18"/>
      <c r="S61" s="18"/>
      <c r="T61" s="18"/>
      <c r="U61" s="18">
        <f t="shared" si="2"/>
        <v>3</v>
      </c>
      <c r="V61" s="18"/>
      <c r="W61" s="18"/>
      <c r="X61" s="18"/>
      <c r="Y61" s="18"/>
      <c r="Z61" s="18"/>
      <c r="AA61" s="18">
        <f t="shared" si="3"/>
        <v>0</v>
      </c>
      <c r="AB61" s="18">
        <v>1</v>
      </c>
      <c r="AC61" s="18">
        <v>1</v>
      </c>
      <c r="AD61" s="18"/>
      <c r="AE61" s="18"/>
      <c r="AF61" s="18"/>
      <c r="AG61" s="18">
        <f t="shared" si="4"/>
        <v>2</v>
      </c>
      <c r="AH61" s="18">
        <v>11</v>
      </c>
      <c r="AI61" s="18"/>
      <c r="AJ61" s="18"/>
      <c r="AK61" s="18"/>
      <c r="AL61" s="18"/>
      <c r="AM61" s="18">
        <f t="shared" si="5"/>
        <v>11</v>
      </c>
      <c r="AN61" s="18"/>
      <c r="AO61" s="18"/>
      <c r="AP61" s="18">
        <f t="shared" si="6"/>
        <v>0</v>
      </c>
      <c r="AQ61" s="32">
        <f t="shared" si="7"/>
        <v>87</v>
      </c>
    </row>
    <row r="62" spans="1:43" x14ac:dyDescent="0.35">
      <c r="A62" s="126" t="s">
        <v>417</v>
      </c>
      <c r="B62" s="126" t="s">
        <v>418</v>
      </c>
      <c r="C62" s="126" t="s">
        <v>1293</v>
      </c>
      <c r="D62" s="128">
        <v>28</v>
      </c>
      <c r="E62" s="128"/>
      <c r="F62" s="128"/>
      <c r="G62" s="128">
        <v>1</v>
      </c>
      <c r="H62" s="128"/>
      <c r="I62" s="18">
        <f t="shared" si="0"/>
        <v>29</v>
      </c>
      <c r="J62" s="128">
        <v>8</v>
      </c>
      <c r="K62" s="128"/>
      <c r="L62" s="128"/>
      <c r="M62" s="128"/>
      <c r="N62" s="128"/>
      <c r="O62" s="18">
        <f t="shared" si="1"/>
        <v>8</v>
      </c>
      <c r="P62" s="18">
        <v>1</v>
      </c>
      <c r="Q62" s="18"/>
      <c r="R62" s="18"/>
      <c r="S62" s="18"/>
      <c r="T62" s="18"/>
      <c r="U62" s="18">
        <f t="shared" si="2"/>
        <v>1</v>
      </c>
      <c r="V62" s="18"/>
      <c r="W62" s="18"/>
      <c r="X62" s="18"/>
      <c r="Y62" s="18"/>
      <c r="Z62" s="18"/>
      <c r="AA62" s="18">
        <f t="shared" si="3"/>
        <v>0</v>
      </c>
      <c r="AB62" s="18">
        <v>5</v>
      </c>
      <c r="AC62" s="18"/>
      <c r="AD62" s="18"/>
      <c r="AE62" s="18"/>
      <c r="AF62" s="18"/>
      <c r="AG62" s="18">
        <f t="shared" si="4"/>
        <v>5</v>
      </c>
      <c r="AH62" s="18"/>
      <c r="AI62" s="18"/>
      <c r="AJ62" s="18"/>
      <c r="AK62" s="18"/>
      <c r="AL62" s="18"/>
      <c r="AM62" s="18">
        <f t="shared" si="5"/>
        <v>0</v>
      </c>
      <c r="AN62" s="18"/>
      <c r="AO62" s="18"/>
      <c r="AP62" s="18">
        <f t="shared" si="6"/>
        <v>0</v>
      </c>
      <c r="AQ62" s="32">
        <f t="shared" si="7"/>
        <v>43</v>
      </c>
    </row>
    <row r="63" spans="1:43" x14ac:dyDescent="0.35">
      <c r="A63" s="126" t="s">
        <v>419</v>
      </c>
      <c r="B63" s="126" t="s">
        <v>420</v>
      </c>
      <c r="C63" s="126" t="s">
        <v>1293</v>
      </c>
      <c r="D63" s="128">
        <v>1</v>
      </c>
      <c r="E63" s="128"/>
      <c r="F63" s="128"/>
      <c r="G63" s="128"/>
      <c r="H63" s="128"/>
      <c r="I63" s="18">
        <f t="shared" si="0"/>
        <v>1</v>
      </c>
      <c r="J63" s="128"/>
      <c r="K63" s="128"/>
      <c r="L63" s="128"/>
      <c r="M63" s="128"/>
      <c r="N63" s="128"/>
      <c r="O63" s="18">
        <f t="shared" si="1"/>
        <v>0</v>
      </c>
      <c r="P63" s="18"/>
      <c r="Q63" s="18"/>
      <c r="R63" s="18"/>
      <c r="S63" s="18"/>
      <c r="T63" s="18"/>
      <c r="U63" s="18">
        <f t="shared" si="2"/>
        <v>0</v>
      </c>
      <c r="V63" s="18"/>
      <c r="W63" s="18"/>
      <c r="X63" s="18"/>
      <c r="Y63" s="18"/>
      <c r="Z63" s="18"/>
      <c r="AA63" s="18">
        <f t="shared" si="3"/>
        <v>0</v>
      </c>
      <c r="AB63" s="18">
        <v>2</v>
      </c>
      <c r="AC63" s="18"/>
      <c r="AD63" s="18"/>
      <c r="AE63" s="18"/>
      <c r="AF63" s="18"/>
      <c r="AG63" s="18">
        <f t="shared" si="4"/>
        <v>2</v>
      </c>
      <c r="AH63" s="18"/>
      <c r="AI63" s="18"/>
      <c r="AJ63" s="18"/>
      <c r="AK63" s="18"/>
      <c r="AL63" s="18"/>
      <c r="AM63" s="18">
        <f t="shared" si="5"/>
        <v>0</v>
      </c>
      <c r="AN63" s="18"/>
      <c r="AO63" s="18"/>
      <c r="AP63" s="18">
        <f t="shared" si="6"/>
        <v>0</v>
      </c>
      <c r="AQ63" s="32">
        <f t="shared" si="7"/>
        <v>3</v>
      </c>
    </row>
    <row r="64" spans="1:43" x14ac:dyDescent="0.35">
      <c r="A64" s="126" t="s">
        <v>421</v>
      </c>
      <c r="B64" s="126" t="s">
        <v>422</v>
      </c>
      <c r="C64" s="126" t="s">
        <v>1293</v>
      </c>
      <c r="D64" s="128">
        <v>12</v>
      </c>
      <c r="E64" s="128">
        <v>1</v>
      </c>
      <c r="F64" s="128">
        <v>1</v>
      </c>
      <c r="G64" s="128"/>
      <c r="H64" s="128"/>
      <c r="I64" s="18">
        <f t="shared" si="0"/>
        <v>14</v>
      </c>
      <c r="J64" s="128"/>
      <c r="K64" s="128"/>
      <c r="L64" s="128"/>
      <c r="M64" s="128"/>
      <c r="N64" s="128"/>
      <c r="O64" s="18">
        <f t="shared" si="1"/>
        <v>0</v>
      </c>
      <c r="P64" s="18">
        <v>4</v>
      </c>
      <c r="Q64" s="18"/>
      <c r="R64" s="18"/>
      <c r="S64" s="18"/>
      <c r="T64" s="18"/>
      <c r="U64" s="18">
        <f t="shared" si="2"/>
        <v>4</v>
      </c>
      <c r="V64" s="18"/>
      <c r="W64" s="18"/>
      <c r="X64" s="18"/>
      <c r="Y64" s="18"/>
      <c r="Z64" s="18"/>
      <c r="AA64" s="18">
        <f t="shared" si="3"/>
        <v>0</v>
      </c>
      <c r="AB64" s="18">
        <v>7</v>
      </c>
      <c r="AC64" s="18">
        <v>1</v>
      </c>
      <c r="AD64" s="18"/>
      <c r="AE64" s="18"/>
      <c r="AF64" s="18"/>
      <c r="AG64" s="18">
        <f t="shared" si="4"/>
        <v>8</v>
      </c>
      <c r="AH64" s="18">
        <v>2</v>
      </c>
      <c r="AI64" s="18"/>
      <c r="AJ64" s="18"/>
      <c r="AK64" s="18"/>
      <c r="AL64" s="18"/>
      <c r="AM64" s="18">
        <f t="shared" si="5"/>
        <v>2</v>
      </c>
      <c r="AN64" s="18"/>
      <c r="AO64" s="18"/>
      <c r="AP64" s="18">
        <f t="shared" si="6"/>
        <v>0</v>
      </c>
      <c r="AQ64" s="32">
        <f t="shared" si="7"/>
        <v>28</v>
      </c>
    </row>
    <row r="65" spans="1:43" x14ac:dyDescent="0.35">
      <c r="A65" s="126" t="s">
        <v>423</v>
      </c>
      <c r="B65" s="126" t="s">
        <v>424</v>
      </c>
      <c r="C65" s="126" t="s">
        <v>1293</v>
      </c>
      <c r="D65" s="128">
        <v>1348</v>
      </c>
      <c r="E65" s="128">
        <v>38</v>
      </c>
      <c r="F65" s="128">
        <v>15</v>
      </c>
      <c r="G65" s="128">
        <v>1</v>
      </c>
      <c r="H65" s="128"/>
      <c r="I65" s="18">
        <f t="shared" si="0"/>
        <v>1402</v>
      </c>
      <c r="J65" s="128">
        <v>154</v>
      </c>
      <c r="K65" s="128">
        <v>1</v>
      </c>
      <c r="L65" s="128"/>
      <c r="M65" s="128"/>
      <c r="N65" s="128"/>
      <c r="O65" s="18">
        <f t="shared" si="1"/>
        <v>155</v>
      </c>
      <c r="P65" s="18">
        <v>111</v>
      </c>
      <c r="Q65" s="18"/>
      <c r="R65" s="18"/>
      <c r="S65" s="18"/>
      <c r="T65" s="18"/>
      <c r="U65" s="18">
        <f t="shared" si="2"/>
        <v>111</v>
      </c>
      <c r="V65" s="18">
        <v>32</v>
      </c>
      <c r="W65" s="18"/>
      <c r="X65" s="18"/>
      <c r="Y65" s="18"/>
      <c r="Z65" s="18"/>
      <c r="AA65" s="18">
        <f t="shared" si="3"/>
        <v>32</v>
      </c>
      <c r="AB65" s="18">
        <v>305</v>
      </c>
      <c r="AC65" s="18">
        <v>7</v>
      </c>
      <c r="AD65" s="18">
        <v>6</v>
      </c>
      <c r="AE65" s="18">
        <v>1</v>
      </c>
      <c r="AF65" s="18"/>
      <c r="AG65" s="18">
        <f t="shared" si="4"/>
        <v>319</v>
      </c>
      <c r="AH65" s="18">
        <v>87</v>
      </c>
      <c r="AI65" s="18"/>
      <c r="AJ65" s="18"/>
      <c r="AK65" s="18"/>
      <c r="AL65" s="18"/>
      <c r="AM65" s="18">
        <f t="shared" si="5"/>
        <v>87</v>
      </c>
      <c r="AN65" s="18"/>
      <c r="AO65" s="18"/>
      <c r="AP65" s="18">
        <f t="shared" si="6"/>
        <v>0</v>
      </c>
      <c r="AQ65" s="32">
        <f t="shared" si="7"/>
        <v>2106</v>
      </c>
    </row>
    <row r="66" spans="1:43" x14ac:dyDescent="0.35">
      <c r="A66" s="126" t="s">
        <v>425</v>
      </c>
      <c r="B66" s="126" t="s">
        <v>426</v>
      </c>
      <c r="C66" s="126" t="s">
        <v>1293</v>
      </c>
      <c r="D66" s="128">
        <v>55</v>
      </c>
      <c r="E66" s="128">
        <v>3</v>
      </c>
      <c r="F66" s="128"/>
      <c r="G66" s="128">
        <v>1</v>
      </c>
      <c r="H66" s="128"/>
      <c r="I66" s="18">
        <f t="shared" si="0"/>
        <v>59</v>
      </c>
      <c r="J66" s="128">
        <v>7</v>
      </c>
      <c r="K66" s="128"/>
      <c r="L66" s="128"/>
      <c r="M66" s="128"/>
      <c r="N66" s="128"/>
      <c r="O66" s="18">
        <f t="shared" si="1"/>
        <v>7</v>
      </c>
      <c r="P66" s="18">
        <v>2</v>
      </c>
      <c r="Q66" s="18"/>
      <c r="R66" s="18"/>
      <c r="S66" s="18"/>
      <c r="T66" s="18"/>
      <c r="U66" s="18">
        <f t="shared" si="2"/>
        <v>2</v>
      </c>
      <c r="V66" s="18"/>
      <c r="W66" s="18"/>
      <c r="X66" s="18"/>
      <c r="Y66" s="18"/>
      <c r="Z66" s="18"/>
      <c r="AA66" s="18">
        <f t="shared" si="3"/>
        <v>0</v>
      </c>
      <c r="AB66" s="18">
        <v>4</v>
      </c>
      <c r="AC66" s="18"/>
      <c r="AD66" s="18"/>
      <c r="AE66" s="18"/>
      <c r="AF66" s="18"/>
      <c r="AG66" s="18">
        <f t="shared" si="4"/>
        <v>4</v>
      </c>
      <c r="AH66" s="18">
        <v>2</v>
      </c>
      <c r="AI66" s="18"/>
      <c r="AJ66" s="18"/>
      <c r="AK66" s="18"/>
      <c r="AL66" s="18"/>
      <c r="AM66" s="18">
        <f t="shared" si="5"/>
        <v>2</v>
      </c>
      <c r="AN66" s="18"/>
      <c r="AO66" s="18"/>
      <c r="AP66" s="18">
        <f t="shared" si="6"/>
        <v>0</v>
      </c>
      <c r="AQ66" s="32">
        <f t="shared" si="7"/>
        <v>74</v>
      </c>
    </row>
    <row r="67" spans="1:43" x14ac:dyDescent="0.35">
      <c r="A67" s="126" t="s">
        <v>427</v>
      </c>
      <c r="B67" s="126" t="s">
        <v>428</v>
      </c>
      <c r="C67" s="126" t="s">
        <v>1293</v>
      </c>
      <c r="D67" s="128">
        <v>3</v>
      </c>
      <c r="E67" s="128"/>
      <c r="F67" s="128">
        <v>1</v>
      </c>
      <c r="G67" s="128"/>
      <c r="H67" s="128"/>
      <c r="I67" s="18">
        <f t="shared" si="0"/>
        <v>4</v>
      </c>
      <c r="J67" s="128"/>
      <c r="K67" s="128"/>
      <c r="L67" s="128"/>
      <c r="M67" s="128"/>
      <c r="N67" s="128"/>
      <c r="O67" s="18">
        <f t="shared" si="1"/>
        <v>0</v>
      </c>
      <c r="P67" s="18"/>
      <c r="Q67" s="18"/>
      <c r="R67" s="18"/>
      <c r="S67" s="18"/>
      <c r="T67" s="18"/>
      <c r="U67" s="18">
        <f t="shared" si="2"/>
        <v>0</v>
      </c>
      <c r="V67" s="18"/>
      <c r="W67" s="18"/>
      <c r="X67" s="18"/>
      <c r="Y67" s="18"/>
      <c r="Z67" s="18"/>
      <c r="AA67" s="18">
        <f t="shared" si="3"/>
        <v>0</v>
      </c>
      <c r="AB67" s="18"/>
      <c r="AC67" s="18"/>
      <c r="AD67" s="18"/>
      <c r="AE67" s="18"/>
      <c r="AF67" s="18"/>
      <c r="AG67" s="18">
        <f t="shared" si="4"/>
        <v>0</v>
      </c>
      <c r="AH67" s="18"/>
      <c r="AI67" s="18"/>
      <c r="AJ67" s="18"/>
      <c r="AK67" s="18"/>
      <c r="AL67" s="18"/>
      <c r="AM67" s="18">
        <f t="shared" si="5"/>
        <v>0</v>
      </c>
      <c r="AN67" s="18"/>
      <c r="AO67" s="18"/>
      <c r="AP67" s="18">
        <f t="shared" si="6"/>
        <v>0</v>
      </c>
      <c r="AQ67" s="32">
        <f t="shared" si="7"/>
        <v>4</v>
      </c>
    </row>
    <row r="68" spans="1:43" x14ac:dyDescent="0.35">
      <c r="A68" s="126" t="s">
        <v>429</v>
      </c>
      <c r="B68" s="126" t="s">
        <v>430</v>
      </c>
      <c r="C68" s="126" t="s">
        <v>1293</v>
      </c>
      <c r="D68" s="128">
        <v>491</v>
      </c>
      <c r="E68" s="128">
        <v>21</v>
      </c>
      <c r="F68" s="128">
        <v>10</v>
      </c>
      <c r="G68" s="128">
        <v>1</v>
      </c>
      <c r="H68" s="128"/>
      <c r="I68" s="18">
        <f t="shared" si="0"/>
        <v>523</v>
      </c>
      <c r="J68" s="128">
        <v>56</v>
      </c>
      <c r="K68" s="128"/>
      <c r="L68" s="128"/>
      <c r="M68" s="128"/>
      <c r="N68" s="128"/>
      <c r="O68" s="18">
        <f t="shared" si="1"/>
        <v>56</v>
      </c>
      <c r="P68" s="18">
        <v>23</v>
      </c>
      <c r="Q68" s="18"/>
      <c r="R68" s="18"/>
      <c r="S68" s="18"/>
      <c r="T68" s="18"/>
      <c r="U68" s="18">
        <f t="shared" si="2"/>
        <v>23</v>
      </c>
      <c r="V68" s="18">
        <v>12</v>
      </c>
      <c r="W68" s="18"/>
      <c r="X68" s="18"/>
      <c r="Y68" s="18"/>
      <c r="Z68" s="18"/>
      <c r="AA68" s="18">
        <f t="shared" si="3"/>
        <v>12</v>
      </c>
      <c r="AB68" s="18">
        <v>66</v>
      </c>
      <c r="AC68" s="18"/>
      <c r="AD68" s="18">
        <v>1</v>
      </c>
      <c r="AE68" s="18"/>
      <c r="AF68" s="18"/>
      <c r="AG68" s="18">
        <f t="shared" si="4"/>
        <v>67</v>
      </c>
      <c r="AH68" s="18">
        <v>21</v>
      </c>
      <c r="AI68" s="18"/>
      <c r="AJ68" s="18"/>
      <c r="AK68" s="18"/>
      <c r="AL68" s="18"/>
      <c r="AM68" s="18">
        <f t="shared" si="5"/>
        <v>21</v>
      </c>
      <c r="AN68" s="18"/>
      <c r="AO68" s="18"/>
      <c r="AP68" s="18">
        <f t="shared" si="6"/>
        <v>0</v>
      </c>
      <c r="AQ68" s="32">
        <f t="shared" si="7"/>
        <v>702</v>
      </c>
    </row>
    <row r="69" spans="1:43" x14ac:dyDescent="0.35">
      <c r="A69" s="126" t="s">
        <v>431</v>
      </c>
      <c r="B69" s="126" t="s">
        <v>432</v>
      </c>
      <c r="C69" s="126" t="s">
        <v>1293</v>
      </c>
      <c r="D69" s="128">
        <v>442</v>
      </c>
      <c r="E69" s="128">
        <v>32</v>
      </c>
      <c r="F69" s="128">
        <v>6</v>
      </c>
      <c r="G69" s="128">
        <v>2</v>
      </c>
      <c r="H69" s="128"/>
      <c r="I69" s="18">
        <f t="shared" si="0"/>
        <v>482</v>
      </c>
      <c r="J69" s="128">
        <v>49</v>
      </c>
      <c r="K69" s="128"/>
      <c r="L69" s="128"/>
      <c r="M69" s="128"/>
      <c r="N69" s="128"/>
      <c r="O69" s="18">
        <f t="shared" si="1"/>
        <v>49</v>
      </c>
      <c r="P69" s="18">
        <v>20</v>
      </c>
      <c r="Q69" s="18"/>
      <c r="R69" s="18"/>
      <c r="S69" s="18"/>
      <c r="T69" s="18"/>
      <c r="U69" s="18">
        <f t="shared" si="2"/>
        <v>20</v>
      </c>
      <c r="V69" s="18">
        <v>9</v>
      </c>
      <c r="W69" s="18"/>
      <c r="X69" s="18"/>
      <c r="Y69" s="18"/>
      <c r="Z69" s="18"/>
      <c r="AA69" s="18">
        <f t="shared" si="3"/>
        <v>9</v>
      </c>
      <c r="AB69" s="18">
        <v>98</v>
      </c>
      <c r="AC69" s="18">
        <v>5</v>
      </c>
      <c r="AD69" s="18"/>
      <c r="AE69" s="18"/>
      <c r="AF69" s="18"/>
      <c r="AG69" s="18">
        <f t="shared" si="4"/>
        <v>103</v>
      </c>
      <c r="AH69" s="18">
        <v>5</v>
      </c>
      <c r="AI69" s="18"/>
      <c r="AJ69" s="18"/>
      <c r="AK69" s="18"/>
      <c r="AL69" s="18"/>
      <c r="AM69" s="18">
        <f t="shared" si="5"/>
        <v>5</v>
      </c>
      <c r="AN69" s="18"/>
      <c r="AO69" s="18"/>
      <c r="AP69" s="18">
        <f t="shared" si="6"/>
        <v>0</v>
      </c>
      <c r="AQ69" s="32">
        <f t="shared" si="7"/>
        <v>668</v>
      </c>
    </row>
    <row r="70" spans="1:43" x14ac:dyDescent="0.35">
      <c r="A70" s="126" t="s">
        <v>433</v>
      </c>
      <c r="B70" s="126" t="s">
        <v>434</v>
      </c>
      <c r="C70" s="126" t="s">
        <v>1293</v>
      </c>
      <c r="D70" s="128">
        <v>51</v>
      </c>
      <c r="E70" s="128">
        <v>5</v>
      </c>
      <c r="F70" s="128">
        <v>1</v>
      </c>
      <c r="G70" s="128">
        <v>2</v>
      </c>
      <c r="H70" s="128"/>
      <c r="I70" s="18">
        <f t="shared" ref="I70:I133" si="8">+SUM(D70:H70)</f>
        <v>59</v>
      </c>
      <c r="J70" s="128"/>
      <c r="K70" s="128"/>
      <c r="L70" s="128"/>
      <c r="M70" s="128"/>
      <c r="N70" s="128"/>
      <c r="O70" s="18">
        <f t="shared" ref="O70:O133" si="9">+SUM(J70:N70)</f>
        <v>0</v>
      </c>
      <c r="P70" s="18">
        <v>7</v>
      </c>
      <c r="Q70" s="18">
        <v>7</v>
      </c>
      <c r="R70" s="18">
        <v>1</v>
      </c>
      <c r="S70" s="18">
        <v>1</v>
      </c>
      <c r="T70" s="18"/>
      <c r="U70" s="18">
        <f t="shared" ref="U70:U133" si="10">+SUM(P70:T70)</f>
        <v>16</v>
      </c>
      <c r="V70" s="18">
        <v>1</v>
      </c>
      <c r="W70" s="18">
        <v>1</v>
      </c>
      <c r="X70" s="18"/>
      <c r="Y70" s="18"/>
      <c r="Z70" s="18"/>
      <c r="AA70" s="18">
        <f t="shared" ref="AA70:AA133" si="11">+SUM(V70:Z70)</f>
        <v>2</v>
      </c>
      <c r="AB70" s="18">
        <v>8</v>
      </c>
      <c r="AC70" s="18"/>
      <c r="AD70" s="18"/>
      <c r="AE70" s="18">
        <v>2</v>
      </c>
      <c r="AF70" s="18"/>
      <c r="AG70" s="18">
        <f t="shared" ref="AG70:AG133" si="12">+SUM(AB70:AF70)</f>
        <v>10</v>
      </c>
      <c r="AH70" s="18"/>
      <c r="AI70" s="18"/>
      <c r="AJ70" s="18"/>
      <c r="AK70" s="18"/>
      <c r="AL70" s="18"/>
      <c r="AM70" s="18">
        <f t="shared" ref="AM70:AM133" si="13">+SUM(AH70:AL70)</f>
        <v>0</v>
      </c>
      <c r="AN70" s="18"/>
      <c r="AO70" s="18"/>
      <c r="AP70" s="18">
        <f t="shared" ref="AP70:AP133" si="14">+AO70+AN70</f>
        <v>0</v>
      </c>
      <c r="AQ70" s="32">
        <f t="shared" ref="AQ70:AQ133" si="15">+AP70+AM70+AG70+AA70+U70+O70+I70</f>
        <v>87</v>
      </c>
    </row>
    <row r="71" spans="1:43" x14ac:dyDescent="0.35">
      <c r="A71" s="126" t="s">
        <v>435</v>
      </c>
      <c r="B71" s="126" t="s">
        <v>436</v>
      </c>
      <c r="C71" s="126" t="s">
        <v>1293</v>
      </c>
      <c r="D71" s="128">
        <v>20</v>
      </c>
      <c r="E71" s="128">
        <v>1</v>
      </c>
      <c r="F71" s="128"/>
      <c r="G71" s="128"/>
      <c r="H71" s="128"/>
      <c r="I71" s="18">
        <f t="shared" si="8"/>
        <v>21</v>
      </c>
      <c r="J71" s="128"/>
      <c r="K71" s="128"/>
      <c r="L71" s="128"/>
      <c r="M71" s="128"/>
      <c r="N71" s="128"/>
      <c r="O71" s="18">
        <f t="shared" si="9"/>
        <v>0</v>
      </c>
      <c r="P71" s="18"/>
      <c r="Q71" s="18"/>
      <c r="R71" s="18"/>
      <c r="S71" s="18"/>
      <c r="T71" s="18"/>
      <c r="U71" s="18">
        <f t="shared" si="10"/>
        <v>0</v>
      </c>
      <c r="V71" s="18"/>
      <c r="W71" s="18"/>
      <c r="X71" s="18"/>
      <c r="Y71" s="18"/>
      <c r="Z71" s="18"/>
      <c r="AA71" s="18">
        <f t="shared" si="11"/>
        <v>0</v>
      </c>
      <c r="AB71" s="18">
        <v>2</v>
      </c>
      <c r="AC71" s="18"/>
      <c r="AD71" s="18"/>
      <c r="AE71" s="18"/>
      <c r="AF71" s="18"/>
      <c r="AG71" s="18">
        <f t="shared" si="12"/>
        <v>2</v>
      </c>
      <c r="AH71" s="18"/>
      <c r="AI71" s="18"/>
      <c r="AJ71" s="18"/>
      <c r="AK71" s="18"/>
      <c r="AL71" s="18"/>
      <c r="AM71" s="18">
        <f t="shared" si="13"/>
        <v>0</v>
      </c>
      <c r="AN71" s="18"/>
      <c r="AO71" s="18"/>
      <c r="AP71" s="18">
        <f t="shared" si="14"/>
        <v>0</v>
      </c>
      <c r="AQ71" s="32">
        <f t="shared" si="15"/>
        <v>23</v>
      </c>
    </row>
    <row r="72" spans="1:43" x14ac:dyDescent="0.35">
      <c r="A72" s="126" t="s">
        <v>437</v>
      </c>
      <c r="B72" s="126" t="s">
        <v>438</v>
      </c>
      <c r="C72" s="126" t="s">
        <v>1293</v>
      </c>
      <c r="D72" s="128">
        <v>14</v>
      </c>
      <c r="E72" s="128">
        <v>1</v>
      </c>
      <c r="F72" s="128"/>
      <c r="G72" s="128"/>
      <c r="H72" s="128"/>
      <c r="I72" s="18">
        <f t="shared" si="8"/>
        <v>15</v>
      </c>
      <c r="J72" s="128">
        <v>2</v>
      </c>
      <c r="K72" s="128"/>
      <c r="L72" s="128"/>
      <c r="M72" s="128"/>
      <c r="N72" s="128"/>
      <c r="O72" s="18">
        <f t="shared" si="9"/>
        <v>2</v>
      </c>
      <c r="P72" s="18">
        <v>1</v>
      </c>
      <c r="Q72" s="18"/>
      <c r="R72" s="18"/>
      <c r="S72" s="18"/>
      <c r="T72" s="18"/>
      <c r="U72" s="18">
        <f t="shared" si="10"/>
        <v>1</v>
      </c>
      <c r="V72" s="18"/>
      <c r="W72" s="18"/>
      <c r="X72" s="18"/>
      <c r="Y72" s="18"/>
      <c r="Z72" s="18"/>
      <c r="AA72" s="18">
        <f t="shared" si="11"/>
        <v>0</v>
      </c>
      <c r="AB72" s="18">
        <v>3</v>
      </c>
      <c r="AC72" s="18"/>
      <c r="AD72" s="18"/>
      <c r="AE72" s="18"/>
      <c r="AF72" s="18"/>
      <c r="AG72" s="18">
        <f t="shared" si="12"/>
        <v>3</v>
      </c>
      <c r="AH72" s="18">
        <v>1</v>
      </c>
      <c r="AI72" s="18"/>
      <c r="AJ72" s="18"/>
      <c r="AK72" s="18"/>
      <c r="AL72" s="18"/>
      <c r="AM72" s="18">
        <f t="shared" si="13"/>
        <v>1</v>
      </c>
      <c r="AN72" s="18"/>
      <c r="AO72" s="18"/>
      <c r="AP72" s="18">
        <f t="shared" si="14"/>
        <v>0</v>
      </c>
      <c r="AQ72" s="32">
        <f t="shared" si="15"/>
        <v>22</v>
      </c>
    </row>
    <row r="73" spans="1:43" x14ac:dyDescent="0.35">
      <c r="A73" s="126" t="s">
        <v>439</v>
      </c>
      <c r="B73" s="126" t="s">
        <v>440</v>
      </c>
      <c r="C73" s="126" t="s">
        <v>1293</v>
      </c>
      <c r="D73" s="128">
        <v>42</v>
      </c>
      <c r="E73" s="128"/>
      <c r="F73" s="128">
        <v>1</v>
      </c>
      <c r="G73" s="128"/>
      <c r="H73" s="128"/>
      <c r="I73" s="18">
        <f t="shared" si="8"/>
        <v>43</v>
      </c>
      <c r="J73" s="128"/>
      <c r="K73" s="128"/>
      <c r="L73" s="128"/>
      <c r="M73" s="128"/>
      <c r="N73" s="128"/>
      <c r="O73" s="18">
        <f t="shared" si="9"/>
        <v>0</v>
      </c>
      <c r="P73" s="18">
        <v>1</v>
      </c>
      <c r="Q73" s="18"/>
      <c r="R73" s="18"/>
      <c r="S73" s="18"/>
      <c r="T73" s="18"/>
      <c r="U73" s="18">
        <f t="shared" si="10"/>
        <v>1</v>
      </c>
      <c r="V73" s="18"/>
      <c r="W73" s="18"/>
      <c r="X73" s="18"/>
      <c r="Y73" s="18"/>
      <c r="Z73" s="18"/>
      <c r="AA73" s="18">
        <f t="shared" si="11"/>
        <v>0</v>
      </c>
      <c r="AB73" s="18">
        <v>6</v>
      </c>
      <c r="AC73" s="18"/>
      <c r="AD73" s="18"/>
      <c r="AE73" s="18"/>
      <c r="AF73" s="18"/>
      <c r="AG73" s="18">
        <f t="shared" si="12"/>
        <v>6</v>
      </c>
      <c r="AH73" s="18">
        <v>5</v>
      </c>
      <c r="AI73" s="18"/>
      <c r="AJ73" s="18"/>
      <c r="AK73" s="18"/>
      <c r="AL73" s="18"/>
      <c r="AM73" s="18">
        <f t="shared" si="13"/>
        <v>5</v>
      </c>
      <c r="AN73" s="18"/>
      <c r="AO73" s="18"/>
      <c r="AP73" s="18">
        <f t="shared" si="14"/>
        <v>0</v>
      </c>
      <c r="AQ73" s="32">
        <f t="shared" si="15"/>
        <v>55</v>
      </c>
    </row>
    <row r="74" spans="1:43" x14ac:dyDescent="0.35">
      <c r="A74" s="126" t="s">
        <v>441</v>
      </c>
      <c r="B74" s="126" t="s">
        <v>1223</v>
      </c>
      <c r="C74" s="126" t="s">
        <v>1293</v>
      </c>
      <c r="D74" s="128">
        <v>51</v>
      </c>
      <c r="E74" s="128">
        <v>2</v>
      </c>
      <c r="F74" s="128">
        <v>1</v>
      </c>
      <c r="G74" s="128">
        <v>3</v>
      </c>
      <c r="H74" s="128"/>
      <c r="I74" s="18">
        <f t="shared" si="8"/>
        <v>57</v>
      </c>
      <c r="J74" s="128">
        <v>3</v>
      </c>
      <c r="K74" s="128">
        <v>1</v>
      </c>
      <c r="L74" s="128"/>
      <c r="M74" s="128"/>
      <c r="N74" s="128"/>
      <c r="O74" s="18">
        <f t="shared" si="9"/>
        <v>4</v>
      </c>
      <c r="P74" s="18">
        <v>4</v>
      </c>
      <c r="Q74" s="18"/>
      <c r="R74" s="18"/>
      <c r="S74" s="18"/>
      <c r="T74" s="18"/>
      <c r="U74" s="18">
        <f t="shared" si="10"/>
        <v>4</v>
      </c>
      <c r="V74" s="18">
        <v>16</v>
      </c>
      <c r="W74" s="18"/>
      <c r="X74" s="18"/>
      <c r="Y74" s="18"/>
      <c r="Z74" s="18"/>
      <c r="AA74" s="18">
        <f t="shared" si="11"/>
        <v>16</v>
      </c>
      <c r="AB74" s="18">
        <v>5</v>
      </c>
      <c r="AC74" s="18"/>
      <c r="AD74" s="18"/>
      <c r="AE74" s="18">
        <v>2</v>
      </c>
      <c r="AF74" s="18"/>
      <c r="AG74" s="18">
        <f t="shared" si="12"/>
        <v>7</v>
      </c>
      <c r="AH74" s="18">
        <v>1</v>
      </c>
      <c r="AI74" s="18">
        <v>1</v>
      </c>
      <c r="AJ74" s="18"/>
      <c r="AK74" s="18"/>
      <c r="AL74" s="18"/>
      <c r="AM74" s="18">
        <f t="shared" si="13"/>
        <v>2</v>
      </c>
      <c r="AN74" s="18"/>
      <c r="AO74" s="18"/>
      <c r="AP74" s="18">
        <f t="shared" si="14"/>
        <v>0</v>
      </c>
      <c r="AQ74" s="32">
        <f t="shared" si="15"/>
        <v>90</v>
      </c>
    </row>
    <row r="75" spans="1:43" x14ac:dyDescent="0.35">
      <c r="A75" s="126" t="s">
        <v>442</v>
      </c>
      <c r="B75" s="126" t="s">
        <v>443</v>
      </c>
      <c r="C75" s="126" t="s">
        <v>1293</v>
      </c>
      <c r="D75" s="128">
        <v>11</v>
      </c>
      <c r="E75" s="128">
        <v>6</v>
      </c>
      <c r="F75" s="128">
        <v>2</v>
      </c>
      <c r="G75" s="128"/>
      <c r="H75" s="128"/>
      <c r="I75" s="18">
        <f t="shared" si="8"/>
        <v>19</v>
      </c>
      <c r="J75" s="128"/>
      <c r="K75" s="128"/>
      <c r="L75" s="128"/>
      <c r="M75" s="128"/>
      <c r="N75" s="128"/>
      <c r="O75" s="18">
        <f t="shared" si="9"/>
        <v>0</v>
      </c>
      <c r="P75" s="18"/>
      <c r="Q75" s="18"/>
      <c r="R75" s="18"/>
      <c r="S75" s="18"/>
      <c r="T75" s="18"/>
      <c r="U75" s="18">
        <f t="shared" si="10"/>
        <v>0</v>
      </c>
      <c r="V75" s="18"/>
      <c r="W75" s="18"/>
      <c r="X75" s="18"/>
      <c r="Y75" s="18"/>
      <c r="Z75" s="18"/>
      <c r="AA75" s="18">
        <f t="shared" si="11"/>
        <v>0</v>
      </c>
      <c r="AB75" s="18">
        <v>5</v>
      </c>
      <c r="AC75" s="18">
        <v>1</v>
      </c>
      <c r="AD75" s="18"/>
      <c r="AE75" s="18"/>
      <c r="AF75" s="18"/>
      <c r="AG75" s="18">
        <f t="shared" si="12"/>
        <v>6</v>
      </c>
      <c r="AH75" s="18"/>
      <c r="AI75" s="18"/>
      <c r="AJ75" s="18"/>
      <c r="AK75" s="18"/>
      <c r="AL75" s="18"/>
      <c r="AM75" s="18">
        <f t="shared" si="13"/>
        <v>0</v>
      </c>
      <c r="AN75" s="18"/>
      <c r="AO75" s="18"/>
      <c r="AP75" s="18">
        <f t="shared" si="14"/>
        <v>0</v>
      </c>
      <c r="AQ75" s="32">
        <f t="shared" si="15"/>
        <v>25</v>
      </c>
    </row>
    <row r="76" spans="1:43" x14ac:dyDescent="0.35">
      <c r="A76" s="126" t="s">
        <v>444</v>
      </c>
      <c r="B76" s="126" t="s">
        <v>445</v>
      </c>
      <c r="C76" s="126" t="s">
        <v>1293</v>
      </c>
      <c r="D76" s="128">
        <v>60</v>
      </c>
      <c r="E76" s="128">
        <v>10</v>
      </c>
      <c r="F76" s="128">
        <v>1</v>
      </c>
      <c r="G76" s="128"/>
      <c r="H76" s="128"/>
      <c r="I76" s="18">
        <f t="shared" si="8"/>
        <v>71</v>
      </c>
      <c r="J76" s="128">
        <v>2</v>
      </c>
      <c r="K76" s="128"/>
      <c r="L76" s="128"/>
      <c r="M76" s="128"/>
      <c r="N76" s="128"/>
      <c r="O76" s="18">
        <f t="shared" si="9"/>
        <v>2</v>
      </c>
      <c r="P76" s="18">
        <v>1</v>
      </c>
      <c r="Q76" s="18"/>
      <c r="R76" s="18"/>
      <c r="S76" s="18"/>
      <c r="T76" s="18"/>
      <c r="U76" s="18">
        <f t="shared" si="10"/>
        <v>1</v>
      </c>
      <c r="V76" s="18">
        <v>3</v>
      </c>
      <c r="W76" s="18"/>
      <c r="X76" s="18"/>
      <c r="Y76" s="18"/>
      <c r="Z76" s="18"/>
      <c r="AA76" s="18">
        <f t="shared" si="11"/>
        <v>3</v>
      </c>
      <c r="AB76" s="18">
        <v>9</v>
      </c>
      <c r="AC76" s="18">
        <v>1</v>
      </c>
      <c r="AD76" s="18">
        <v>1</v>
      </c>
      <c r="AE76" s="18">
        <v>1</v>
      </c>
      <c r="AF76" s="18"/>
      <c r="AG76" s="18">
        <f t="shared" si="12"/>
        <v>12</v>
      </c>
      <c r="AH76" s="18">
        <v>1</v>
      </c>
      <c r="AI76" s="18"/>
      <c r="AJ76" s="18"/>
      <c r="AK76" s="18"/>
      <c r="AL76" s="18"/>
      <c r="AM76" s="18">
        <f t="shared" si="13"/>
        <v>1</v>
      </c>
      <c r="AN76" s="18"/>
      <c r="AO76" s="18"/>
      <c r="AP76" s="18">
        <f t="shared" si="14"/>
        <v>0</v>
      </c>
      <c r="AQ76" s="32">
        <f t="shared" si="15"/>
        <v>90</v>
      </c>
    </row>
    <row r="77" spans="1:43" x14ac:dyDescent="0.35">
      <c r="A77" s="126" t="s">
        <v>446</v>
      </c>
      <c r="B77" s="126" t="s">
        <v>447</v>
      </c>
      <c r="C77" s="126" t="s">
        <v>1293</v>
      </c>
      <c r="D77" s="128">
        <v>357</v>
      </c>
      <c r="E77" s="128">
        <v>27</v>
      </c>
      <c r="F77" s="128">
        <v>2</v>
      </c>
      <c r="G77" s="128"/>
      <c r="H77" s="128"/>
      <c r="I77" s="18">
        <f t="shared" si="8"/>
        <v>386</v>
      </c>
      <c r="J77" s="128">
        <v>3</v>
      </c>
      <c r="K77" s="128"/>
      <c r="L77" s="128"/>
      <c r="M77" s="128"/>
      <c r="N77" s="128"/>
      <c r="O77" s="18">
        <f t="shared" si="9"/>
        <v>3</v>
      </c>
      <c r="P77" s="18">
        <v>11</v>
      </c>
      <c r="Q77" s="18">
        <v>4</v>
      </c>
      <c r="R77" s="18"/>
      <c r="S77" s="18"/>
      <c r="T77" s="18"/>
      <c r="U77" s="18">
        <f t="shared" si="10"/>
        <v>15</v>
      </c>
      <c r="V77" s="18">
        <v>3</v>
      </c>
      <c r="W77" s="18"/>
      <c r="X77" s="18"/>
      <c r="Y77" s="18"/>
      <c r="Z77" s="18"/>
      <c r="AA77" s="18">
        <f t="shared" si="11"/>
        <v>3</v>
      </c>
      <c r="AB77" s="18">
        <v>65</v>
      </c>
      <c r="AC77" s="18">
        <v>2</v>
      </c>
      <c r="AD77" s="18">
        <v>1</v>
      </c>
      <c r="AE77" s="18"/>
      <c r="AF77" s="18"/>
      <c r="AG77" s="18">
        <f t="shared" si="12"/>
        <v>68</v>
      </c>
      <c r="AH77" s="18">
        <v>3</v>
      </c>
      <c r="AI77" s="18"/>
      <c r="AJ77" s="18"/>
      <c r="AK77" s="18"/>
      <c r="AL77" s="18"/>
      <c r="AM77" s="18">
        <f t="shared" si="13"/>
        <v>3</v>
      </c>
      <c r="AN77" s="18"/>
      <c r="AO77" s="18"/>
      <c r="AP77" s="18">
        <f t="shared" si="14"/>
        <v>0</v>
      </c>
      <c r="AQ77" s="32">
        <f t="shared" si="15"/>
        <v>478</v>
      </c>
    </row>
    <row r="78" spans="1:43" x14ac:dyDescent="0.35">
      <c r="A78" s="126" t="s">
        <v>448</v>
      </c>
      <c r="B78" s="126" t="s">
        <v>449</v>
      </c>
      <c r="C78" s="126" t="s">
        <v>1293</v>
      </c>
      <c r="D78" s="128">
        <v>30</v>
      </c>
      <c r="E78" s="128">
        <v>3</v>
      </c>
      <c r="F78" s="128"/>
      <c r="G78" s="128"/>
      <c r="H78" s="128"/>
      <c r="I78" s="18">
        <f t="shared" si="8"/>
        <v>33</v>
      </c>
      <c r="J78" s="128">
        <v>1</v>
      </c>
      <c r="K78" s="128">
        <v>1</v>
      </c>
      <c r="L78" s="128"/>
      <c r="M78" s="128"/>
      <c r="N78" s="128"/>
      <c r="O78" s="18">
        <f t="shared" si="9"/>
        <v>2</v>
      </c>
      <c r="P78" s="18"/>
      <c r="Q78" s="18"/>
      <c r="R78" s="18"/>
      <c r="S78" s="18"/>
      <c r="T78" s="18"/>
      <c r="U78" s="18">
        <f t="shared" si="10"/>
        <v>0</v>
      </c>
      <c r="V78" s="18"/>
      <c r="W78" s="18"/>
      <c r="X78" s="18"/>
      <c r="Y78" s="18"/>
      <c r="Z78" s="18"/>
      <c r="AA78" s="18">
        <f t="shared" si="11"/>
        <v>0</v>
      </c>
      <c r="AB78" s="18">
        <v>4</v>
      </c>
      <c r="AC78" s="18"/>
      <c r="AD78" s="18">
        <v>1</v>
      </c>
      <c r="AE78" s="18"/>
      <c r="AF78" s="18"/>
      <c r="AG78" s="18">
        <f t="shared" si="12"/>
        <v>5</v>
      </c>
      <c r="AH78" s="18"/>
      <c r="AI78" s="18"/>
      <c r="AJ78" s="18"/>
      <c r="AK78" s="18"/>
      <c r="AL78" s="18"/>
      <c r="AM78" s="18">
        <f t="shared" si="13"/>
        <v>0</v>
      </c>
      <c r="AN78" s="18"/>
      <c r="AO78" s="18"/>
      <c r="AP78" s="18">
        <f t="shared" si="14"/>
        <v>0</v>
      </c>
      <c r="AQ78" s="32">
        <f t="shared" si="15"/>
        <v>40</v>
      </c>
    </row>
    <row r="79" spans="1:43" x14ac:dyDescent="0.35">
      <c r="A79" s="126" t="s">
        <v>450</v>
      </c>
      <c r="B79" s="126" t="s">
        <v>451</v>
      </c>
      <c r="C79" s="126" t="s">
        <v>1293</v>
      </c>
      <c r="D79" s="128">
        <v>127</v>
      </c>
      <c r="E79" s="128">
        <v>17</v>
      </c>
      <c r="F79" s="128">
        <v>5</v>
      </c>
      <c r="G79" s="128"/>
      <c r="H79" s="128"/>
      <c r="I79" s="18">
        <f t="shared" si="8"/>
        <v>149</v>
      </c>
      <c r="J79" s="128">
        <v>5</v>
      </c>
      <c r="K79" s="128"/>
      <c r="L79" s="128"/>
      <c r="M79" s="128"/>
      <c r="N79" s="128"/>
      <c r="O79" s="18">
        <f t="shared" si="9"/>
        <v>5</v>
      </c>
      <c r="P79" s="18"/>
      <c r="Q79" s="18"/>
      <c r="R79" s="18"/>
      <c r="S79" s="18"/>
      <c r="T79" s="18"/>
      <c r="U79" s="18">
        <f t="shared" si="10"/>
        <v>0</v>
      </c>
      <c r="V79" s="18">
        <v>2</v>
      </c>
      <c r="W79" s="18"/>
      <c r="X79" s="18"/>
      <c r="Y79" s="18"/>
      <c r="Z79" s="18"/>
      <c r="AA79" s="18">
        <f t="shared" si="11"/>
        <v>2</v>
      </c>
      <c r="AB79" s="18">
        <v>20</v>
      </c>
      <c r="AC79" s="18">
        <v>4</v>
      </c>
      <c r="AD79" s="18"/>
      <c r="AE79" s="18"/>
      <c r="AF79" s="18"/>
      <c r="AG79" s="18">
        <f t="shared" si="12"/>
        <v>24</v>
      </c>
      <c r="AH79" s="18">
        <v>2</v>
      </c>
      <c r="AI79" s="18"/>
      <c r="AJ79" s="18"/>
      <c r="AK79" s="18"/>
      <c r="AL79" s="18"/>
      <c r="AM79" s="18">
        <f t="shared" si="13"/>
        <v>2</v>
      </c>
      <c r="AN79" s="18"/>
      <c r="AO79" s="18"/>
      <c r="AP79" s="18">
        <f t="shared" si="14"/>
        <v>0</v>
      </c>
      <c r="AQ79" s="32">
        <f t="shared" si="15"/>
        <v>182</v>
      </c>
    </row>
    <row r="80" spans="1:43" x14ac:dyDescent="0.35">
      <c r="A80" s="126" t="s">
        <v>452</v>
      </c>
      <c r="B80" s="126" t="s">
        <v>453</v>
      </c>
      <c r="C80" s="126" t="s">
        <v>1293</v>
      </c>
      <c r="D80" s="128">
        <v>5</v>
      </c>
      <c r="E80" s="128"/>
      <c r="F80" s="128"/>
      <c r="G80" s="128"/>
      <c r="H80" s="128"/>
      <c r="I80" s="18">
        <f t="shared" si="8"/>
        <v>5</v>
      </c>
      <c r="J80" s="128"/>
      <c r="K80" s="128"/>
      <c r="L80" s="128"/>
      <c r="M80" s="128"/>
      <c r="N80" s="128"/>
      <c r="O80" s="18">
        <f t="shared" si="9"/>
        <v>0</v>
      </c>
      <c r="P80" s="18"/>
      <c r="Q80" s="18"/>
      <c r="R80" s="18"/>
      <c r="S80" s="18"/>
      <c r="T80" s="18"/>
      <c r="U80" s="18">
        <f t="shared" si="10"/>
        <v>0</v>
      </c>
      <c r="V80" s="18"/>
      <c r="W80" s="18"/>
      <c r="X80" s="18"/>
      <c r="Y80" s="18"/>
      <c r="Z80" s="18"/>
      <c r="AA80" s="18">
        <f t="shared" si="11"/>
        <v>0</v>
      </c>
      <c r="AB80" s="18">
        <v>1</v>
      </c>
      <c r="AC80" s="18"/>
      <c r="AD80" s="18"/>
      <c r="AE80" s="18"/>
      <c r="AF80" s="18"/>
      <c r="AG80" s="18">
        <f t="shared" si="12"/>
        <v>1</v>
      </c>
      <c r="AH80" s="18"/>
      <c r="AI80" s="18"/>
      <c r="AJ80" s="18"/>
      <c r="AK80" s="18"/>
      <c r="AL80" s="18"/>
      <c r="AM80" s="18">
        <f t="shared" si="13"/>
        <v>0</v>
      </c>
      <c r="AN80" s="18"/>
      <c r="AO80" s="18"/>
      <c r="AP80" s="18">
        <f t="shared" si="14"/>
        <v>0</v>
      </c>
      <c r="AQ80" s="32">
        <f t="shared" si="15"/>
        <v>6</v>
      </c>
    </row>
    <row r="81" spans="1:43" x14ac:dyDescent="0.35">
      <c r="A81" s="126" t="s">
        <v>454</v>
      </c>
      <c r="B81" s="126" t="s">
        <v>455</v>
      </c>
      <c r="C81" s="126" t="s">
        <v>1293</v>
      </c>
      <c r="D81" s="128">
        <v>10</v>
      </c>
      <c r="E81" s="128">
        <v>2</v>
      </c>
      <c r="F81" s="128"/>
      <c r="G81" s="128"/>
      <c r="H81" s="128"/>
      <c r="I81" s="18">
        <f t="shared" si="8"/>
        <v>12</v>
      </c>
      <c r="J81" s="128"/>
      <c r="K81" s="128"/>
      <c r="L81" s="128"/>
      <c r="M81" s="128"/>
      <c r="N81" s="128"/>
      <c r="O81" s="18">
        <f t="shared" si="9"/>
        <v>0</v>
      </c>
      <c r="P81" s="18"/>
      <c r="Q81" s="18"/>
      <c r="R81" s="18"/>
      <c r="S81" s="18"/>
      <c r="T81" s="18"/>
      <c r="U81" s="18">
        <f t="shared" si="10"/>
        <v>0</v>
      </c>
      <c r="V81" s="18"/>
      <c r="W81" s="18"/>
      <c r="X81" s="18"/>
      <c r="Y81" s="18"/>
      <c r="Z81" s="18"/>
      <c r="AA81" s="18">
        <f t="shared" si="11"/>
        <v>0</v>
      </c>
      <c r="AB81" s="18">
        <v>1</v>
      </c>
      <c r="AC81" s="18"/>
      <c r="AD81" s="18"/>
      <c r="AE81" s="18"/>
      <c r="AF81" s="18"/>
      <c r="AG81" s="18">
        <f t="shared" si="12"/>
        <v>1</v>
      </c>
      <c r="AH81" s="18"/>
      <c r="AI81" s="18"/>
      <c r="AJ81" s="18"/>
      <c r="AK81" s="18"/>
      <c r="AL81" s="18"/>
      <c r="AM81" s="18">
        <f t="shared" si="13"/>
        <v>0</v>
      </c>
      <c r="AN81" s="18"/>
      <c r="AO81" s="18"/>
      <c r="AP81" s="18">
        <f t="shared" si="14"/>
        <v>0</v>
      </c>
      <c r="AQ81" s="32">
        <f t="shared" si="15"/>
        <v>13</v>
      </c>
    </row>
    <row r="82" spans="1:43" x14ac:dyDescent="0.35">
      <c r="A82" s="126" t="s">
        <v>456</v>
      </c>
      <c r="B82" s="126" t="s">
        <v>457</v>
      </c>
      <c r="C82" s="126" t="s">
        <v>1293</v>
      </c>
      <c r="D82" s="128">
        <v>109</v>
      </c>
      <c r="E82" s="128">
        <v>17</v>
      </c>
      <c r="F82" s="128">
        <v>4</v>
      </c>
      <c r="G82" s="128"/>
      <c r="H82" s="128"/>
      <c r="I82" s="18">
        <f t="shared" si="8"/>
        <v>130</v>
      </c>
      <c r="J82" s="128"/>
      <c r="K82" s="128"/>
      <c r="L82" s="128"/>
      <c r="M82" s="128"/>
      <c r="N82" s="128"/>
      <c r="O82" s="18">
        <f t="shared" si="9"/>
        <v>0</v>
      </c>
      <c r="P82" s="18">
        <v>2</v>
      </c>
      <c r="Q82" s="18"/>
      <c r="R82" s="18"/>
      <c r="S82" s="18"/>
      <c r="T82" s="18"/>
      <c r="U82" s="18">
        <f t="shared" si="10"/>
        <v>2</v>
      </c>
      <c r="V82" s="18"/>
      <c r="W82" s="18"/>
      <c r="X82" s="18"/>
      <c r="Y82" s="18"/>
      <c r="Z82" s="18"/>
      <c r="AA82" s="18">
        <f t="shared" si="11"/>
        <v>0</v>
      </c>
      <c r="AB82" s="18">
        <v>14</v>
      </c>
      <c r="AC82" s="18">
        <v>1</v>
      </c>
      <c r="AD82" s="18"/>
      <c r="AE82" s="18"/>
      <c r="AF82" s="18"/>
      <c r="AG82" s="18">
        <f t="shared" si="12"/>
        <v>15</v>
      </c>
      <c r="AH82" s="18"/>
      <c r="AI82" s="18"/>
      <c r="AJ82" s="18"/>
      <c r="AK82" s="18"/>
      <c r="AL82" s="18"/>
      <c r="AM82" s="18">
        <f t="shared" si="13"/>
        <v>0</v>
      </c>
      <c r="AN82" s="18"/>
      <c r="AO82" s="18"/>
      <c r="AP82" s="18">
        <f t="shared" si="14"/>
        <v>0</v>
      </c>
      <c r="AQ82" s="32">
        <f t="shared" si="15"/>
        <v>147</v>
      </c>
    </row>
    <row r="83" spans="1:43" x14ac:dyDescent="0.35">
      <c r="A83" s="126" t="s">
        <v>458</v>
      </c>
      <c r="B83" s="126" t="s">
        <v>459</v>
      </c>
      <c r="C83" s="126" t="s">
        <v>1293</v>
      </c>
      <c r="D83" s="128">
        <v>2738</v>
      </c>
      <c r="E83" s="128">
        <v>396</v>
      </c>
      <c r="F83" s="128">
        <v>49</v>
      </c>
      <c r="G83" s="128">
        <v>7</v>
      </c>
      <c r="H83" s="128"/>
      <c r="I83" s="18">
        <f t="shared" si="8"/>
        <v>3190</v>
      </c>
      <c r="J83" s="128">
        <v>46</v>
      </c>
      <c r="K83" s="128">
        <v>1</v>
      </c>
      <c r="L83" s="128"/>
      <c r="M83" s="128"/>
      <c r="N83" s="128"/>
      <c r="O83" s="18">
        <f t="shared" si="9"/>
        <v>47</v>
      </c>
      <c r="P83" s="18">
        <v>175</v>
      </c>
      <c r="Q83" s="18">
        <v>23</v>
      </c>
      <c r="R83" s="18"/>
      <c r="S83" s="18"/>
      <c r="T83" s="18"/>
      <c r="U83" s="18">
        <f t="shared" si="10"/>
        <v>198</v>
      </c>
      <c r="V83" s="18">
        <v>26</v>
      </c>
      <c r="W83" s="18"/>
      <c r="X83" s="18"/>
      <c r="Y83" s="18"/>
      <c r="Z83" s="18"/>
      <c r="AA83" s="18">
        <f t="shared" si="11"/>
        <v>26</v>
      </c>
      <c r="AB83" s="18">
        <v>367</v>
      </c>
      <c r="AC83" s="18">
        <v>18</v>
      </c>
      <c r="AD83" s="18">
        <v>2</v>
      </c>
      <c r="AE83" s="18"/>
      <c r="AF83" s="18"/>
      <c r="AG83" s="18">
        <f t="shared" si="12"/>
        <v>387</v>
      </c>
      <c r="AH83" s="18">
        <v>18</v>
      </c>
      <c r="AI83" s="18"/>
      <c r="AJ83" s="18"/>
      <c r="AK83" s="18"/>
      <c r="AL83" s="18"/>
      <c r="AM83" s="18">
        <f t="shared" si="13"/>
        <v>18</v>
      </c>
      <c r="AN83" s="18"/>
      <c r="AO83" s="18"/>
      <c r="AP83" s="18">
        <f t="shared" si="14"/>
        <v>0</v>
      </c>
      <c r="AQ83" s="32">
        <f t="shared" si="15"/>
        <v>3866</v>
      </c>
    </row>
    <row r="84" spans="1:43" x14ac:dyDescent="0.35">
      <c r="A84" s="126" t="s">
        <v>460</v>
      </c>
      <c r="B84" s="126" t="s">
        <v>461</v>
      </c>
      <c r="C84" s="126" t="s">
        <v>1293</v>
      </c>
      <c r="D84" s="128">
        <v>11</v>
      </c>
      <c r="E84" s="128"/>
      <c r="F84" s="128"/>
      <c r="G84" s="128"/>
      <c r="H84" s="128"/>
      <c r="I84" s="18">
        <f t="shared" si="8"/>
        <v>11</v>
      </c>
      <c r="J84" s="128"/>
      <c r="K84" s="128"/>
      <c r="L84" s="128"/>
      <c r="M84" s="128"/>
      <c r="N84" s="128"/>
      <c r="O84" s="18">
        <f t="shared" si="9"/>
        <v>0</v>
      </c>
      <c r="P84" s="18"/>
      <c r="Q84" s="18"/>
      <c r="R84" s="18"/>
      <c r="S84" s="18"/>
      <c r="T84" s="18"/>
      <c r="U84" s="18">
        <f t="shared" si="10"/>
        <v>0</v>
      </c>
      <c r="V84" s="18"/>
      <c r="W84" s="18"/>
      <c r="X84" s="18"/>
      <c r="Y84" s="18"/>
      <c r="Z84" s="18"/>
      <c r="AA84" s="18">
        <f t="shared" si="11"/>
        <v>0</v>
      </c>
      <c r="AB84" s="18"/>
      <c r="AC84" s="18">
        <v>1</v>
      </c>
      <c r="AD84" s="18"/>
      <c r="AE84" s="18"/>
      <c r="AF84" s="18"/>
      <c r="AG84" s="18">
        <f t="shared" si="12"/>
        <v>1</v>
      </c>
      <c r="AH84" s="18"/>
      <c r="AI84" s="18"/>
      <c r="AJ84" s="18"/>
      <c r="AK84" s="18"/>
      <c r="AL84" s="18"/>
      <c r="AM84" s="18">
        <f t="shared" si="13"/>
        <v>0</v>
      </c>
      <c r="AN84" s="18"/>
      <c r="AO84" s="18"/>
      <c r="AP84" s="18">
        <f t="shared" si="14"/>
        <v>0</v>
      </c>
      <c r="AQ84" s="32">
        <f t="shared" si="15"/>
        <v>12</v>
      </c>
    </row>
    <row r="85" spans="1:43" x14ac:dyDescent="0.35">
      <c r="A85" s="126" t="s">
        <v>462</v>
      </c>
      <c r="B85" s="126" t="s">
        <v>463</v>
      </c>
      <c r="C85" s="126" t="s">
        <v>1293</v>
      </c>
      <c r="D85" s="128">
        <v>6</v>
      </c>
      <c r="E85" s="128">
        <v>3</v>
      </c>
      <c r="F85" s="128"/>
      <c r="G85" s="128"/>
      <c r="H85" s="128"/>
      <c r="I85" s="18">
        <f t="shared" si="8"/>
        <v>9</v>
      </c>
      <c r="J85" s="128"/>
      <c r="K85" s="128"/>
      <c r="L85" s="128"/>
      <c r="M85" s="128"/>
      <c r="N85" s="128"/>
      <c r="O85" s="18">
        <f t="shared" si="9"/>
        <v>0</v>
      </c>
      <c r="P85" s="18"/>
      <c r="Q85" s="18"/>
      <c r="R85" s="18"/>
      <c r="S85" s="18"/>
      <c r="T85" s="18"/>
      <c r="U85" s="18">
        <f t="shared" si="10"/>
        <v>0</v>
      </c>
      <c r="V85" s="18"/>
      <c r="W85" s="18"/>
      <c r="X85" s="18"/>
      <c r="Y85" s="18"/>
      <c r="Z85" s="18"/>
      <c r="AA85" s="18">
        <f t="shared" si="11"/>
        <v>0</v>
      </c>
      <c r="AB85" s="18"/>
      <c r="AC85" s="18"/>
      <c r="AD85" s="18"/>
      <c r="AE85" s="18"/>
      <c r="AF85" s="18"/>
      <c r="AG85" s="18">
        <f t="shared" si="12"/>
        <v>0</v>
      </c>
      <c r="AH85" s="18"/>
      <c r="AI85" s="18"/>
      <c r="AJ85" s="18"/>
      <c r="AK85" s="18"/>
      <c r="AL85" s="18"/>
      <c r="AM85" s="18">
        <f t="shared" si="13"/>
        <v>0</v>
      </c>
      <c r="AN85" s="18"/>
      <c r="AO85" s="18"/>
      <c r="AP85" s="18">
        <f t="shared" si="14"/>
        <v>0</v>
      </c>
      <c r="AQ85" s="32">
        <f t="shared" si="15"/>
        <v>9</v>
      </c>
    </row>
    <row r="86" spans="1:43" x14ac:dyDescent="0.35">
      <c r="A86" s="126" t="s">
        <v>464</v>
      </c>
      <c r="B86" s="126" t="s">
        <v>1363</v>
      </c>
      <c r="C86" s="126" t="s">
        <v>1293</v>
      </c>
      <c r="D86" s="128">
        <v>4</v>
      </c>
      <c r="E86" s="128"/>
      <c r="F86" s="128"/>
      <c r="G86" s="128"/>
      <c r="H86" s="128"/>
      <c r="I86" s="18">
        <f t="shared" si="8"/>
        <v>4</v>
      </c>
      <c r="J86" s="128">
        <v>1</v>
      </c>
      <c r="K86" s="128"/>
      <c r="L86" s="128"/>
      <c r="M86" s="128"/>
      <c r="N86" s="128"/>
      <c r="O86" s="18">
        <f t="shared" si="9"/>
        <v>1</v>
      </c>
      <c r="P86" s="18"/>
      <c r="Q86" s="18"/>
      <c r="R86" s="18"/>
      <c r="S86" s="18"/>
      <c r="T86" s="18"/>
      <c r="U86" s="18">
        <f t="shared" si="10"/>
        <v>0</v>
      </c>
      <c r="V86" s="18">
        <v>1</v>
      </c>
      <c r="W86" s="18"/>
      <c r="X86" s="18"/>
      <c r="Y86" s="18"/>
      <c r="Z86" s="18"/>
      <c r="AA86" s="18">
        <f t="shared" si="11"/>
        <v>1</v>
      </c>
      <c r="AB86" s="18">
        <v>3</v>
      </c>
      <c r="AC86" s="18">
        <v>1</v>
      </c>
      <c r="AD86" s="18"/>
      <c r="AE86" s="18"/>
      <c r="AF86" s="18"/>
      <c r="AG86" s="18">
        <f t="shared" si="12"/>
        <v>4</v>
      </c>
      <c r="AH86" s="18"/>
      <c r="AI86" s="18"/>
      <c r="AJ86" s="18"/>
      <c r="AK86" s="18"/>
      <c r="AL86" s="18"/>
      <c r="AM86" s="18">
        <f t="shared" si="13"/>
        <v>0</v>
      </c>
      <c r="AN86" s="18"/>
      <c r="AO86" s="18"/>
      <c r="AP86" s="18">
        <f t="shared" si="14"/>
        <v>0</v>
      </c>
      <c r="AQ86" s="32">
        <f t="shared" si="15"/>
        <v>10</v>
      </c>
    </row>
    <row r="87" spans="1:43" x14ac:dyDescent="0.35">
      <c r="A87" s="126" t="s">
        <v>465</v>
      </c>
      <c r="B87" s="126" t="s">
        <v>466</v>
      </c>
      <c r="C87" s="126" t="s">
        <v>1293</v>
      </c>
      <c r="D87" s="128">
        <v>84</v>
      </c>
      <c r="E87" s="128">
        <v>9</v>
      </c>
      <c r="F87" s="128">
        <v>3</v>
      </c>
      <c r="G87" s="128"/>
      <c r="H87" s="128"/>
      <c r="I87" s="18">
        <f t="shared" si="8"/>
        <v>96</v>
      </c>
      <c r="J87" s="128">
        <v>27</v>
      </c>
      <c r="K87" s="128"/>
      <c r="L87" s="128"/>
      <c r="M87" s="128"/>
      <c r="N87" s="128"/>
      <c r="O87" s="18">
        <f t="shared" si="9"/>
        <v>27</v>
      </c>
      <c r="P87" s="18">
        <v>9</v>
      </c>
      <c r="Q87" s="18"/>
      <c r="R87" s="18"/>
      <c r="S87" s="18"/>
      <c r="T87" s="18"/>
      <c r="U87" s="18">
        <f t="shared" si="10"/>
        <v>9</v>
      </c>
      <c r="V87" s="18"/>
      <c r="W87" s="18"/>
      <c r="X87" s="18"/>
      <c r="Y87" s="18"/>
      <c r="Z87" s="18"/>
      <c r="AA87" s="18">
        <f t="shared" si="11"/>
        <v>0</v>
      </c>
      <c r="AB87" s="18">
        <v>12</v>
      </c>
      <c r="AC87" s="18">
        <v>1</v>
      </c>
      <c r="AD87" s="18"/>
      <c r="AE87" s="18"/>
      <c r="AF87" s="18"/>
      <c r="AG87" s="18">
        <f t="shared" si="12"/>
        <v>13</v>
      </c>
      <c r="AH87" s="18">
        <v>2</v>
      </c>
      <c r="AI87" s="18"/>
      <c r="AJ87" s="18"/>
      <c r="AK87" s="18"/>
      <c r="AL87" s="18"/>
      <c r="AM87" s="18">
        <f t="shared" si="13"/>
        <v>2</v>
      </c>
      <c r="AN87" s="18"/>
      <c r="AO87" s="18"/>
      <c r="AP87" s="18">
        <f t="shared" si="14"/>
        <v>0</v>
      </c>
      <c r="AQ87" s="32">
        <f t="shared" si="15"/>
        <v>147</v>
      </c>
    </row>
    <row r="88" spans="1:43" x14ac:dyDescent="0.35">
      <c r="A88" s="126" t="s">
        <v>467</v>
      </c>
      <c r="B88" s="126" t="s">
        <v>1364</v>
      </c>
      <c r="C88" s="126" t="s">
        <v>1293</v>
      </c>
      <c r="D88" s="128">
        <v>61</v>
      </c>
      <c r="E88" s="128">
        <v>4</v>
      </c>
      <c r="F88" s="128"/>
      <c r="G88" s="128"/>
      <c r="H88" s="128"/>
      <c r="I88" s="18">
        <f t="shared" si="8"/>
        <v>65</v>
      </c>
      <c r="J88" s="128">
        <v>4</v>
      </c>
      <c r="K88" s="128"/>
      <c r="L88" s="128"/>
      <c r="M88" s="128"/>
      <c r="N88" s="128"/>
      <c r="O88" s="18">
        <f t="shared" si="9"/>
        <v>4</v>
      </c>
      <c r="P88" s="18">
        <v>3</v>
      </c>
      <c r="Q88" s="18"/>
      <c r="R88" s="18"/>
      <c r="S88" s="18"/>
      <c r="T88" s="18"/>
      <c r="U88" s="18">
        <f t="shared" si="10"/>
        <v>3</v>
      </c>
      <c r="V88" s="18"/>
      <c r="W88" s="18"/>
      <c r="X88" s="18"/>
      <c r="Y88" s="18"/>
      <c r="Z88" s="18"/>
      <c r="AA88" s="18">
        <f t="shared" si="11"/>
        <v>0</v>
      </c>
      <c r="AB88" s="18">
        <v>6</v>
      </c>
      <c r="AC88" s="18"/>
      <c r="AD88" s="18"/>
      <c r="AE88" s="18"/>
      <c r="AF88" s="18"/>
      <c r="AG88" s="18">
        <f t="shared" si="12"/>
        <v>6</v>
      </c>
      <c r="AH88" s="18">
        <v>2</v>
      </c>
      <c r="AI88" s="18"/>
      <c r="AJ88" s="18"/>
      <c r="AK88" s="18"/>
      <c r="AL88" s="18"/>
      <c r="AM88" s="18">
        <f t="shared" si="13"/>
        <v>2</v>
      </c>
      <c r="AN88" s="18"/>
      <c r="AO88" s="18"/>
      <c r="AP88" s="18">
        <f t="shared" si="14"/>
        <v>0</v>
      </c>
      <c r="AQ88" s="32">
        <f t="shared" si="15"/>
        <v>80</v>
      </c>
    </row>
    <row r="89" spans="1:43" x14ac:dyDescent="0.35">
      <c r="A89" s="126" t="s">
        <v>468</v>
      </c>
      <c r="B89" s="126" t="s">
        <v>469</v>
      </c>
      <c r="C89" s="126" t="s">
        <v>1293</v>
      </c>
      <c r="D89" s="128">
        <v>134</v>
      </c>
      <c r="E89" s="128">
        <v>12</v>
      </c>
      <c r="F89" s="128">
        <v>4</v>
      </c>
      <c r="G89" s="128">
        <v>1</v>
      </c>
      <c r="H89" s="128"/>
      <c r="I89" s="18">
        <f t="shared" si="8"/>
        <v>151</v>
      </c>
      <c r="J89" s="128"/>
      <c r="K89" s="128"/>
      <c r="L89" s="128"/>
      <c r="M89" s="128"/>
      <c r="N89" s="128"/>
      <c r="O89" s="18">
        <f t="shared" si="9"/>
        <v>0</v>
      </c>
      <c r="P89" s="18">
        <v>1</v>
      </c>
      <c r="Q89" s="18"/>
      <c r="R89" s="18"/>
      <c r="S89" s="18"/>
      <c r="T89" s="18"/>
      <c r="U89" s="18">
        <f t="shared" si="10"/>
        <v>1</v>
      </c>
      <c r="V89" s="18">
        <v>1</v>
      </c>
      <c r="W89" s="18"/>
      <c r="X89" s="18"/>
      <c r="Y89" s="18"/>
      <c r="Z89" s="18"/>
      <c r="AA89" s="18">
        <f t="shared" si="11"/>
        <v>1</v>
      </c>
      <c r="AB89" s="18">
        <v>9</v>
      </c>
      <c r="AC89" s="18"/>
      <c r="AD89" s="18"/>
      <c r="AE89" s="18"/>
      <c r="AF89" s="18"/>
      <c r="AG89" s="18">
        <f t="shared" si="12"/>
        <v>9</v>
      </c>
      <c r="AH89" s="18"/>
      <c r="AI89" s="18"/>
      <c r="AJ89" s="18"/>
      <c r="AK89" s="18"/>
      <c r="AL89" s="18"/>
      <c r="AM89" s="18">
        <f t="shared" si="13"/>
        <v>0</v>
      </c>
      <c r="AN89" s="18"/>
      <c r="AO89" s="18"/>
      <c r="AP89" s="18">
        <f t="shared" si="14"/>
        <v>0</v>
      </c>
      <c r="AQ89" s="32">
        <f t="shared" si="15"/>
        <v>162</v>
      </c>
    </row>
    <row r="90" spans="1:43" x14ac:dyDescent="0.35">
      <c r="A90" s="126" t="s">
        <v>470</v>
      </c>
      <c r="B90" s="126" t="s">
        <v>471</v>
      </c>
      <c r="C90" s="126" t="s">
        <v>1293</v>
      </c>
      <c r="D90" s="128">
        <v>65</v>
      </c>
      <c r="E90" s="128">
        <v>10</v>
      </c>
      <c r="F90" s="128"/>
      <c r="G90" s="128"/>
      <c r="H90" s="128"/>
      <c r="I90" s="18">
        <f t="shared" si="8"/>
        <v>75</v>
      </c>
      <c r="J90" s="128"/>
      <c r="K90" s="128"/>
      <c r="L90" s="128"/>
      <c r="M90" s="128"/>
      <c r="N90" s="128"/>
      <c r="O90" s="18">
        <f t="shared" si="9"/>
        <v>0</v>
      </c>
      <c r="P90" s="18"/>
      <c r="Q90" s="18"/>
      <c r="R90" s="18"/>
      <c r="S90" s="18"/>
      <c r="T90" s="18"/>
      <c r="U90" s="18">
        <f t="shared" si="10"/>
        <v>0</v>
      </c>
      <c r="V90" s="18">
        <v>2</v>
      </c>
      <c r="W90" s="18"/>
      <c r="X90" s="18"/>
      <c r="Y90" s="18"/>
      <c r="Z90" s="18"/>
      <c r="AA90" s="18">
        <f t="shared" si="11"/>
        <v>2</v>
      </c>
      <c r="AB90" s="18">
        <v>9</v>
      </c>
      <c r="AC90" s="18"/>
      <c r="AD90" s="18">
        <v>2</v>
      </c>
      <c r="AE90" s="18"/>
      <c r="AF90" s="18"/>
      <c r="AG90" s="18">
        <f t="shared" si="12"/>
        <v>11</v>
      </c>
      <c r="AH90" s="18"/>
      <c r="AI90" s="18"/>
      <c r="AJ90" s="18"/>
      <c r="AK90" s="18"/>
      <c r="AL90" s="18"/>
      <c r="AM90" s="18">
        <f t="shared" si="13"/>
        <v>0</v>
      </c>
      <c r="AN90" s="18"/>
      <c r="AO90" s="18"/>
      <c r="AP90" s="18">
        <f t="shared" si="14"/>
        <v>0</v>
      </c>
      <c r="AQ90" s="32">
        <f t="shared" si="15"/>
        <v>88</v>
      </c>
    </row>
    <row r="91" spans="1:43" x14ac:dyDescent="0.35">
      <c r="A91" s="126" t="s">
        <v>472</v>
      </c>
      <c r="B91" s="126" t="s">
        <v>473</v>
      </c>
      <c r="C91" s="126" t="s">
        <v>1293</v>
      </c>
      <c r="D91" s="128">
        <v>16</v>
      </c>
      <c r="E91" s="128">
        <v>2</v>
      </c>
      <c r="F91" s="128">
        <v>1</v>
      </c>
      <c r="G91" s="128"/>
      <c r="H91" s="128"/>
      <c r="I91" s="18">
        <f t="shared" si="8"/>
        <v>19</v>
      </c>
      <c r="J91" s="128"/>
      <c r="K91" s="128"/>
      <c r="L91" s="128"/>
      <c r="M91" s="128"/>
      <c r="N91" s="128"/>
      <c r="O91" s="18">
        <f t="shared" si="9"/>
        <v>0</v>
      </c>
      <c r="P91" s="18"/>
      <c r="Q91" s="18"/>
      <c r="R91" s="18"/>
      <c r="S91" s="18"/>
      <c r="T91" s="18"/>
      <c r="U91" s="18">
        <f t="shared" si="10"/>
        <v>0</v>
      </c>
      <c r="V91" s="18"/>
      <c r="W91" s="18"/>
      <c r="X91" s="18"/>
      <c r="Y91" s="18"/>
      <c r="Z91" s="18"/>
      <c r="AA91" s="18">
        <f t="shared" si="11"/>
        <v>0</v>
      </c>
      <c r="AB91" s="18">
        <v>1</v>
      </c>
      <c r="AC91" s="18"/>
      <c r="AD91" s="18"/>
      <c r="AE91" s="18"/>
      <c r="AF91" s="18"/>
      <c r="AG91" s="18">
        <f t="shared" si="12"/>
        <v>1</v>
      </c>
      <c r="AH91" s="18"/>
      <c r="AI91" s="18"/>
      <c r="AJ91" s="18"/>
      <c r="AK91" s="18"/>
      <c r="AL91" s="18"/>
      <c r="AM91" s="18">
        <f t="shared" si="13"/>
        <v>0</v>
      </c>
      <c r="AN91" s="18"/>
      <c r="AO91" s="18"/>
      <c r="AP91" s="18">
        <f t="shared" si="14"/>
        <v>0</v>
      </c>
      <c r="AQ91" s="32">
        <f t="shared" si="15"/>
        <v>20</v>
      </c>
    </row>
    <row r="92" spans="1:43" x14ac:dyDescent="0.35">
      <c r="A92" s="126" t="s">
        <v>474</v>
      </c>
      <c r="B92" s="126" t="s">
        <v>475</v>
      </c>
      <c r="C92" s="126" t="s">
        <v>1293</v>
      </c>
      <c r="D92" s="128">
        <v>80</v>
      </c>
      <c r="E92" s="128">
        <v>7</v>
      </c>
      <c r="F92" s="128">
        <v>2</v>
      </c>
      <c r="G92" s="128"/>
      <c r="H92" s="128"/>
      <c r="I92" s="18">
        <f t="shared" si="8"/>
        <v>89</v>
      </c>
      <c r="J92" s="128">
        <v>24</v>
      </c>
      <c r="K92" s="128"/>
      <c r="L92" s="128"/>
      <c r="M92" s="128"/>
      <c r="N92" s="128"/>
      <c r="O92" s="18">
        <f t="shared" si="9"/>
        <v>24</v>
      </c>
      <c r="P92" s="18">
        <v>12</v>
      </c>
      <c r="Q92" s="18">
        <v>6</v>
      </c>
      <c r="R92" s="18">
        <v>2</v>
      </c>
      <c r="S92" s="18"/>
      <c r="T92" s="18"/>
      <c r="U92" s="18">
        <f t="shared" si="10"/>
        <v>20</v>
      </c>
      <c r="V92" s="18">
        <v>8</v>
      </c>
      <c r="W92" s="18"/>
      <c r="X92" s="18"/>
      <c r="Y92" s="18">
        <v>1</v>
      </c>
      <c r="Z92" s="18"/>
      <c r="AA92" s="18">
        <f t="shared" si="11"/>
        <v>9</v>
      </c>
      <c r="AB92" s="18">
        <v>15</v>
      </c>
      <c r="AC92" s="18">
        <v>8</v>
      </c>
      <c r="AD92" s="18">
        <v>2</v>
      </c>
      <c r="AE92" s="18"/>
      <c r="AF92" s="18"/>
      <c r="AG92" s="18">
        <f t="shared" si="12"/>
        <v>25</v>
      </c>
      <c r="AH92" s="18">
        <v>9</v>
      </c>
      <c r="AI92" s="18"/>
      <c r="AJ92" s="18"/>
      <c r="AK92" s="18"/>
      <c r="AL92" s="18"/>
      <c r="AM92" s="18">
        <f t="shared" si="13"/>
        <v>9</v>
      </c>
      <c r="AN92" s="18"/>
      <c r="AO92" s="18"/>
      <c r="AP92" s="18">
        <f t="shared" si="14"/>
        <v>0</v>
      </c>
      <c r="AQ92" s="32">
        <f t="shared" si="15"/>
        <v>176</v>
      </c>
    </row>
    <row r="93" spans="1:43" x14ac:dyDescent="0.35">
      <c r="A93" s="126" t="s">
        <v>476</v>
      </c>
      <c r="B93" s="126" t="s">
        <v>1365</v>
      </c>
      <c r="C93" s="126" t="s">
        <v>1293</v>
      </c>
      <c r="D93" s="128">
        <v>8</v>
      </c>
      <c r="E93" s="128">
        <v>2</v>
      </c>
      <c r="F93" s="128"/>
      <c r="G93" s="128">
        <v>1</v>
      </c>
      <c r="H93" s="128"/>
      <c r="I93" s="18">
        <f t="shared" si="8"/>
        <v>11</v>
      </c>
      <c r="J93" s="128"/>
      <c r="K93" s="128"/>
      <c r="L93" s="128"/>
      <c r="M93" s="128"/>
      <c r="N93" s="128"/>
      <c r="O93" s="18">
        <f t="shared" si="9"/>
        <v>0</v>
      </c>
      <c r="P93" s="18"/>
      <c r="Q93" s="18"/>
      <c r="R93" s="18"/>
      <c r="S93" s="18"/>
      <c r="T93" s="18"/>
      <c r="U93" s="18">
        <f t="shared" si="10"/>
        <v>0</v>
      </c>
      <c r="V93" s="18"/>
      <c r="W93" s="18"/>
      <c r="X93" s="18"/>
      <c r="Y93" s="18"/>
      <c r="Z93" s="18"/>
      <c r="AA93" s="18">
        <f t="shared" si="11"/>
        <v>0</v>
      </c>
      <c r="AB93" s="18">
        <v>3</v>
      </c>
      <c r="AC93" s="18">
        <v>1</v>
      </c>
      <c r="AD93" s="18"/>
      <c r="AE93" s="18">
        <v>1</v>
      </c>
      <c r="AF93" s="18"/>
      <c r="AG93" s="18">
        <f t="shared" si="12"/>
        <v>5</v>
      </c>
      <c r="AH93" s="18"/>
      <c r="AI93" s="18"/>
      <c r="AJ93" s="18"/>
      <c r="AK93" s="18"/>
      <c r="AL93" s="18"/>
      <c r="AM93" s="18">
        <f t="shared" si="13"/>
        <v>0</v>
      </c>
      <c r="AN93" s="18"/>
      <c r="AO93" s="18"/>
      <c r="AP93" s="18">
        <f t="shared" si="14"/>
        <v>0</v>
      </c>
      <c r="AQ93" s="32">
        <f t="shared" si="15"/>
        <v>16</v>
      </c>
    </row>
    <row r="94" spans="1:43" x14ac:dyDescent="0.35">
      <c r="A94" s="126" t="s">
        <v>477</v>
      </c>
      <c r="B94" s="126" t="s">
        <v>478</v>
      </c>
      <c r="C94" s="126" t="s">
        <v>1293</v>
      </c>
      <c r="D94" s="128">
        <v>215</v>
      </c>
      <c r="E94" s="128">
        <v>8</v>
      </c>
      <c r="F94" s="128"/>
      <c r="G94" s="128"/>
      <c r="H94" s="128"/>
      <c r="I94" s="18">
        <f t="shared" si="8"/>
        <v>223</v>
      </c>
      <c r="J94" s="128">
        <v>53</v>
      </c>
      <c r="K94" s="128"/>
      <c r="L94" s="128"/>
      <c r="M94" s="128"/>
      <c r="N94" s="128"/>
      <c r="O94" s="18">
        <f t="shared" si="9"/>
        <v>53</v>
      </c>
      <c r="P94" s="18">
        <v>15</v>
      </c>
      <c r="Q94" s="18"/>
      <c r="R94" s="18"/>
      <c r="S94" s="18"/>
      <c r="T94" s="18"/>
      <c r="U94" s="18">
        <f t="shared" si="10"/>
        <v>15</v>
      </c>
      <c r="V94" s="18">
        <v>8</v>
      </c>
      <c r="W94" s="18"/>
      <c r="X94" s="18"/>
      <c r="Y94" s="18"/>
      <c r="Z94" s="18"/>
      <c r="AA94" s="18">
        <f t="shared" si="11"/>
        <v>8</v>
      </c>
      <c r="AB94" s="18">
        <v>65</v>
      </c>
      <c r="AC94" s="18">
        <v>5</v>
      </c>
      <c r="AD94" s="18">
        <v>1</v>
      </c>
      <c r="AE94" s="18"/>
      <c r="AF94" s="18"/>
      <c r="AG94" s="18">
        <f t="shared" si="12"/>
        <v>71</v>
      </c>
      <c r="AH94" s="18">
        <v>17</v>
      </c>
      <c r="AI94" s="18"/>
      <c r="AJ94" s="18"/>
      <c r="AK94" s="18"/>
      <c r="AL94" s="18"/>
      <c r="AM94" s="18">
        <f t="shared" si="13"/>
        <v>17</v>
      </c>
      <c r="AN94" s="18"/>
      <c r="AO94" s="18"/>
      <c r="AP94" s="18">
        <f t="shared" si="14"/>
        <v>0</v>
      </c>
      <c r="AQ94" s="32">
        <f t="shared" si="15"/>
        <v>387</v>
      </c>
    </row>
    <row r="95" spans="1:43" x14ac:dyDescent="0.35">
      <c r="A95" s="126" t="s">
        <v>479</v>
      </c>
      <c r="B95" s="126" t="s">
        <v>480</v>
      </c>
      <c r="C95" s="126" t="s">
        <v>1293</v>
      </c>
      <c r="D95" s="128">
        <v>12</v>
      </c>
      <c r="E95" s="128"/>
      <c r="F95" s="128"/>
      <c r="G95" s="128"/>
      <c r="H95" s="128"/>
      <c r="I95" s="18">
        <f t="shared" si="8"/>
        <v>12</v>
      </c>
      <c r="J95" s="128"/>
      <c r="K95" s="128"/>
      <c r="L95" s="128"/>
      <c r="M95" s="128"/>
      <c r="N95" s="128"/>
      <c r="O95" s="18">
        <f t="shared" si="9"/>
        <v>0</v>
      </c>
      <c r="P95" s="18">
        <v>1</v>
      </c>
      <c r="Q95" s="18"/>
      <c r="R95" s="18"/>
      <c r="S95" s="18"/>
      <c r="T95" s="18"/>
      <c r="U95" s="18">
        <f t="shared" si="10"/>
        <v>1</v>
      </c>
      <c r="V95" s="18"/>
      <c r="W95" s="18"/>
      <c r="X95" s="18"/>
      <c r="Y95" s="18"/>
      <c r="Z95" s="18"/>
      <c r="AA95" s="18">
        <f t="shared" si="11"/>
        <v>0</v>
      </c>
      <c r="AB95" s="18">
        <v>3</v>
      </c>
      <c r="AC95" s="18"/>
      <c r="AD95" s="18"/>
      <c r="AE95" s="18"/>
      <c r="AF95" s="18"/>
      <c r="AG95" s="18">
        <f t="shared" si="12"/>
        <v>3</v>
      </c>
      <c r="AH95" s="18"/>
      <c r="AI95" s="18"/>
      <c r="AJ95" s="18"/>
      <c r="AK95" s="18"/>
      <c r="AL95" s="18"/>
      <c r="AM95" s="18">
        <f t="shared" si="13"/>
        <v>0</v>
      </c>
      <c r="AN95" s="18"/>
      <c r="AO95" s="18"/>
      <c r="AP95" s="18">
        <f t="shared" si="14"/>
        <v>0</v>
      </c>
      <c r="AQ95" s="32">
        <f t="shared" si="15"/>
        <v>16</v>
      </c>
    </row>
    <row r="96" spans="1:43" x14ac:dyDescent="0.35">
      <c r="A96" s="126" t="s">
        <v>481</v>
      </c>
      <c r="B96" s="126" t="s">
        <v>1366</v>
      </c>
      <c r="C96" s="126" t="s">
        <v>1293</v>
      </c>
      <c r="D96" s="128">
        <v>54</v>
      </c>
      <c r="E96" s="128">
        <v>3</v>
      </c>
      <c r="F96" s="128"/>
      <c r="G96" s="128">
        <v>1</v>
      </c>
      <c r="H96" s="128"/>
      <c r="I96" s="18">
        <f t="shared" si="8"/>
        <v>58</v>
      </c>
      <c r="J96" s="128">
        <v>7</v>
      </c>
      <c r="K96" s="128"/>
      <c r="L96" s="128"/>
      <c r="M96" s="128"/>
      <c r="N96" s="128"/>
      <c r="O96" s="18">
        <f t="shared" si="9"/>
        <v>7</v>
      </c>
      <c r="P96" s="18">
        <v>4</v>
      </c>
      <c r="Q96" s="18"/>
      <c r="R96" s="18">
        <v>1</v>
      </c>
      <c r="S96" s="18"/>
      <c r="T96" s="18"/>
      <c r="U96" s="18">
        <f t="shared" si="10"/>
        <v>5</v>
      </c>
      <c r="V96" s="18"/>
      <c r="W96" s="18"/>
      <c r="X96" s="18"/>
      <c r="Y96" s="18"/>
      <c r="Z96" s="18"/>
      <c r="AA96" s="18">
        <f t="shared" si="11"/>
        <v>0</v>
      </c>
      <c r="AB96" s="18">
        <v>12</v>
      </c>
      <c r="AC96" s="18">
        <v>2</v>
      </c>
      <c r="AD96" s="18"/>
      <c r="AE96" s="18"/>
      <c r="AF96" s="18"/>
      <c r="AG96" s="18">
        <f t="shared" si="12"/>
        <v>14</v>
      </c>
      <c r="AH96" s="18">
        <v>1</v>
      </c>
      <c r="AI96" s="18"/>
      <c r="AJ96" s="18"/>
      <c r="AK96" s="18"/>
      <c r="AL96" s="18"/>
      <c r="AM96" s="18">
        <f t="shared" si="13"/>
        <v>1</v>
      </c>
      <c r="AN96" s="18"/>
      <c r="AO96" s="18"/>
      <c r="AP96" s="18">
        <f t="shared" si="14"/>
        <v>0</v>
      </c>
      <c r="AQ96" s="32">
        <f t="shared" si="15"/>
        <v>85</v>
      </c>
    </row>
    <row r="97" spans="1:43" x14ac:dyDescent="0.35">
      <c r="A97" s="126" t="s">
        <v>482</v>
      </c>
      <c r="B97" s="126" t="s">
        <v>1367</v>
      </c>
      <c r="C97" s="126" t="s">
        <v>1293</v>
      </c>
      <c r="D97" s="128">
        <v>3</v>
      </c>
      <c r="E97" s="128"/>
      <c r="F97" s="128"/>
      <c r="G97" s="128"/>
      <c r="H97" s="128"/>
      <c r="I97" s="18">
        <f t="shared" si="8"/>
        <v>3</v>
      </c>
      <c r="J97" s="128"/>
      <c r="K97" s="128"/>
      <c r="L97" s="128"/>
      <c r="M97" s="128"/>
      <c r="N97" s="128"/>
      <c r="O97" s="18">
        <f t="shared" si="9"/>
        <v>0</v>
      </c>
      <c r="P97" s="18"/>
      <c r="Q97" s="18"/>
      <c r="R97" s="18"/>
      <c r="S97" s="18"/>
      <c r="T97" s="18"/>
      <c r="U97" s="18">
        <f t="shared" si="10"/>
        <v>0</v>
      </c>
      <c r="V97" s="18"/>
      <c r="W97" s="18"/>
      <c r="X97" s="18"/>
      <c r="Y97" s="18"/>
      <c r="Z97" s="18"/>
      <c r="AA97" s="18">
        <f t="shared" si="11"/>
        <v>0</v>
      </c>
      <c r="AB97" s="18">
        <v>2</v>
      </c>
      <c r="AC97" s="18"/>
      <c r="AD97" s="18"/>
      <c r="AE97" s="18"/>
      <c r="AF97" s="18"/>
      <c r="AG97" s="18">
        <f t="shared" si="12"/>
        <v>2</v>
      </c>
      <c r="AH97" s="18"/>
      <c r="AI97" s="18"/>
      <c r="AJ97" s="18"/>
      <c r="AK97" s="18"/>
      <c r="AL97" s="18"/>
      <c r="AM97" s="18">
        <f t="shared" si="13"/>
        <v>0</v>
      </c>
      <c r="AN97" s="18"/>
      <c r="AO97" s="18"/>
      <c r="AP97" s="18">
        <f t="shared" si="14"/>
        <v>0</v>
      </c>
      <c r="AQ97" s="32">
        <f t="shared" si="15"/>
        <v>5</v>
      </c>
    </row>
    <row r="98" spans="1:43" x14ac:dyDescent="0.35">
      <c r="A98" s="126" t="s">
        <v>483</v>
      </c>
      <c r="B98" s="126" t="s">
        <v>1368</v>
      </c>
      <c r="C98" s="126" t="s">
        <v>1293</v>
      </c>
      <c r="D98" s="128">
        <v>21</v>
      </c>
      <c r="E98" s="128">
        <v>5</v>
      </c>
      <c r="F98" s="128"/>
      <c r="G98" s="128"/>
      <c r="H98" s="128"/>
      <c r="I98" s="18">
        <f t="shared" si="8"/>
        <v>26</v>
      </c>
      <c r="J98" s="128"/>
      <c r="K98" s="128"/>
      <c r="L98" s="128"/>
      <c r="M98" s="128"/>
      <c r="N98" s="128"/>
      <c r="O98" s="18">
        <f t="shared" si="9"/>
        <v>0</v>
      </c>
      <c r="P98" s="18"/>
      <c r="Q98" s="18"/>
      <c r="R98" s="18"/>
      <c r="S98" s="18"/>
      <c r="T98" s="18"/>
      <c r="U98" s="18">
        <f t="shared" si="10"/>
        <v>0</v>
      </c>
      <c r="V98" s="18"/>
      <c r="W98" s="18"/>
      <c r="X98" s="18"/>
      <c r="Y98" s="18"/>
      <c r="Z98" s="18"/>
      <c r="AA98" s="18">
        <f t="shared" si="11"/>
        <v>0</v>
      </c>
      <c r="AB98" s="18">
        <v>3</v>
      </c>
      <c r="AC98" s="18">
        <v>2</v>
      </c>
      <c r="AD98" s="18">
        <v>1</v>
      </c>
      <c r="AE98" s="18">
        <v>1</v>
      </c>
      <c r="AF98" s="18"/>
      <c r="AG98" s="18">
        <f t="shared" si="12"/>
        <v>7</v>
      </c>
      <c r="AH98" s="18">
        <v>1</v>
      </c>
      <c r="AI98" s="18"/>
      <c r="AJ98" s="18"/>
      <c r="AK98" s="18"/>
      <c r="AL98" s="18"/>
      <c r="AM98" s="18">
        <f t="shared" si="13"/>
        <v>1</v>
      </c>
      <c r="AN98" s="18"/>
      <c r="AO98" s="18"/>
      <c r="AP98" s="18">
        <f t="shared" si="14"/>
        <v>0</v>
      </c>
      <c r="AQ98" s="32">
        <f t="shared" si="15"/>
        <v>34</v>
      </c>
    </row>
    <row r="99" spans="1:43" x14ac:dyDescent="0.35">
      <c r="A99" s="126" t="s">
        <v>484</v>
      </c>
      <c r="B99" s="126" t="s">
        <v>485</v>
      </c>
      <c r="C99" s="126" t="s">
        <v>1293</v>
      </c>
      <c r="D99" s="128">
        <v>47</v>
      </c>
      <c r="E99" s="128">
        <v>9</v>
      </c>
      <c r="F99" s="128"/>
      <c r="G99" s="128">
        <v>2</v>
      </c>
      <c r="H99" s="128"/>
      <c r="I99" s="18">
        <f t="shared" si="8"/>
        <v>58</v>
      </c>
      <c r="J99" s="128"/>
      <c r="K99" s="128"/>
      <c r="L99" s="128"/>
      <c r="M99" s="128"/>
      <c r="N99" s="128"/>
      <c r="O99" s="18">
        <f t="shared" si="9"/>
        <v>0</v>
      </c>
      <c r="P99" s="18"/>
      <c r="Q99" s="18"/>
      <c r="R99" s="18"/>
      <c r="S99" s="18"/>
      <c r="T99" s="18"/>
      <c r="U99" s="18">
        <f t="shared" si="10"/>
        <v>0</v>
      </c>
      <c r="V99" s="18">
        <v>1</v>
      </c>
      <c r="W99" s="18"/>
      <c r="X99" s="18"/>
      <c r="Y99" s="18"/>
      <c r="Z99" s="18"/>
      <c r="AA99" s="18">
        <f t="shared" si="11"/>
        <v>1</v>
      </c>
      <c r="AB99" s="18">
        <v>4</v>
      </c>
      <c r="AC99" s="18"/>
      <c r="AD99" s="18"/>
      <c r="AE99" s="18">
        <v>1</v>
      </c>
      <c r="AF99" s="18"/>
      <c r="AG99" s="18">
        <f t="shared" si="12"/>
        <v>5</v>
      </c>
      <c r="AH99" s="18"/>
      <c r="AI99" s="18"/>
      <c r="AJ99" s="18"/>
      <c r="AK99" s="18"/>
      <c r="AL99" s="18"/>
      <c r="AM99" s="18">
        <f t="shared" si="13"/>
        <v>0</v>
      </c>
      <c r="AN99" s="18"/>
      <c r="AO99" s="18"/>
      <c r="AP99" s="18">
        <f t="shared" si="14"/>
        <v>0</v>
      </c>
      <c r="AQ99" s="32">
        <f t="shared" si="15"/>
        <v>64</v>
      </c>
    </row>
    <row r="100" spans="1:43" x14ac:dyDescent="0.35">
      <c r="A100" s="126" t="s">
        <v>486</v>
      </c>
      <c r="B100" s="126" t="s">
        <v>487</v>
      </c>
      <c r="C100" s="126" t="s">
        <v>1293</v>
      </c>
      <c r="D100" s="128">
        <v>542</v>
      </c>
      <c r="E100" s="128">
        <v>61</v>
      </c>
      <c r="F100" s="128">
        <v>8</v>
      </c>
      <c r="G100" s="128"/>
      <c r="H100" s="128"/>
      <c r="I100" s="18">
        <f t="shared" si="8"/>
        <v>611</v>
      </c>
      <c r="J100" s="128">
        <v>5</v>
      </c>
      <c r="K100" s="128"/>
      <c r="L100" s="128"/>
      <c r="M100" s="128"/>
      <c r="N100" s="128"/>
      <c r="O100" s="18">
        <f t="shared" si="9"/>
        <v>5</v>
      </c>
      <c r="P100" s="18">
        <v>4</v>
      </c>
      <c r="Q100" s="18"/>
      <c r="R100" s="18"/>
      <c r="S100" s="18"/>
      <c r="T100" s="18"/>
      <c r="U100" s="18">
        <f t="shared" si="10"/>
        <v>4</v>
      </c>
      <c r="V100" s="18">
        <v>7</v>
      </c>
      <c r="W100" s="18"/>
      <c r="X100" s="18"/>
      <c r="Y100" s="18"/>
      <c r="Z100" s="18"/>
      <c r="AA100" s="18">
        <f t="shared" si="11"/>
        <v>7</v>
      </c>
      <c r="AB100" s="18">
        <v>24</v>
      </c>
      <c r="AC100" s="18">
        <v>2</v>
      </c>
      <c r="AD100" s="18"/>
      <c r="AE100" s="18"/>
      <c r="AF100" s="18"/>
      <c r="AG100" s="18">
        <f t="shared" si="12"/>
        <v>26</v>
      </c>
      <c r="AH100" s="18">
        <v>1</v>
      </c>
      <c r="AI100" s="18"/>
      <c r="AJ100" s="18"/>
      <c r="AK100" s="18"/>
      <c r="AL100" s="18"/>
      <c r="AM100" s="18">
        <f t="shared" si="13"/>
        <v>1</v>
      </c>
      <c r="AN100" s="18"/>
      <c r="AO100" s="18"/>
      <c r="AP100" s="18">
        <f t="shared" si="14"/>
        <v>0</v>
      </c>
      <c r="AQ100" s="32">
        <f t="shared" si="15"/>
        <v>654</v>
      </c>
    </row>
    <row r="101" spans="1:43" x14ac:dyDescent="0.35">
      <c r="A101" s="126" t="s">
        <v>488</v>
      </c>
      <c r="B101" s="126" t="s">
        <v>489</v>
      </c>
      <c r="C101" s="126" t="s">
        <v>1293</v>
      </c>
      <c r="D101" s="128">
        <v>151</v>
      </c>
      <c r="E101" s="128">
        <v>22</v>
      </c>
      <c r="F101" s="128"/>
      <c r="G101" s="128"/>
      <c r="H101" s="128"/>
      <c r="I101" s="18">
        <f t="shared" si="8"/>
        <v>173</v>
      </c>
      <c r="J101" s="128">
        <v>2</v>
      </c>
      <c r="K101" s="128"/>
      <c r="L101" s="128"/>
      <c r="M101" s="128"/>
      <c r="N101" s="128"/>
      <c r="O101" s="18">
        <f t="shared" si="9"/>
        <v>2</v>
      </c>
      <c r="P101" s="18">
        <v>1</v>
      </c>
      <c r="Q101" s="18"/>
      <c r="R101" s="18"/>
      <c r="S101" s="18"/>
      <c r="T101" s="18"/>
      <c r="U101" s="18">
        <f t="shared" si="10"/>
        <v>1</v>
      </c>
      <c r="V101" s="18">
        <v>2</v>
      </c>
      <c r="W101" s="18"/>
      <c r="X101" s="18"/>
      <c r="Y101" s="18"/>
      <c r="Z101" s="18"/>
      <c r="AA101" s="18">
        <f t="shared" si="11"/>
        <v>2</v>
      </c>
      <c r="AB101" s="18">
        <v>11</v>
      </c>
      <c r="AC101" s="18"/>
      <c r="AD101" s="18"/>
      <c r="AE101" s="18"/>
      <c r="AF101" s="18"/>
      <c r="AG101" s="18">
        <f t="shared" si="12"/>
        <v>11</v>
      </c>
      <c r="AH101" s="18">
        <v>3</v>
      </c>
      <c r="AI101" s="18"/>
      <c r="AJ101" s="18"/>
      <c r="AK101" s="18"/>
      <c r="AL101" s="18"/>
      <c r="AM101" s="18">
        <f t="shared" si="13"/>
        <v>3</v>
      </c>
      <c r="AN101" s="18"/>
      <c r="AO101" s="18"/>
      <c r="AP101" s="18">
        <f t="shared" si="14"/>
        <v>0</v>
      </c>
      <c r="AQ101" s="32">
        <f t="shared" si="15"/>
        <v>192</v>
      </c>
    </row>
    <row r="102" spans="1:43" x14ac:dyDescent="0.35">
      <c r="A102" s="126" t="s">
        <v>490</v>
      </c>
      <c r="B102" s="126" t="s">
        <v>1224</v>
      </c>
      <c r="C102" s="126" t="s">
        <v>1293</v>
      </c>
      <c r="D102" s="128">
        <v>4</v>
      </c>
      <c r="E102" s="128"/>
      <c r="F102" s="128"/>
      <c r="G102" s="128"/>
      <c r="H102" s="128"/>
      <c r="I102" s="18">
        <f t="shared" si="8"/>
        <v>4</v>
      </c>
      <c r="J102" s="128"/>
      <c r="K102" s="128"/>
      <c r="L102" s="128"/>
      <c r="M102" s="128"/>
      <c r="N102" s="128"/>
      <c r="O102" s="18">
        <f t="shared" si="9"/>
        <v>0</v>
      </c>
      <c r="P102" s="18"/>
      <c r="Q102" s="18"/>
      <c r="R102" s="18"/>
      <c r="S102" s="18"/>
      <c r="T102" s="18"/>
      <c r="U102" s="18">
        <f t="shared" si="10"/>
        <v>0</v>
      </c>
      <c r="V102" s="18"/>
      <c r="W102" s="18"/>
      <c r="X102" s="18"/>
      <c r="Y102" s="18"/>
      <c r="Z102" s="18"/>
      <c r="AA102" s="18">
        <f t="shared" si="11"/>
        <v>0</v>
      </c>
      <c r="AB102" s="18"/>
      <c r="AC102" s="18"/>
      <c r="AD102" s="18"/>
      <c r="AE102" s="18"/>
      <c r="AF102" s="18"/>
      <c r="AG102" s="18">
        <f t="shared" si="12"/>
        <v>0</v>
      </c>
      <c r="AH102" s="18"/>
      <c r="AI102" s="18"/>
      <c r="AJ102" s="18"/>
      <c r="AK102" s="18"/>
      <c r="AL102" s="18"/>
      <c r="AM102" s="18">
        <f t="shared" si="13"/>
        <v>0</v>
      </c>
      <c r="AN102" s="18"/>
      <c r="AO102" s="18"/>
      <c r="AP102" s="18">
        <f t="shared" si="14"/>
        <v>0</v>
      </c>
      <c r="AQ102" s="32">
        <f t="shared" si="15"/>
        <v>4</v>
      </c>
    </row>
    <row r="103" spans="1:43" x14ac:dyDescent="0.35">
      <c r="A103" s="126" t="s">
        <v>1330</v>
      </c>
      <c r="B103" s="126" t="s">
        <v>1331</v>
      </c>
      <c r="C103" s="126" t="s">
        <v>1293</v>
      </c>
      <c r="D103" s="128">
        <v>1</v>
      </c>
      <c r="E103" s="128"/>
      <c r="F103" s="128"/>
      <c r="G103" s="128"/>
      <c r="H103" s="128"/>
      <c r="I103" s="18">
        <f t="shared" si="8"/>
        <v>1</v>
      </c>
      <c r="J103" s="128"/>
      <c r="K103" s="128"/>
      <c r="L103" s="128"/>
      <c r="M103" s="128"/>
      <c r="N103" s="128"/>
      <c r="O103" s="18">
        <f t="shared" si="9"/>
        <v>0</v>
      </c>
      <c r="P103" s="18"/>
      <c r="Q103" s="18"/>
      <c r="R103" s="18"/>
      <c r="S103" s="18"/>
      <c r="T103" s="18"/>
      <c r="U103" s="18">
        <f t="shared" si="10"/>
        <v>0</v>
      </c>
      <c r="V103" s="18"/>
      <c r="W103" s="18"/>
      <c r="X103" s="18"/>
      <c r="Y103" s="18"/>
      <c r="Z103" s="18"/>
      <c r="AA103" s="18">
        <f t="shared" si="11"/>
        <v>0</v>
      </c>
      <c r="AB103" s="18"/>
      <c r="AC103" s="18"/>
      <c r="AD103" s="18"/>
      <c r="AE103" s="18"/>
      <c r="AF103" s="18"/>
      <c r="AG103" s="18">
        <f t="shared" si="12"/>
        <v>0</v>
      </c>
      <c r="AH103" s="18"/>
      <c r="AI103" s="18"/>
      <c r="AJ103" s="18"/>
      <c r="AK103" s="18"/>
      <c r="AL103" s="18"/>
      <c r="AM103" s="18">
        <f t="shared" si="13"/>
        <v>0</v>
      </c>
      <c r="AN103" s="18"/>
      <c r="AO103" s="18"/>
      <c r="AP103" s="18">
        <f t="shared" si="14"/>
        <v>0</v>
      </c>
      <c r="AQ103" s="32">
        <f t="shared" si="15"/>
        <v>1</v>
      </c>
    </row>
    <row r="104" spans="1:43" x14ac:dyDescent="0.35">
      <c r="A104" s="126" t="s">
        <v>491</v>
      </c>
      <c r="B104" s="126" t="s">
        <v>492</v>
      </c>
      <c r="C104" s="126" t="s">
        <v>1293</v>
      </c>
      <c r="D104" s="128">
        <v>15</v>
      </c>
      <c r="E104" s="128">
        <v>1</v>
      </c>
      <c r="F104" s="128">
        <v>4</v>
      </c>
      <c r="G104" s="128"/>
      <c r="H104" s="128"/>
      <c r="I104" s="18">
        <f t="shared" si="8"/>
        <v>20</v>
      </c>
      <c r="J104" s="128"/>
      <c r="K104" s="128"/>
      <c r="L104" s="128"/>
      <c r="M104" s="128"/>
      <c r="N104" s="128"/>
      <c r="O104" s="18">
        <f t="shared" si="9"/>
        <v>0</v>
      </c>
      <c r="P104" s="18"/>
      <c r="Q104" s="18"/>
      <c r="R104" s="18"/>
      <c r="S104" s="18"/>
      <c r="T104" s="18"/>
      <c r="U104" s="18">
        <f t="shared" si="10"/>
        <v>0</v>
      </c>
      <c r="V104" s="18"/>
      <c r="W104" s="18"/>
      <c r="X104" s="18"/>
      <c r="Y104" s="18"/>
      <c r="Z104" s="18"/>
      <c r="AA104" s="18">
        <f t="shared" si="11"/>
        <v>0</v>
      </c>
      <c r="AB104" s="18"/>
      <c r="AC104" s="18"/>
      <c r="AD104" s="18"/>
      <c r="AE104" s="18"/>
      <c r="AF104" s="18"/>
      <c r="AG104" s="18">
        <f t="shared" si="12"/>
        <v>0</v>
      </c>
      <c r="AH104" s="18">
        <v>1</v>
      </c>
      <c r="AI104" s="18"/>
      <c r="AJ104" s="18"/>
      <c r="AK104" s="18"/>
      <c r="AL104" s="18"/>
      <c r="AM104" s="18">
        <f t="shared" si="13"/>
        <v>1</v>
      </c>
      <c r="AN104" s="18"/>
      <c r="AO104" s="18"/>
      <c r="AP104" s="18">
        <f t="shared" si="14"/>
        <v>0</v>
      </c>
      <c r="AQ104" s="32">
        <f t="shared" si="15"/>
        <v>21</v>
      </c>
    </row>
    <row r="105" spans="1:43" x14ac:dyDescent="0.35">
      <c r="A105" s="126" t="s">
        <v>495</v>
      </c>
      <c r="B105" s="126" t="s">
        <v>496</v>
      </c>
      <c r="C105" s="126" t="s">
        <v>1293</v>
      </c>
      <c r="D105" s="128">
        <v>33</v>
      </c>
      <c r="E105" s="128">
        <v>6</v>
      </c>
      <c r="F105" s="128">
        <v>4</v>
      </c>
      <c r="G105" s="128">
        <v>1</v>
      </c>
      <c r="H105" s="128"/>
      <c r="I105" s="18">
        <f t="shared" si="8"/>
        <v>44</v>
      </c>
      <c r="J105" s="128"/>
      <c r="K105" s="128"/>
      <c r="L105" s="128"/>
      <c r="M105" s="128"/>
      <c r="N105" s="128"/>
      <c r="O105" s="18">
        <f t="shared" si="9"/>
        <v>0</v>
      </c>
      <c r="P105" s="18"/>
      <c r="Q105" s="18"/>
      <c r="R105" s="18"/>
      <c r="S105" s="18"/>
      <c r="T105" s="18"/>
      <c r="U105" s="18">
        <f t="shared" si="10"/>
        <v>0</v>
      </c>
      <c r="V105" s="18">
        <v>1</v>
      </c>
      <c r="W105" s="18"/>
      <c r="X105" s="18"/>
      <c r="Y105" s="18"/>
      <c r="Z105" s="18"/>
      <c r="AA105" s="18">
        <f t="shared" si="11"/>
        <v>1</v>
      </c>
      <c r="AB105" s="18">
        <v>5</v>
      </c>
      <c r="AC105" s="18">
        <v>2</v>
      </c>
      <c r="AD105" s="18"/>
      <c r="AE105" s="18">
        <v>1</v>
      </c>
      <c r="AF105" s="18"/>
      <c r="AG105" s="18">
        <f t="shared" si="12"/>
        <v>8</v>
      </c>
      <c r="AH105" s="18"/>
      <c r="AI105" s="18"/>
      <c r="AJ105" s="18"/>
      <c r="AK105" s="18"/>
      <c r="AL105" s="18"/>
      <c r="AM105" s="18">
        <f t="shared" si="13"/>
        <v>0</v>
      </c>
      <c r="AN105" s="18"/>
      <c r="AO105" s="18"/>
      <c r="AP105" s="18">
        <f t="shared" si="14"/>
        <v>0</v>
      </c>
      <c r="AQ105" s="32">
        <f t="shared" si="15"/>
        <v>53</v>
      </c>
    </row>
    <row r="106" spans="1:43" x14ac:dyDescent="0.35">
      <c r="A106" s="126" t="s">
        <v>497</v>
      </c>
      <c r="B106" s="126" t="s">
        <v>498</v>
      </c>
      <c r="C106" s="126" t="s">
        <v>1293</v>
      </c>
      <c r="D106" s="128">
        <v>12</v>
      </c>
      <c r="E106" s="128">
        <v>3</v>
      </c>
      <c r="F106" s="128">
        <v>1</v>
      </c>
      <c r="G106" s="128"/>
      <c r="H106" s="128"/>
      <c r="I106" s="18">
        <f t="shared" si="8"/>
        <v>16</v>
      </c>
      <c r="J106" s="128">
        <v>2</v>
      </c>
      <c r="K106" s="128"/>
      <c r="L106" s="128"/>
      <c r="M106" s="128"/>
      <c r="N106" s="128"/>
      <c r="O106" s="18">
        <f t="shared" si="9"/>
        <v>2</v>
      </c>
      <c r="P106" s="18">
        <v>6</v>
      </c>
      <c r="Q106" s="18">
        <v>4</v>
      </c>
      <c r="R106" s="18">
        <v>1</v>
      </c>
      <c r="S106" s="18"/>
      <c r="T106" s="18"/>
      <c r="U106" s="18">
        <f t="shared" si="10"/>
        <v>11</v>
      </c>
      <c r="V106" s="18"/>
      <c r="W106" s="18"/>
      <c r="X106" s="18"/>
      <c r="Y106" s="18"/>
      <c r="Z106" s="18"/>
      <c r="AA106" s="18">
        <f t="shared" si="11"/>
        <v>0</v>
      </c>
      <c r="AB106" s="18">
        <v>2</v>
      </c>
      <c r="AC106" s="18">
        <v>3</v>
      </c>
      <c r="AD106" s="18"/>
      <c r="AE106" s="18"/>
      <c r="AF106" s="18"/>
      <c r="AG106" s="18">
        <f t="shared" si="12"/>
        <v>5</v>
      </c>
      <c r="AH106" s="18"/>
      <c r="AI106" s="18"/>
      <c r="AJ106" s="18"/>
      <c r="AK106" s="18"/>
      <c r="AL106" s="18"/>
      <c r="AM106" s="18">
        <f t="shared" si="13"/>
        <v>0</v>
      </c>
      <c r="AN106" s="18"/>
      <c r="AO106" s="18"/>
      <c r="AP106" s="18">
        <f t="shared" si="14"/>
        <v>0</v>
      </c>
      <c r="AQ106" s="32">
        <f t="shared" si="15"/>
        <v>34</v>
      </c>
    </row>
    <row r="107" spans="1:43" x14ac:dyDescent="0.35">
      <c r="A107" s="126" t="s">
        <v>499</v>
      </c>
      <c r="B107" s="126" t="s">
        <v>500</v>
      </c>
      <c r="C107" s="126" t="s">
        <v>1293</v>
      </c>
      <c r="D107" s="128">
        <v>31</v>
      </c>
      <c r="E107" s="128">
        <v>5</v>
      </c>
      <c r="F107" s="128">
        <v>1</v>
      </c>
      <c r="G107" s="128"/>
      <c r="H107" s="128"/>
      <c r="I107" s="18">
        <f t="shared" si="8"/>
        <v>37</v>
      </c>
      <c r="J107" s="128">
        <v>2</v>
      </c>
      <c r="K107" s="128"/>
      <c r="L107" s="128"/>
      <c r="M107" s="128"/>
      <c r="N107" s="128"/>
      <c r="O107" s="18">
        <f t="shared" si="9"/>
        <v>2</v>
      </c>
      <c r="P107" s="18"/>
      <c r="Q107" s="18"/>
      <c r="R107" s="18"/>
      <c r="S107" s="18"/>
      <c r="T107" s="18"/>
      <c r="U107" s="18">
        <f t="shared" si="10"/>
        <v>0</v>
      </c>
      <c r="V107" s="18"/>
      <c r="W107" s="18"/>
      <c r="X107" s="18"/>
      <c r="Y107" s="18"/>
      <c r="Z107" s="18"/>
      <c r="AA107" s="18">
        <f t="shared" si="11"/>
        <v>0</v>
      </c>
      <c r="AB107" s="18">
        <v>6</v>
      </c>
      <c r="AC107" s="18"/>
      <c r="AD107" s="18"/>
      <c r="AE107" s="18"/>
      <c r="AF107" s="18"/>
      <c r="AG107" s="18">
        <f t="shared" si="12"/>
        <v>6</v>
      </c>
      <c r="AH107" s="18"/>
      <c r="AI107" s="18"/>
      <c r="AJ107" s="18"/>
      <c r="AK107" s="18"/>
      <c r="AL107" s="18"/>
      <c r="AM107" s="18">
        <f t="shared" si="13"/>
        <v>0</v>
      </c>
      <c r="AN107" s="18"/>
      <c r="AO107" s="18"/>
      <c r="AP107" s="18">
        <f t="shared" si="14"/>
        <v>0</v>
      </c>
      <c r="AQ107" s="32">
        <f t="shared" si="15"/>
        <v>45</v>
      </c>
    </row>
    <row r="108" spans="1:43" x14ac:dyDescent="0.35">
      <c r="A108" s="126" t="s">
        <v>501</v>
      </c>
      <c r="B108" s="126" t="s">
        <v>502</v>
      </c>
      <c r="C108" s="126" t="s">
        <v>1293</v>
      </c>
      <c r="D108" s="128">
        <v>4</v>
      </c>
      <c r="E108" s="128">
        <v>1</v>
      </c>
      <c r="F108" s="128"/>
      <c r="G108" s="128"/>
      <c r="H108" s="128"/>
      <c r="I108" s="18">
        <f t="shared" si="8"/>
        <v>5</v>
      </c>
      <c r="J108" s="128"/>
      <c r="K108" s="128"/>
      <c r="L108" s="128"/>
      <c r="M108" s="128"/>
      <c r="N108" s="128"/>
      <c r="O108" s="18">
        <f t="shared" si="9"/>
        <v>0</v>
      </c>
      <c r="P108" s="18"/>
      <c r="Q108" s="18"/>
      <c r="R108" s="18"/>
      <c r="S108" s="18"/>
      <c r="T108" s="18"/>
      <c r="U108" s="18">
        <f t="shared" si="10"/>
        <v>0</v>
      </c>
      <c r="V108" s="18">
        <v>3</v>
      </c>
      <c r="W108" s="18"/>
      <c r="X108" s="18"/>
      <c r="Y108" s="18"/>
      <c r="Z108" s="18"/>
      <c r="AA108" s="18">
        <f t="shared" si="11"/>
        <v>3</v>
      </c>
      <c r="AB108" s="18"/>
      <c r="AC108" s="18"/>
      <c r="AD108" s="18"/>
      <c r="AE108" s="18"/>
      <c r="AF108" s="18"/>
      <c r="AG108" s="18">
        <f t="shared" si="12"/>
        <v>0</v>
      </c>
      <c r="AH108" s="18"/>
      <c r="AI108" s="18"/>
      <c r="AJ108" s="18"/>
      <c r="AK108" s="18"/>
      <c r="AL108" s="18"/>
      <c r="AM108" s="18">
        <f t="shared" si="13"/>
        <v>0</v>
      </c>
      <c r="AN108" s="18"/>
      <c r="AO108" s="18"/>
      <c r="AP108" s="18">
        <f t="shared" si="14"/>
        <v>0</v>
      </c>
      <c r="AQ108" s="32">
        <f t="shared" si="15"/>
        <v>8</v>
      </c>
    </row>
    <row r="109" spans="1:43" x14ac:dyDescent="0.35">
      <c r="A109" s="126" t="s">
        <v>503</v>
      </c>
      <c r="B109" s="126" t="s">
        <v>504</v>
      </c>
      <c r="C109" s="126" t="s">
        <v>1293</v>
      </c>
      <c r="D109" s="128">
        <v>10</v>
      </c>
      <c r="E109" s="128">
        <v>4</v>
      </c>
      <c r="F109" s="128">
        <v>1</v>
      </c>
      <c r="G109" s="128"/>
      <c r="H109" s="128"/>
      <c r="I109" s="18">
        <f t="shared" si="8"/>
        <v>15</v>
      </c>
      <c r="J109" s="128">
        <v>1</v>
      </c>
      <c r="K109" s="128"/>
      <c r="L109" s="128"/>
      <c r="M109" s="128"/>
      <c r="N109" s="128"/>
      <c r="O109" s="18">
        <f t="shared" si="9"/>
        <v>1</v>
      </c>
      <c r="P109" s="18">
        <v>2</v>
      </c>
      <c r="Q109" s="18"/>
      <c r="R109" s="18"/>
      <c r="S109" s="18"/>
      <c r="T109" s="18"/>
      <c r="U109" s="18">
        <f t="shared" si="10"/>
        <v>2</v>
      </c>
      <c r="V109" s="18"/>
      <c r="W109" s="18"/>
      <c r="X109" s="18"/>
      <c r="Y109" s="18"/>
      <c r="Z109" s="18"/>
      <c r="AA109" s="18">
        <f t="shared" si="11"/>
        <v>0</v>
      </c>
      <c r="AB109" s="18">
        <v>4</v>
      </c>
      <c r="AC109" s="18">
        <v>1</v>
      </c>
      <c r="AD109" s="18"/>
      <c r="AE109" s="18"/>
      <c r="AF109" s="18"/>
      <c r="AG109" s="18">
        <f t="shared" si="12"/>
        <v>5</v>
      </c>
      <c r="AH109" s="18"/>
      <c r="AI109" s="18"/>
      <c r="AJ109" s="18"/>
      <c r="AK109" s="18"/>
      <c r="AL109" s="18"/>
      <c r="AM109" s="18">
        <f t="shared" si="13"/>
        <v>0</v>
      </c>
      <c r="AN109" s="18"/>
      <c r="AO109" s="18"/>
      <c r="AP109" s="18">
        <f t="shared" si="14"/>
        <v>0</v>
      </c>
      <c r="AQ109" s="32">
        <f t="shared" si="15"/>
        <v>23</v>
      </c>
    </row>
    <row r="110" spans="1:43" x14ac:dyDescent="0.35">
      <c r="A110" s="126" t="s">
        <v>505</v>
      </c>
      <c r="B110" s="126" t="s">
        <v>506</v>
      </c>
      <c r="C110" s="126" t="s">
        <v>1293</v>
      </c>
      <c r="D110" s="128">
        <v>40</v>
      </c>
      <c r="E110" s="128">
        <v>8</v>
      </c>
      <c r="F110" s="128">
        <v>5</v>
      </c>
      <c r="G110" s="128">
        <v>2</v>
      </c>
      <c r="H110" s="128"/>
      <c r="I110" s="18">
        <f t="shared" si="8"/>
        <v>55</v>
      </c>
      <c r="J110" s="128">
        <v>1</v>
      </c>
      <c r="K110" s="128"/>
      <c r="L110" s="128"/>
      <c r="M110" s="128"/>
      <c r="N110" s="128"/>
      <c r="O110" s="18">
        <f t="shared" si="9"/>
        <v>1</v>
      </c>
      <c r="P110" s="18">
        <v>1</v>
      </c>
      <c r="Q110" s="18"/>
      <c r="R110" s="18"/>
      <c r="S110" s="18"/>
      <c r="T110" s="18"/>
      <c r="U110" s="18">
        <f t="shared" si="10"/>
        <v>1</v>
      </c>
      <c r="V110" s="18"/>
      <c r="W110" s="18"/>
      <c r="X110" s="18"/>
      <c r="Y110" s="18"/>
      <c r="Z110" s="18"/>
      <c r="AA110" s="18">
        <f t="shared" si="11"/>
        <v>0</v>
      </c>
      <c r="AB110" s="18">
        <v>10</v>
      </c>
      <c r="AC110" s="18">
        <v>3</v>
      </c>
      <c r="AD110" s="18">
        <v>1</v>
      </c>
      <c r="AE110" s="18"/>
      <c r="AF110" s="18"/>
      <c r="AG110" s="18">
        <f t="shared" si="12"/>
        <v>14</v>
      </c>
      <c r="AH110" s="18">
        <v>3</v>
      </c>
      <c r="AI110" s="18"/>
      <c r="AJ110" s="18"/>
      <c r="AK110" s="18"/>
      <c r="AL110" s="18"/>
      <c r="AM110" s="18">
        <f t="shared" si="13"/>
        <v>3</v>
      </c>
      <c r="AN110" s="18"/>
      <c r="AO110" s="18"/>
      <c r="AP110" s="18">
        <f t="shared" si="14"/>
        <v>0</v>
      </c>
      <c r="AQ110" s="32">
        <f t="shared" si="15"/>
        <v>74</v>
      </c>
    </row>
    <row r="111" spans="1:43" x14ac:dyDescent="0.35">
      <c r="A111" s="126" t="s">
        <v>507</v>
      </c>
      <c r="B111" s="126" t="s">
        <v>1369</v>
      </c>
      <c r="C111" s="126" t="s">
        <v>1293</v>
      </c>
      <c r="D111" s="128">
        <v>199</v>
      </c>
      <c r="E111" s="128">
        <v>22</v>
      </c>
      <c r="F111" s="128">
        <v>8</v>
      </c>
      <c r="G111" s="128">
        <v>2</v>
      </c>
      <c r="H111" s="128"/>
      <c r="I111" s="18">
        <f t="shared" si="8"/>
        <v>231</v>
      </c>
      <c r="J111" s="128">
        <v>6</v>
      </c>
      <c r="K111" s="128">
        <v>1</v>
      </c>
      <c r="L111" s="128"/>
      <c r="M111" s="128"/>
      <c r="N111" s="128"/>
      <c r="O111" s="18">
        <f t="shared" si="9"/>
        <v>7</v>
      </c>
      <c r="P111" s="18">
        <v>2</v>
      </c>
      <c r="Q111" s="18"/>
      <c r="R111" s="18"/>
      <c r="S111" s="18"/>
      <c r="T111" s="18"/>
      <c r="U111" s="18">
        <f t="shared" si="10"/>
        <v>2</v>
      </c>
      <c r="V111" s="18">
        <v>6</v>
      </c>
      <c r="W111" s="18"/>
      <c r="X111" s="18"/>
      <c r="Y111" s="18"/>
      <c r="Z111" s="18"/>
      <c r="AA111" s="18">
        <f t="shared" si="11"/>
        <v>6</v>
      </c>
      <c r="AB111" s="18">
        <v>31</v>
      </c>
      <c r="AC111" s="18">
        <v>1</v>
      </c>
      <c r="AD111" s="18"/>
      <c r="AE111" s="18"/>
      <c r="AF111" s="18"/>
      <c r="AG111" s="18">
        <f t="shared" si="12"/>
        <v>32</v>
      </c>
      <c r="AH111" s="18">
        <v>2</v>
      </c>
      <c r="AI111" s="18"/>
      <c r="AJ111" s="18"/>
      <c r="AK111" s="18"/>
      <c r="AL111" s="18"/>
      <c r="AM111" s="18">
        <f t="shared" si="13"/>
        <v>2</v>
      </c>
      <c r="AN111" s="18"/>
      <c r="AO111" s="18"/>
      <c r="AP111" s="18">
        <f t="shared" si="14"/>
        <v>0</v>
      </c>
      <c r="AQ111" s="32">
        <f t="shared" si="15"/>
        <v>280</v>
      </c>
    </row>
    <row r="112" spans="1:43" x14ac:dyDescent="0.35">
      <c r="A112" s="126" t="s">
        <v>508</v>
      </c>
      <c r="B112" s="126" t="s">
        <v>509</v>
      </c>
      <c r="C112" s="126" t="s">
        <v>1293</v>
      </c>
      <c r="D112" s="128">
        <v>37</v>
      </c>
      <c r="E112" s="128">
        <v>6</v>
      </c>
      <c r="F112" s="128">
        <v>2</v>
      </c>
      <c r="G112" s="128">
        <v>3</v>
      </c>
      <c r="H112" s="128"/>
      <c r="I112" s="18">
        <f t="shared" si="8"/>
        <v>48</v>
      </c>
      <c r="J112" s="128">
        <v>3</v>
      </c>
      <c r="K112" s="128"/>
      <c r="L112" s="128"/>
      <c r="M112" s="128"/>
      <c r="N112" s="128"/>
      <c r="O112" s="18">
        <f t="shared" si="9"/>
        <v>3</v>
      </c>
      <c r="P112" s="18"/>
      <c r="Q112" s="18"/>
      <c r="R112" s="18"/>
      <c r="S112" s="18"/>
      <c r="T112" s="18"/>
      <c r="U112" s="18">
        <f t="shared" si="10"/>
        <v>0</v>
      </c>
      <c r="V112" s="18"/>
      <c r="W112" s="18"/>
      <c r="X112" s="18"/>
      <c r="Y112" s="18"/>
      <c r="Z112" s="18"/>
      <c r="AA112" s="18">
        <f t="shared" si="11"/>
        <v>0</v>
      </c>
      <c r="AB112" s="18">
        <v>5</v>
      </c>
      <c r="AC112" s="18"/>
      <c r="AD112" s="18">
        <v>1</v>
      </c>
      <c r="AE112" s="18">
        <v>1</v>
      </c>
      <c r="AF112" s="18"/>
      <c r="AG112" s="18">
        <f t="shared" si="12"/>
        <v>7</v>
      </c>
      <c r="AH112" s="18"/>
      <c r="AI112" s="18"/>
      <c r="AJ112" s="18"/>
      <c r="AK112" s="18"/>
      <c r="AL112" s="18"/>
      <c r="AM112" s="18">
        <f t="shared" si="13"/>
        <v>0</v>
      </c>
      <c r="AN112" s="18"/>
      <c r="AO112" s="18"/>
      <c r="AP112" s="18">
        <f t="shared" si="14"/>
        <v>0</v>
      </c>
      <c r="AQ112" s="32">
        <f t="shared" si="15"/>
        <v>58</v>
      </c>
    </row>
    <row r="113" spans="1:43" x14ac:dyDescent="0.35">
      <c r="A113" s="126" t="s">
        <v>510</v>
      </c>
      <c r="B113" s="126" t="s">
        <v>511</v>
      </c>
      <c r="C113" s="126" t="s">
        <v>1293</v>
      </c>
      <c r="D113" s="128">
        <v>5</v>
      </c>
      <c r="E113" s="128">
        <v>1</v>
      </c>
      <c r="F113" s="128"/>
      <c r="G113" s="128">
        <v>1</v>
      </c>
      <c r="H113" s="128"/>
      <c r="I113" s="18">
        <f t="shared" si="8"/>
        <v>7</v>
      </c>
      <c r="J113" s="128"/>
      <c r="K113" s="128"/>
      <c r="L113" s="128"/>
      <c r="M113" s="128"/>
      <c r="N113" s="128"/>
      <c r="O113" s="18">
        <f t="shared" si="9"/>
        <v>0</v>
      </c>
      <c r="P113" s="18"/>
      <c r="Q113" s="18"/>
      <c r="R113" s="18"/>
      <c r="S113" s="18"/>
      <c r="T113" s="18"/>
      <c r="U113" s="18">
        <f t="shared" si="10"/>
        <v>0</v>
      </c>
      <c r="V113" s="18"/>
      <c r="W113" s="18"/>
      <c r="X113" s="18"/>
      <c r="Y113" s="18"/>
      <c r="Z113" s="18"/>
      <c r="AA113" s="18">
        <f t="shared" si="11"/>
        <v>0</v>
      </c>
      <c r="AB113" s="18">
        <v>4</v>
      </c>
      <c r="AC113" s="18"/>
      <c r="AD113" s="18"/>
      <c r="AE113" s="18"/>
      <c r="AF113" s="18"/>
      <c r="AG113" s="18">
        <f t="shared" si="12"/>
        <v>4</v>
      </c>
      <c r="AH113" s="18"/>
      <c r="AI113" s="18"/>
      <c r="AJ113" s="18"/>
      <c r="AK113" s="18"/>
      <c r="AL113" s="18"/>
      <c r="AM113" s="18">
        <f t="shared" si="13"/>
        <v>0</v>
      </c>
      <c r="AN113" s="18"/>
      <c r="AO113" s="18"/>
      <c r="AP113" s="18">
        <f t="shared" si="14"/>
        <v>0</v>
      </c>
      <c r="AQ113" s="32">
        <f t="shared" si="15"/>
        <v>11</v>
      </c>
    </row>
    <row r="114" spans="1:43" x14ac:dyDescent="0.35">
      <c r="A114" s="126" t="s">
        <v>512</v>
      </c>
      <c r="B114" s="126" t="s">
        <v>127</v>
      </c>
      <c r="C114" s="126" t="s">
        <v>1293</v>
      </c>
      <c r="D114" s="128">
        <v>79</v>
      </c>
      <c r="E114" s="128">
        <v>12</v>
      </c>
      <c r="F114" s="128">
        <v>6</v>
      </c>
      <c r="G114" s="128">
        <v>2</v>
      </c>
      <c r="H114" s="128"/>
      <c r="I114" s="18">
        <f t="shared" si="8"/>
        <v>99</v>
      </c>
      <c r="J114" s="128"/>
      <c r="K114" s="128"/>
      <c r="L114" s="128"/>
      <c r="M114" s="128"/>
      <c r="N114" s="128"/>
      <c r="O114" s="18">
        <f t="shared" si="9"/>
        <v>0</v>
      </c>
      <c r="P114" s="18">
        <v>2</v>
      </c>
      <c r="Q114" s="18"/>
      <c r="R114" s="18"/>
      <c r="S114" s="18"/>
      <c r="T114" s="18"/>
      <c r="U114" s="18">
        <f t="shared" si="10"/>
        <v>2</v>
      </c>
      <c r="V114" s="18"/>
      <c r="W114" s="18"/>
      <c r="X114" s="18"/>
      <c r="Y114" s="18"/>
      <c r="Z114" s="18"/>
      <c r="AA114" s="18">
        <f t="shared" si="11"/>
        <v>0</v>
      </c>
      <c r="AB114" s="18">
        <v>4</v>
      </c>
      <c r="AC114" s="18">
        <v>1</v>
      </c>
      <c r="AD114" s="18">
        <v>1</v>
      </c>
      <c r="AE114" s="18"/>
      <c r="AF114" s="18"/>
      <c r="AG114" s="18">
        <f t="shared" si="12"/>
        <v>6</v>
      </c>
      <c r="AH114" s="18">
        <v>1</v>
      </c>
      <c r="AI114" s="18"/>
      <c r="AJ114" s="18"/>
      <c r="AK114" s="18"/>
      <c r="AL114" s="18"/>
      <c r="AM114" s="18">
        <f t="shared" si="13"/>
        <v>1</v>
      </c>
      <c r="AN114" s="18"/>
      <c r="AO114" s="18"/>
      <c r="AP114" s="18">
        <f t="shared" si="14"/>
        <v>0</v>
      </c>
      <c r="AQ114" s="32">
        <f t="shared" si="15"/>
        <v>108</v>
      </c>
    </row>
    <row r="115" spans="1:43" x14ac:dyDescent="0.35">
      <c r="A115" s="126" t="s">
        <v>513</v>
      </c>
      <c r="B115" s="126" t="s">
        <v>514</v>
      </c>
      <c r="C115" s="126" t="s">
        <v>1293</v>
      </c>
      <c r="D115" s="128"/>
      <c r="E115" s="128"/>
      <c r="F115" s="128"/>
      <c r="G115" s="128"/>
      <c r="H115" s="128"/>
      <c r="I115" s="18">
        <f t="shared" si="8"/>
        <v>0</v>
      </c>
      <c r="J115" s="128"/>
      <c r="K115" s="128"/>
      <c r="L115" s="128"/>
      <c r="M115" s="128"/>
      <c r="N115" s="128"/>
      <c r="O115" s="18">
        <f t="shared" si="9"/>
        <v>0</v>
      </c>
      <c r="P115" s="18"/>
      <c r="Q115" s="18"/>
      <c r="R115" s="18"/>
      <c r="S115" s="18"/>
      <c r="T115" s="18"/>
      <c r="U115" s="18">
        <f t="shared" si="10"/>
        <v>0</v>
      </c>
      <c r="V115" s="18">
        <v>1</v>
      </c>
      <c r="W115" s="18"/>
      <c r="X115" s="18"/>
      <c r="Y115" s="18"/>
      <c r="Z115" s="18"/>
      <c r="AA115" s="18">
        <f t="shared" si="11"/>
        <v>1</v>
      </c>
      <c r="AB115" s="18"/>
      <c r="AC115" s="18"/>
      <c r="AD115" s="18"/>
      <c r="AE115" s="18"/>
      <c r="AF115" s="18"/>
      <c r="AG115" s="18">
        <f t="shared" si="12"/>
        <v>0</v>
      </c>
      <c r="AH115" s="18"/>
      <c r="AI115" s="18"/>
      <c r="AJ115" s="18"/>
      <c r="AK115" s="18"/>
      <c r="AL115" s="18"/>
      <c r="AM115" s="18">
        <f t="shared" si="13"/>
        <v>0</v>
      </c>
      <c r="AN115" s="18"/>
      <c r="AO115" s="18"/>
      <c r="AP115" s="18">
        <f t="shared" si="14"/>
        <v>0</v>
      </c>
      <c r="AQ115" s="32">
        <f t="shared" si="15"/>
        <v>1</v>
      </c>
    </row>
    <row r="116" spans="1:43" x14ac:dyDescent="0.35">
      <c r="A116" s="126" t="s">
        <v>515</v>
      </c>
      <c r="B116" s="126" t="s">
        <v>516</v>
      </c>
      <c r="C116" s="126" t="s">
        <v>1293</v>
      </c>
      <c r="D116" s="128">
        <v>8</v>
      </c>
      <c r="E116" s="128">
        <v>1</v>
      </c>
      <c r="F116" s="128">
        <v>2</v>
      </c>
      <c r="G116" s="128"/>
      <c r="H116" s="128"/>
      <c r="I116" s="18">
        <f t="shared" si="8"/>
        <v>11</v>
      </c>
      <c r="J116" s="128"/>
      <c r="K116" s="128"/>
      <c r="L116" s="128"/>
      <c r="M116" s="128"/>
      <c r="N116" s="128"/>
      <c r="O116" s="18">
        <f t="shared" si="9"/>
        <v>0</v>
      </c>
      <c r="P116" s="18"/>
      <c r="Q116" s="18"/>
      <c r="R116" s="18"/>
      <c r="S116" s="18"/>
      <c r="T116" s="18"/>
      <c r="U116" s="18">
        <f t="shared" si="10"/>
        <v>0</v>
      </c>
      <c r="V116" s="18"/>
      <c r="W116" s="18"/>
      <c r="X116" s="18"/>
      <c r="Y116" s="18"/>
      <c r="Z116" s="18"/>
      <c r="AA116" s="18">
        <f t="shared" si="11"/>
        <v>0</v>
      </c>
      <c r="AB116" s="18">
        <v>2</v>
      </c>
      <c r="AC116" s="18"/>
      <c r="AD116" s="18"/>
      <c r="AE116" s="18"/>
      <c r="AF116" s="18"/>
      <c r="AG116" s="18">
        <f t="shared" si="12"/>
        <v>2</v>
      </c>
      <c r="AH116" s="18"/>
      <c r="AI116" s="18"/>
      <c r="AJ116" s="18"/>
      <c r="AK116" s="18"/>
      <c r="AL116" s="18"/>
      <c r="AM116" s="18">
        <f t="shared" si="13"/>
        <v>0</v>
      </c>
      <c r="AN116" s="18"/>
      <c r="AO116" s="18"/>
      <c r="AP116" s="18">
        <f t="shared" si="14"/>
        <v>0</v>
      </c>
      <c r="AQ116" s="32">
        <f t="shared" si="15"/>
        <v>13</v>
      </c>
    </row>
    <row r="117" spans="1:43" x14ac:dyDescent="0.35">
      <c r="A117" s="126" t="s">
        <v>517</v>
      </c>
      <c r="B117" s="126" t="s">
        <v>518</v>
      </c>
      <c r="C117" s="126" t="s">
        <v>1293</v>
      </c>
      <c r="D117" s="128">
        <v>22</v>
      </c>
      <c r="E117" s="128">
        <v>7</v>
      </c>
      <c r="F117" s="128"/>
      <c r="G117" s="128"/>
      <c r="H117" s="128"/>
      <c r="I117" s="18">
        <f t="shared" si="8"/>
        <v>29</v>
      </c>
      <c r="J117" s="128"/>
      <c r="K117" s="128"/>
      <c r="L117" s="128"/>
      <c r="M117" s="128"/>
      <c r="N117" s="128"/>
      <c r="O117" s="18">
        <f t="shared" si="9"/>
        <v>0</v>
      </c>
      <c r="P117" s="18"/>
      <c r="Q117" s="18"/>
      <c r="R117" s="18"/>
      <c r="S117" s="18"/>
      <c r="T117" s="18"/>
      <c r="U117" s="18">
        <f t="shared" si="10"/>
        <v>0</v>
      </c>
      <c r="V117" s="18"/>
      <c r="W117" s="18"/>
      <c r="X117" s="18"/>
      <c r="Y117" s="18"/>
      <c r="Z117" s="18"/>
      <c r="AA117" s="18">
        <f t="shared" si="11"/>
        <v>0</v>
      </c>
      <c r="AB117" s="18">
        <v>4</v>
      </c>
      <c r="AC117" s="18">
        <v>2</v>
      </c>
      <c r="AD117" s="18"/>
      <c r="AE117" s="18"/>
      <c r="AF117" s="18"/>
      <c r="AG117" s="18">
        <f t="shared" si="12"/>
        <v>6</v>
      </c>
      <c r="AH117" s="18"/>
      <c r="AI117" s="18"/>
      <c r="AJ117" s="18"/>
      <c r="AK117" s="18"/>
      <c r="AL117" s="18"/>
      <c r="AM117" s="18">
        <f t="shared" si="13"/>
        <v>0</v>
      </c>
      <c r="AN117" s="18"/>
      <c r="AO117" s="18"/>
      <c r="AP117" s="18">
        <f t="shared" si="14"/>
        <v>0</v>
      </c>
      <c r="AQ117" s="32">
        <f t="shared" si="15"/>
        <v>35</v>
      </c>
    </row>
    <row r="118" spans="1:43" x14ac:dyDescent="0.35">
      <c r="A118" s="126" t="s">
        <v>519</v>
      </c>
      <c r="B118" s="126" t="s">
        <v>520</v>
      </c>
      <c r="C118" s="126" t="s">
        <v>1293</v>
      </c>
      <c r="D118" s="128">
        <v>83</v>
      </c>
      <c r="E118" s="128">
        <v>18</v>
      </c>
      <c r="F118" s="128">
        <v>5</v>
      </c>
      <c r="G118" s="128"/>
      <c r="H118" s="128"/>
      <c r="I118" s="18">
        <f t="shared" si="8"/>
        <v>106</v>
      </c>
      <c r="J118" s="128">
        <v>1</v>
      </c>
      <c r="K118" s="128"/>
      <c r="L118" s="128"/>
      <c r="M118" s="128"/>
      <c r="N118" s="128"/>
      <c r="O118" s="18">
        <f t="shared" si="9"/>
        <v>1</v>
      </c>
      <c r="P118" s="18"/>
      <c r="Q118" s="18"/>
      <c r="R118" s="18"/>
      <c r="S118" s="18"/>
      <c r="T118" s="18"/>
      <c r="U118" s="18">
        <f t="shared" si="10"/>
        <v>0</v>
      </c>
      <c r="V118" s="18">
        <v>1</v>
      </c>
      <c r="W118" s="18"/>
      <c r="X118" s="18"/>
      <c r="Y118" s="18"/>
      <c r="Z118" s="18"/>
      <c r="AA118" s="18">
        <f t="shared" si="11"/>
        <v>1</v>
      </c>
      <c r="AB118" s="18">
        <v>20</v>
      </c>
      <c r="AC118" s="18">
        <v>7</v>
      </c>
      <c r="AD118" s="18">
        <v>1</v>
      </c>
      <c r="AE118" s="18"/>
      <c r="AF118" s="18"/>
      <c r="AG118" s="18">
        <f t="shared" si="12"/>
        <v>28</v>
      </c>
      <c r="AH118" s="18"/>
      <c r="AI118" s="18"/>
      <c r="AJ118" s="18"/>
      <c r="AK118" s="18"/>
      <c r="AL118" s="18"/>
      <c r="AM118" s="18">
        <f t="shared" si="13"/>
        <v>0</v>
      </c>
      <c r="AN118" s="18"/>
      <c r="AO118" s="18"/>
      <c r="AP118" s="18">
        <f t="shared" si="14"/>
        <v>0</v>
      </c>
      <c r="AQ118" s="32">
        <f t="shared" si="15"/>
        <v>136</v>
      </c>
    </row>
    <row r="119" spans="1:43" x14ac:dyDescent="0.35">
      <c r="A119" s="126" t="s">
        <v>521</v>
      </c>
      <c r="B119" s="126" t="s">
        <v>522</v>
      </c>
      <c r="C119" s="126" t="s">
        <v>1293</v>
      </c>
      <c r="D119" s="128">
        <v>182</v>
      </c>
      <c r="E119" s="128">
        <v>48</v>
      </c>
      <c r="F119" s="128">
        <v>10</v>
      </c>
      <c r="G119" s="128">
        <v>4</v>
      </c>
      <c r="H119" s="128"/>
      <c r="I119" s="18">
        <f t="shared" si="8"/>
        <v>244</v>
      </c>
      <c r="J119" s="128">
        <v>2</v>
      </c>
      <c r="K119" s="128"/>
      <c r="L119" s="128"/>
      <c r="M119" s="128"/>
      <c r="N119" s="128"/>
      <c r="O119" s="18">
        <f t="shared" si="9"/>
        <v>2</v>
      </c>
      <c r="P119" s="18">
        <v>2</v>
      </c>
      <c r="Q119" s="18"/>
      <c r="R119" s="18"/>
      <c r="S119" s="18"/>
      <c r="T119" s="18"/>
      <c r="U119" s="18">
        <f t="shared" si="10"/>
        <v>2</v>
      </c>
      <c r="V119" s="18"/>
      <c r="W119" s="18"/>
      <c r="X119" s="18"/>
      <c r="Y119" s="18"/>
      <c r="Z119" s="18"/>
      <c r="AA119" s="18">
        <f t="shared" si="11"/>
        <v>0</v>
      </c>
      <c r="AB119" s="18">
        <v>29</v>
      </c>
      <c r="AC119" s="18">
        <v>8</v>
      </c>
      <c r="AD119" s="18">
        <v>7</v>
      </c>
      <c r="AE119" s="18"/>
      <c r="AF119" s="18"/>
      <c r="AG119" s="18">
        <f t="shared" si="12"/>
        <v>44</v>
      </c>
      <c r="AH119" s="18">
        <v>1</v>
      </c>
      <c r="AI119" s="18"/>
      <c r="AJ119" s="18"/>
      <c r="AK119" s="18"/>
      <c r="AL119" s="18"/>
      <c r="AM119" s="18">
        <f t="shared" si="13"/>
        <v>1</v>
      </c>
      <c r="AN119" s="18"/>
      <c r="AO119" s="18"/>
      <c r="AP119" s="18">
        <f t="shared" si="14"/>
        <v>0</v>
      </c>
      <c r="AQ119" s="32">
        <f t="shared" si="15"/>
        <v>293</v>
      </c>
    </row>
    <row r="120" spans="1:43" x14ac:dyDescent="0.35">
      <c r="A120" s="126" t="s">
        <v>523</v>
      </c>
      <c r="B120" s="126" t="s">
        <v>524</v>
      </c>
      <c r="C120" s="126" t="s">
        <v>1293</v>
      </c>
      <c r="D120" s="128">
        <v>51</v>
      </c>
      <c r="E120" s="128">
        <v>2</v>
      </c>
      <c r="F120" s="128">
        <v>1</v>
      </c>
      <c r="G120" s="128">
        <v>1</v>
      </c>
      <c r="H120" s="128"/>
      <c r="I120" s="18">
        <f t="shared" si="8"/>
        <v>55</v>
      </c>
      <c r="J120" s="128">
        <v>1</v>
      </c>
      <c r="K120" s="128"/>
      <c r="L120" s="128"/>
      <c r="M120" s="128"/>
      <c r="N120" s="128"/>
      <c r="O120" s="18">
        <f t="shared" si="9"/>
        <v>1</v>
      </c>
      <c r="P120" s="18"/>
      <c r="Q120" s="18"/>
      <c r="R120" s="18"/>
      <c r="S120" s="18"/>
      <c r="T120" s="18"/>
      <c r="U120" s="18">
        <f t="shared" si="10"/>
        <v>0</v>
      </c>
      <c r="V120" s="18"/>
      <c r="W120" s="18"/>
      <c r="X120" s="18"/>
      <c r="Y120" s="18"/>
      <c r="Z120" s="18"/>
      <c r="AA120" s="18">
        <f t="shared" si="11"/>
        <v>0</v>
      </c>
      <c r="AB120" s="18">
        <v>3</v>
      </c>
      <c r="AC120" s="18">
        <v>1</v>
      </c>
      <c r="AD120" s="18">
        <v>2</v>
      </c>
      <c r="AE120" s="18"/>
      <c r="AF120" s="18"/>
      <c r="AG120" s="18">
        <f t="shared" si="12"/>
        <v>6</v>
      </c>
      <c r="AH120" s="18"/>
      <c r="AI120" s="18"/>
      <c r="AJ120" s="18"/>
      <c r="AK120" s="18"/>
      <c r="AL120" s="18"/>
      <c r="AM120" s="18">
        <f t="shared" si="13"/>
        <v>0</v>
      </c>
      <c r="AN120" s="18"/>
      <c r="AO120" s="18"/>
      <c r="AP120" s="18">
        <f t="shared" si="14"/>
        <v>0</v>
      </c>
      <c r="AQ120" s="32">
        <f t="shared" si="15"/>
        <v>62</v>
      </c>
    </row>
    <row r="121" spans="1:43" x14ac:dyDescent="0.35">
      <c r="A121" s="126" t="s">
        <v>525</v>
      </c>
      <c r="B121" s="126" t="s">
        <v>526</v>
      </c>
      <c r="C121" s="126" t="s">
        <v>1293</v>
      </c>
      <c r="D121" s="128">
        <v>2</v>
      </c>
      <c r="E121" s="128"/>
      <c r="F121" s="128"/>
      <c r="G121" s="128"/>
      <c r="H121" s="128"/>
      <c r="I121" s="18">
        <f t="shared" si="8"/>
        <v>2</v>
      </c>
      <c r="J121" s="128"/>
      <c r="K121" s="128"/>
      <c r="L121" s="128"/>
      <c r="M121" s="128"/>
      <c r="N121" s="128"/>
      <c r="O121" s="18">
        <f t="shared" si="9"/>
        <v>0</v>
      </c>
      <c r="P121" s="18">
        <v>2</v>
      </c>
      <c r="Q121" s="18"/>
      <c r="R121" s="18"/>
      <c r="S121" s="18"/>
      <c r="T121" s="18"/>
      <c r="U121" s="18">
        <f t="shared" si="10"/>
        <v>2</v>
      </c>
      <c r="V121" s="18"/>
      <c r="W121" s="18"/>
      <c r="X121" s="18"/>
      <c r="Y121" s="18"/>
      <c r="Z121" s="18"/>
      <c r="AA121" s="18">
        <f t="shared" si="11"/>
        <v>0</v>
      </c>
      <c r="AB121" s="18">
        <v>3</v>
      </c>
      <c r="AC121" s="18"/>
      <c r="AD121" s="18"/>
      <c r="AE121" s="18"/>
      <c r="AF121" s="18"/>
      <c r="AG121" s="18">
        <f t="shared" si="12"/>
        <v>3</v>
      </c>
      <c r="AH121" s="18">
        <v>1</v>
      </c>
      <c r="AI121" s="18"/>
      <c r="AJ121" s="18"/>
      <c r="AK121" s="18"/>
      <c r="AL121" s="18"/>
      <c r="AM121" s="18">
        <f t="shared" si="13"/>
        <v>1</v>
      </c>
      <c r="AN121" s="18"/>
      <c r="AO121" s="18"/>
      <c r="AP121" s="18">
        <f t="shared" si="14"/>
        <v>0</v>
      </c>
      <c r="AQ121" s="32">
        <f t="shared" si="15"/>
        <v>8</v>
      </c>
    </row>
    <row r="122" spans="1:43" x14ac:dyDescent="0.35">
      <c r="A122" s="126" t="s">
        <v>527</v>
      </c>
      <c r="B122" s="126" t="s">
        <v>528</v>
      </c>
      <c r="C122" s="126" t="s">
        <v>1293</v>
      </c>
      <c r="D122" s="128">
        <v>10</v>
      </c>
      <c r="E122" s="128">
        <v>6</v>
      </c>
      <c r="F122" s="128">
        <v>8</v>
      </c>
      <c r="G122" s="128"/>
      <c r="H122" s="128"/>
      <c r="I122" s="18">
        <f t="shared" si="8"/>
        <v>24</v>
      </c>
      <c r="J122" s="128">
        <v>3</v>
      </c>
      <c r="K122" s="128">
        <v>4</v>
      </c>
      <c r="L122" s="128"/>
      <c r="M122" s="128"/>
      <c r="N122" s="128"/>
      <c r="O122" s="18">
        <f t="shared" si="9"/>
        <v>7</v>
      </c>
      <c r="P122" s="18">
        <v>1</v>
      </c>
      <c r="Q122" s="18"/>
      <c r="R122" s="18"/>
      <c r="S122" s="18"/>
      <c r="T122" s="18"/>
      <c r="U122" s="18">
        <f t="shared" si="10"/>
        <v>1</v>
      </c>
      <c r="V122" s="18">
        <v>3</v>
      </c>
      <c r="W122" s="18"/>
      <c r="X122" s="18"/>
      <c r="Y122" s="18"/>
      <c r="Z122" s="18"/>
      <c r="AA122" s="18">
        <f t="shared" si="11"/>
        <v>3</v>
      </c>
      <c r="AB122" s="18">
        <v>3</v>
      </c>
      <c r="AC122" s="18">
        <v>1</v>
      </c>
      <c r="AD122" s="18"/>
      <c r="AE122" s="18"/>
      <c r="AF122" s="18"/>
      <c r="AG122" s="18">
        <f t="shared" si="12"/>
        <v>4</v>
      </c>
      <c r="AH122" s="18">
        <v>1</v>
      </c>
      <c r="AI122" s="18"/>
      <c r="AJ122" s="18"/>
      <c r="AK122" s="18"/>
      <c r="AL122" s="18"/>
      <c r="AM122" s="18">
        <f t="shared" si="13"/>
        <v>1</v>
      </c>
      <c r="AN122" s="18"/>
      <c r="AO122" s="18"/>
      <c r="AP122" s="18">
        <f t="shared" si="14"/>
        <v>0</v>
      </c>
      <c r="AQ122" s="32">
        <f t="shared" si="15"/>
        <v>40</v>
      </c>
    </row>
    <row r="123" spans="1:43" x14ac:dyDescent="0.35">
      <c r="A123" s="126" t="s">
        <v>529</v>
      </c>
      <c r="B123" s="126" t="s">
        <v>530</v>
      </c>
      <c r="C123" s="126" t="s">
        <v>1293</v>
      </c>
      <c r="D123" s="128">
        <v>8</v>
      </c>
      <c r="E123" s="128">
        <v>1</v>
      </c>
      <c r="F123" s="128"/>
      <c r="G123" s="128"/>
      <c r="H123" s="128"/>
      <c r="I123" s="18">
        <f t="shared" si="8"/>
        <v>9</v>
      </c>
      <c r="J123" s="128"/>
      <c r="K123" s="128"/>
      <c r="L123" s="128"/>
      <c r="M123" s="128"/>
      <c r="N123" s="128"/>
      <c r="O123" s="18">
        <f t="shared" si="9"/>
        <v>0</v>
      </c>
      <c r="P123" s="18"/>
      <c r="Q123" s="18"/>
      <c r="R123" s="18"/>
      <c r="S123" s="18"/>
      <c r="T123" s="18"/>
      <c r="U123" s="18">
        <f t="shared" si="10"/>
        <v>0</v>
      </c>
      <c r="V123" s="18"/>
      <c r="W123" s="18"/>
      <c r="X123" s="18"/>
      <c r="Y123" s="18"/>
      <c r="Z123" s="18"/>
      <c r="AA123" s="18">
        <f t="shared" si="11"/>
        <v>0</v>
      </c>
      <c r="AB123" s="18">
        <v>2</v>
      </c>
      <c r="AC123" s="18"/>
      <c r="AD123" s="18"/>
      <c r="AE123" s="18"/>
      <c r="AF123" s="18"/>
      <c r="AG123" s="18">
        <f t="shared" si="12"/>
        <v>2</v>
      </c>
      <c r="AH123" s="18"/>
      <c r="AI123" s="18"/>
      <c r="AJ123" s="18"/>
      <c r="AK123" s="18"/>
      <c r="AL123" s="18"/>
      <c r="AM123" s="18">
        <f t="shared" si="13"/>
        <v>0</v>
      </c>
      <c r="AN123" s="18"/>
      <c r="AO123" s="18"/>
      <c r="AP123" s="18">
        <f t="shared" si="14"/>
        <v>0</v>
      </c>
      <c r="AQ123" s="32">
        <f t="shared" si="15"/>
        <v>11</v>
      </c>
    </row>
    <row r="124" spans="1:43" x14ac:dyDescent="0.35">
      <c r="A124" s="126" t="s">
        <v>531</v>
      </c>
      <c r="B124" s="126" t="s">
        <v>532</v>
      </c>
      <c r="C124" s="126" t="s">
        <v>1293</v>
      </c>
      <c r="D124" s="128">
        <v>8</v>
      </c>
      <c r="E124" s="128">
        <v>2</v>
      </c>
      <c r="F124" s="128">
        <v>3</v>
      </c>
      <c r="G124" s="128"/>
      <c r="H124" s="128"/>
      <c r="I124" s="18">
        <f t="shared" si="8"/>
        <v>13</v>
      </c>
      <c r="J124" s="128"/>
      <c r="K124" s="128"/>
      <c r="L124" s="128"/>
      <c r="M124" s="128"/>
      <c r="N124" s="128"/>
      <c r="O124" s="18">
        <f t="shared" si="9"/>
        <v>0</v>
      </c>
      <c r="P124" s="18"/>
      <c r="Q124" s="18"/>
      <c r="R124" s="18"/>
      <c r="S124" s="18"/>
      <c r="T124" s="18"/>
      <c r="U124" s="18">
        <f t="shared" si="10"/>
        <v>0</v>
      </c>
      <c r="V124" s="18"/>
      <c r="W124" s="18"/>
      <c r="X124" s="18"/>
      <c r="Y124" s="18"/>
      <c r="Z124" s="18"/>
      <c r="AA124" s="18">
        <f t="shared" si="11"/>
        <v>0</v>
      </c>
      <c r="AB124" s="18">
        <v>4</v>
      </c>
      <c r="AC124" s="18">
        <v>1</v>
      </c>
      <c r="AD124" s="18"/>
      <c r="AE124" s="18"/>
      <c r="AF124" s="18"/>
      <c r="AG124" s="18">
        <f t="shared" si="12"/>
        <v>5</v>
      </c>
      <c r="AH124" s="18"/>
      <c r="AI124" s="18"/>
      <c r="AJ124" s="18"/>
      <c r="AK124" s="18"/>
      <c r="AL124" s="18"/>
      <c r="AM124" s="18">
        <f t="shared" si="13"/>
        <v>0</v>
      </c>
      <c r="AN124" s="18"/>
      <c r="AO124" s="18"/>
      <c r="AP124" s="18">
        <f t="shared" si="14"/>
        <v>0</v>
      </c>
      <c r="AQ124" s="32">
        <f t="shared" si="15"/>
        <v>18</v>
      </c>
    </row>
    <row r="125" spans="1:43" x14ac:dyDescent="0.35">
      <c r="A125" s="126" t="s">
        <v>533</v>
      </c>
      <c r="B125" s="126" t="s">
        <v>534</v>
      </c>
      <c r="C125" s="126" t="s">
        <v>1293</v>
      </c>
      <c r="D125" s="128">
        <v>39</v>
      </c>
      <c r="E125" s="128">
        <v>3</v>
      </c>
      <c r="F125" s="128">
        <v>3</v>
      </c>
      <c r="G125" s="128">
        <v>1</v>
      </c>
      <c r="H125" s="128"/>
      <c r="I125" s="18">
        <f t="shared" si="8"/>
        <v>46</v>
      </c>
      <c r="J125" s="128">
        <v>2</v>
      </c>
      <c r="K125" s="128">
        <v>3</v>
      </c>
      <c r="L125" s="128">
        <v>1</v>
      </c>
      <c r="M125" s="128"/>
      <c r="N125" s="128"/>
      <c r="O125" s="18">
        <f t="shared" si="9"/>
        <v>6</v>
      </c>
      <c r="P125" s="18">
        <v>4</v>
      </c>
      <c r="Q125" s="18"/>
      <c r="R125" s="18"/>
      <c r="S125" s="18"/>
      <c r="T125" s="18"/>
      <c r="U125" s="18">
        <f t="shared" si="10"/>
        <v>4</v>
      </c>
      <c r="V125" s="18">
        <v>4</v>
      </c>
      <c r="W125" s="18"/>
      <c r="X125" s="18"/>
      <c r="Y125" s="18"/>
      <c r="Z125" s="18"/>
      <c r="AA125" s="18">
        <f t="shared" si="11"/>
        <v>4</v>
      </c>
      <c r="AB125" s="18">
        <v>20</v>
      </c>
      <c r="AC125" s="18">
        <v>3</v>
      </c>
      <c r="AD125" s="18">
        <v>2</v>
      </c>
      <c r="AE125" s="18"/>
      <c r="AF125" s="18"/>
      <c r="AG125" s="18">
        <f t="shared" si="12"/>
        <v>25</v>
      </c>
      <c r="AH125" s="18">
        <v>7</v>
      </c>
      <c r="AI125" s="18"/>
      <c r="AJ125" s="18"/>
      <c r="AK125" s="18"/>
      <c r="AL125" s="18"/>
      <c r="AM125" s="18">
        <f t="shared" si="13"/>
        <v>7</v>
      </c>
      <c r="AN125" s="18"/>
      <c r="AO125" s="18"/>
      <c r="AP125" s="18">
        <f t="shared" si="14"/>
        <v>0</v>
      </c>
      <c r="AQ125" s="32">
        <f t="shared" si="15"/>
        <v>92</v>
      </c>
    </row>
    <row r="126" spans="1:43" x14ac:dyDescent="0.35">
      <c r="A126" s="126" t="s">
        <v>535</v>
      </c>
      <c r="B126" s="126" t="s">
        <v>536</v>
      </c>
      <c r="C126" s="126" t="s">
        <v>1293</v>
      </c>
      <c r="D126" s="128">
        <v>34</v>
      </c>
      <c r="E126" s="128">
        <v>4</v>
      </c>
      <c r="F126" s="128">
        <v>1</v>
      </c>
      <c r="G126" s="128"/>
      <c r="H126" s="128"/>
      <c r="I126" s="18">
        <f t="shared" si="8"/>
        <v>39</v>
      </c>
      <c r="J126" s="128">
        <v>3</v>
      </c>
      <c r="K126" s="128"/>
      <c r="L126" s="128"/>
      <c r="M126" s="128"/>
      <c r="N126" s="128"/>
      <c r="O126" s="18">
        <f t="shared" si="9"/>
        <v>3</v>
      </c>
      <c r="P126" s="18"/>
      <c r="Q126" s="18"/>
      <c r="R126" s="18"/>
      <c r="S126" s="18"/>
      <c r="T126" s="18"/>
      <c r="U126" s="18">
        <f t="shared" si="10"/>
        <v>0</v>
      </c>
      <c r="V126" s="18">
        <v>2</v>
      </c>
      <c r="W126" s="18"/>
      <c r="X126" s="18"/>
      <c r="Y126" s="18"/>
      <c r="Z126" s="18"/>
      <c r="AA126" s="18">
        <f t="shared" si="11"/>
        <v>2</v>
      </c>
      <c r="AB126" s="18">
        <v>3</v>
      </c>
      <c r="AC126" s="18">
        <v>1</v>
      </c>
      <c r="AD126" s="18"/>
      <c r="AE126" s="18"/>
      <c r="AF126" s="18"/>
      <c r="AG126" s="18">
        <f t="shared" si="12"/>
        <v>4</v>
      </c>
      <c r="AH126" s="18">
        <v>1</v>
      </c>
      <c r="AI126" s="18"/>
      <c r="AJ126" s="18"/>
      <c r="AK126" s="18"/>
      <c r="AL126" s="18"/>
      <c r="AM126" s="18">
        <f t="shared" si="13"/>
        <v>1</v>
      </c>
      <c r="AN126" s="18"/>
      <c r="AO126" s="18"/>
      <c r="AP126" s="18">
        <f t="shared" si="14"/>
        <v>0</v>
      </c>
      <c r="AQ126" s="32">
        <f t="shared" si="15"/>
        <v>49</v>
      </c>
    </row>
    <row r="127" spans="1:43" x14ac:dyDescent="0.35">
      <c r="A127" s="126" t="s">
        <v>537</v>
      </c>
      <c r="B127" s="126" t="s">
        <v>538</v>
      </c>
      <c r="C127" s="126" t="s">
        <v>1293</v>
      </c>
      <c r="D127" s="128">
        <v>8</v>
      </c>
      <c r="E127" s="128">
        <v>3</v>
      </c>
      <c r="F127" s="128">
        <v>1</v>
      </c>
      <c r="G127" s="128"/>
      <c r="H127" s="128"/>
      <c r="I127" s="18">
        <f t="shared" si="8"/>
        <v>12</v>
      </c>
      <c r="J127" s="128">
        <v>3</v>
      </c>
      <c r="K127" s="128"/>
      <c r="L127" s="128"/>
      <c r="M127" s="128"/>
      <c r="N127" s="128"/>
      <c r="O127" s="18">
        <f t="shared" si="9"/>
        <v>3</v>
      </c>
      <c r="P127" s="18"/>
      <c r="Q127" s="18"/>
      <c r="R127" s="18"/>
      <c r="S127" s="18"/>
      <c r="T127" s="18"/>
      <c r="U127" s="18">
        <f t="shared" si="10"/>
        <v>0</v>
      </c>
      <c r="V127" s="18"/>
      <c r="W127" s="18"/>
      <c r="X127" s="18"/>
      <c r="Y127" s="18"/>
      <c r="Z127" s="18"/>
      <c r="AA127" s="18">
        <f t="shared" si="11"/>
        <v>0</v>
      </c>
      <c r="AB127" s="18">
        <v>1</v>
      </c>
      <c r="AC127" s="18">
        <v>2</v>
      </c>
      <c r="AD127" s="18">
        <v>2</v>
      </c>
      <c r="AE127" s="18">
        <v>1</v>
      </c>
      <c r="AF127" s="18"/>
      <c r="AG127" s="18">
        <f t="shared" si="12"/>
        <v>6</v>
      </c>
      <c r="AH127" s="18"/>
      <c r="AI127" s="18"/>
      <c r="AJ127" s="18"/>
      <c r="AK127" s="18"/>
      <c r="AL127" s="18"/>
      <c r="AM127" s="18">
        <f t="shared" si="13"/>
        <v>0</v>
      </c>
      <c r="AN127" s="18"/>
      <c r="AO127" s="18"/>
      <c r="AP127" s="18">
        <f t="shared" si="14"/>
        <v>0</v>
      </c>
      <c r="AQ127" s="32">
        <f t="shared" si="15"/>
        <v>21</v>
      </c>
    </row>
    <row r="128" spans="1:43" x14ac:dyDescent="0.35">
      <c r="A128" s="126" t="s">
        <v>539</v>
      </c>
      <c r="B128" s="126" t="s">
        <v>540</v>
      </c>
      <c r="C128" s="126" t="s">
        <v>1293</v>
      </c>
      <c r="D128" s="128">
        <v>43</v>
      </c>
      <c r="E128" s="128">
        <v>6</v>
      </c>
      <c r="F128" s="128">
        <v>1</v>
      </c>
      <c r="G128" s="128"/>
      <c r="H128" s="128"/>
      <c r="I128" s="18">
        <f t="shared" si="8"/>
        <v>50</v>
      </c>
      <c r="J128" s="128">
        <v>4</v>
      </c>
      <c r="K128" s="128"/>
      <c r="L128" s="128"/>
      <c r="M128" s="128">
        <v>1</v>
      </c>
      <c r="N128" s="128"/>
      <c r="O128" s="18">
        <f t="shared" si="9"/>
        <v>5</v>
      </c>
      <c r="P128" s="18">
        <v>3</v>
      </c>
      <c r="Q128" s="18"/>
      <c r="R128" s="18"/>
      <c r="S128" s="18"/>
      <c r="T128" s="18"/>
      <c r="U128" s="18">
        <f t="shared" si="10"/>
        <v>3</v>
      </c>
      <c r="V128" s="18">
        <v>2</v>
      </c>
      <c r="W128" s="18"/>
      <c r="X128" s="18"/>
      <c r="Y128" s="18"/>
      <c r="Z128" s="18"/>
      <c r="AA128" s="18">
        <f t="shared" si="11"/>
        <v>2</v>
      </c>
      <c r="AB128" s="18">
        <v>9</v>
      </c>
      <c r="AC128" s="18"/>
      <c r="AD128" s="18"/>
      <c r="AE128" s="18"/>
      <c r="AF128" s="18"/>
      <c r="AG128" s="18">
        <f t="shared" si="12"/>
        <v>9</v>
      </c>
      <c r="AH128" s="18">
        <v>4</v>
      </c>
      <c r="AI128" s="18"/>
      <c r="AJ128" s="18"/>
      <c r="AK128" s="18"/>
      <c r="AL128" s="18"/>
      <c r="AM128" s="18">
        <f t="shared" si="13"/>
        <v>4</v>
      </c>
      <c r="AN128" s="18"/>
      <c r="AO128" s="18"/>
      <c r="AP128" s="18">
        <f t="shared" si="14"/>
        <v>0</v>
      </c>
      <c r="AQ128" s="32">
        <f t="shared" si="15"/>
        <v>73</v>
      </c>
    </row>
    <row r="129" spans="1:43" x14ac:dyDescent="0.35">
      <c r="A129" s="126" t="s">
        <v>541</v>
      </c>
      <c r="B129" s="126" t="s">
        <v>542</v>
      </c>
      <c r="C129" s="126" t="s">
        <v>1293</v>
      </c>
      <c r="D129" s="128">
        <v>14</v>
      </c>
      <c r="E129" s="128"/>
      <c r="F129" s="128">
        <v>1</v>
      </c>
      <c r="G129" s="128">
        <v>1</v>
      </c>
      <c r="H129" s="128"/>
      <c r="I129" s="18">
        <f t="shared" si="8"/>
        <v>16</v>
      </c>
      <c r="J129" s="128"/>
      <c r="K129" s="128"/>
      <c r="L129" s="128"/>
      <c r="M129" s="128"/>
      <c r="N129" s="128"/>
      <c r="O129" s="18">
        <f t="shared" si="9"/>
        <v>0</v>
      </c>
      <c r="P129" s="18">
        <v>1</v>
      </c>
      <c r="Q129" s="18"/>
      <c r="R129" s="18"/>
      <c r="S129" s="18"/>
      <c r="T129" s="18"/>
      <c r="U129" s="18">
        <f t="shared" si="10"/>
        <v>1</v>
      </c>
      <c r="V129" s="18"/>
      <c r="W129" s="18"/>
      <c r="X129" s="18"/>
      <c r="Y129" s="18"/>
      <c r="Z129" s="18"/>
      <c r="AA129" s="18">
        <f t="shared" si="11"/>
        <v>0</v>
      </c>
      <c r="AB129" s="18">
        <v>1</v>
      </c>
      <c r="AC129" s="18"/>
      <c r="AD129" s="18"/>
      <c r="AE129" s="18"/>
      <c r="AF129" s="18"/>
      <c r="AG129" s="18">
        <f t="shared" si="12"/>
        <v>1</v>
      </c>
      <c r="AH129" s="18"/>
      <c r="AI129" s="18"/>
      <c r="AJ129" s="18"/>
      <c r="AK129" s="18"/>
      <c r="AL129" s="18"/>
      <c r="AM129" s="18">
        <f t="shared" si="13"/>
        <v>0</v>
      </c>
      <c r="AN129" s="18"/>
      <c r="AO129" s="18"/>
      <c r="AP129" s="18">
        <f t="shared" si="14"/>
        <v>0</v>
      </c>
      <c r="AQ129" s="32">
        <f t="shared" si="15"/>
        <v>18</v>
      </c>
    </row>
    <row r="130" spans="1:43" x14ac:dyDescent="0.35">
      <c r="A130" s="126" t="s">
        <v>543</v>
      </c>
      <c r="B130" s="126" t="s">
        <v>544</v>
      </c>
      <c r="C130" s="126" t="s">
        <v>1293</v>
      </c>
      <c r="D130" s="128">
        <v>5</v>
      </c>
      <c r="E130" s="128">
        <v>2</v>
      </c>
      <c r="F130" s="128">
        <v>1</v>
      </c>
      <c r="G130" s="128"/>
      <c r="H130" s="128"/>
      <c r="I130" s="18">
        <f t="shared" si="8"/>
        <v>8</v>
      </c>
      <c r="J130" s="128"/>
      <c r="K130" s="128"/>
      <c r="L130" s="128"/>
      <c r="M130" s="128"/>
      <c r="N130" s="128"/>
      <c r="O130" s="18">
        <f t="shared" si="9"/>
        <v>0</v>
      </c>
      <c r="P130" s="18"/>
      <c r="Q130" s="18"/>
      <c r="R130" s="18"/>
      <c r="S130" s="18"/>
      <c r="T130" s="18"/>
      <c r="U130" s="18">
        <f t="shared" si="10"/>
        <v>0</v>
      </c>
      <c r="V130" s="18"/>
      <c r="W130" s="18"/>
      <c r="X130" s="18"/>
      <c r="Y130" s="18"/>
      <c r="Z130" s="18"/>
      <c r="AA130" s="18">
        <f t="shared" si="11"/>
        <v>0</v>
      </c>
      <c r="AB130" s="18"/>
      <c r="AC130" s="18"/>
      <c r="AD130" s="18"/>
      <c r="AE130" s="18"/>
      <c r="AF130" s="18"/>
      <c r="AG130" s="18">
        <f t="shared" si="12"/>
        <v>0</v>
      </c>
      <c r="AH130" s="18"/>
      <c r="AI130" s="18"/>
      <c r="AJ130" s="18"/>
      <c r="AK130" s="18"/>
      <c r="AL130" s="18"/>
      <c r="AM130" s="18">
        <f t="shared" si="13"/>
        <v>0</v>
      </c>
      <c r="AN130" s="18"/>
      <c r="AO130" s="18"/>
      <c r="AP130" s="18">
        <f t="shared" si="14"/>
        <v>0</v>
      </c>
      <c r="AQ130" s="32">
        <f t="shared" si="15"/>
        <v>8</v>
      </c>
    </row>
    <row r="131" spans="1:43" x14ac:dyDescent="0.35">
      <c r="A131" s="126" t="s">
        <v>545</v>
      </c>
      <c r="B131" s="126" t="s">
        <v>546</v>
      </c>
      <c r="C131" s="126" t="s">
        <v>1293</v>
      </c>
      <c r="D131" s="128">
        <v>10</v>
      </c>
      <c r="E131" s="128">
        <v>2</v>
      </c>
      <c r="F131" s="128">
        <v>2</v>
      </c>
      <c r="G131" s="128"/>
      <c r="H131" s="128"/>
      <c r="I131" s="18">
        <f t="shared" si="8"/>
        <v>14</v>
      </c>
      <c r="J131" s="128"/>
      <c r="K131" s="128"/>
      <c r="L131" s="128"/>
      <c r="M131" s="128"/>
      <c r="N131" s="128"/>
      <c r="O131" s="18">
        <f t="shared" si="9"/>
        <v>0</v>
      </c>
      <c r="P131" s="18"/>
      <c r="Q131" s="18"/>
      <c r="R131" s="18"/>
      <c r="S131" s="18"/>
      <c r="T131" s="18"/>
      <c r="U131" s="18">
        <f t="shared" si="10"/>
        <v>0</v>
      </c>
      <c r="V131" s="18"/>
      <c r="W131" s="18"/>
      <c r="X131" s="18"/>
      <c r="Y131" s="18"/>
      <c r="Z131" s="18"/>
      <c r="AA131" s="18">
        <f t="shared" si="11"/>
        <v>0</v>
      </c>
      <c r="AB131" s="18"/>
      <c r="AC131" s="18">
        <v>1</v>
      </c>
      <c r="AD131" s="18"/>
      <c r="AE131" s="18"/>
      <c r="AF131" s="18"/>
      <c r="AG131" s="18">
        <f t="shared" si="12"/>
        <v>1</v>
      </c>
      <c r="AH131" s="18"/>
      <c r="AI131" s="18"/>
      <c r="AJ131" s="18"/>
      <c r="AK131" s="18"/>
      <c r="AL131" s="18"/>
      <c r="AM131" s="18">
        <f t="shared" si="13"/>
        <v>0</v>
      </c>
      <c r="AN131" s="18"/>
      <c r="AO131" s="18"/>
      <c r="AP131" s="18">
        <f t="shared" si="14"/>
        <v>0</v>
      </c>
      <c r="AQ131" s="32">
        <f t="shared" si="15"/>
        <v>15</v>
      </c>
    </row>
    <row r="132" spans="1:43" x14ac:dyDescent="0.35">
      <c r="A132" s="126" t="s">
        <v>547</v>
      </c>
      <c r="B132" s="126" t="s">
        <v>1225</v>
      </c>
      <c r="C132" s="126" t="s">
        <v>1293</v>
      </c>
      <c r="D132" s="128">
        <v>8</v>
      </c>
      <c r="E132" s="128">
        <v>2</v>
      </c>
      <c r="F132" s="128"/>
      <c r="G132" s="128"/>
      <c r="H132" s="128"/>
      <c r="I132" s="18">
        <f t="shared" si="8"/>
        <v>10</v>
      </c>
      <c r="J132" s="128">
        <v>1</v>
      </c>
      <c r="K132" s="128"/>
      <c r="L132" s="128"/>
      <c r="M132" s="128"/>
      <c r="N132" s="128"/>
      <c r="O132" s="18">
        <f t="shared" si="9"/>
        <v>1</v>
      </c>
      <c r="P132" s="18"/>
      <c r="Q132" s="18"/>
      <c r="R132" s="18"/>
      <c r="S132" s="18"/>
      <c r="T132" s="18"/>
      <c r="U132" s="18">
        <f t="shared" si="10"/>
        <v>0</v>
      </c>
      <c r="V132" s="18"/>
      <c r="W132" s="18"/>
      <c r="X132" s="18"/>
      <c r="Y132" s="18"/>
      <c r="Z132" s="18"/>
      <c r="AA132" s="18">
        <f t="shared" si="11"/>
        <v>0</v>
      </c>
      <c r="AB132" s="18">
        <v>7</v>
      </c>
      <c r="AC132" s="18">
        <v>1</v>
      </c>
      <c r="AD132" s="18">
        <v>1</v>
      </c>
      <c r="AE132" s="18"/>
      <c r="AF132" s="18"/>
      <c r="AG132" s="18">
        <f t="shared" si="12"/>
        <v>9</v>
      </c>
      <c r="AH132" s="18"/>
      <c r="AI132" s="18"/>
      <c r="AJ132" s="18"/>
      <c r="AK132" s="18"/>
      <c r="AL132" s="18"/>
      <c r="AM132" s="18">
        <f t="shared" si="13"/>
        <v>0</v>
      </c>
      <c r="AN132" s="18"/>
      <c r="AO132" s="18"/>
      <c r="AP132" s="18">
        <f t="shared" si="14"/>
        <v>0</v>
      </c>
      <c r="AQ132" s="32">
        <f t="shared" si="15"/>
        <v>20</v>
      </c>
    </row>
    <row r="133" spans="1:43" x14ac:dyDescent="0.35">
      <c r="A133" s="126" t="s">
        <v>548</v>
      </c>
      <c r="B133" s="126" t="s">
        <v>549</v>
      </c>
      <c r="C133" s="126" t="s">
        <v>1293</v>
      </c>
      <c r="D133" s="128">
        <v>393</v>
      </c>
      <c r="E133" s="128">
        <v>50</v>
      </c>
      <c r="F133" s="128">
        <v>5</v>
      </c>
      <c r="G133" s="128"/>
      <c r="H133" s="128"/>
      <c r="I133" s="18">
        <f t="shared" si="8"/>
        <v>448</v>
      </c>
      <c r="J133" s="128">
        <v>17</v>
      </c>
      <c r="K133" s="128">
        <v>1</v>
      </c>
      <c r="L133" s="128"/>
      <c r="M133" s="128"/>
      <c r="N133" s="128"/>
      <c r="O133" s="18">
        <f t="shared" si="9"/>
        <v>18</v>
      </c>
      <c r="P133" s="18">
        <v>34</v>
      </c>
      <c r="Q133" s="18">
        <v>1</v>
      </c>
      <c r="R133" s="18"/>
      <c r="S133" s="18"/>
      <c r="T133" s="18"/>
      <c r="U133" s="18">
        <f t="shared" si="10"/>
        <v>35</v>
      </c>
      <c r="V133" s="18">
        <v>25</v>
      </c>
      <c r="W133" s="18">
        <v>1</v>
      </c>
      <c r="X133" s="18"/>
      <c r="Y133" s="18"/>
      <c r="Z133" s="18"/>
      <c r="AA133" s="18">
        <f t="shared" si="11"/>
        <v>26</v>
      </c>
      <c r="AB133" s="18">
        <v>89</v>
      </c>
      <c r="AC133" s="18">
        <v>10</v>
      </c>
      <c r="AD133" s="18">
        <v>2</v>
      </c>
      <c r="AE133" s="18"/>
      <c r="AF133" s="18"/>
      <c r="AG133" s="18">
        <f t="shared" si="12"/>
        <v>101</v>
      </c>
      <c r="AH133" s="18">
        <v>7</v>
      </c>
      <c r="AI133" s="18"/>
      <c r="AJ133" s="18"/>
      <c r="AK133" s="18"/>
      <c r="AL133" s="18"/>
      <c r="AM133" s="18">
        <f t="shared" si="13"/>
        <v>7</v>
      </c>
      <c r="AN133" s="18"/>
      <c r="AO133" s="18"/>
      <c r="AP133" s="18">
        <f t="shared" si="14"/>
        <v>0</v>
      </c>
      <c r="AQ133" s="32">
        <f t="shared" si="15"/>
        <v>635</v>
      </c>
    </row>
    <row r="134" spans="1:43" x14ac:dyDescent="0.35">
      <c r="A134" s="126" t="s">
        <v>550</v>
      </c>
      <c r="B134" s="126" t="s">
        <v>1226</v>
      </c>
      <c r="C134" s="126" t="s">
        <v>1293</v>
      </c>
      <c r="D134" s="128">
        <v>12</v>
      </c>
      <c r="E134" s="128">
        <v>2</v>
      </c>
      <c r="F134" s="128"/>
      <c r="G134" s="128"/>
      <c r="H134" s="128"/>
      <c r="I134" s="18">
        <f t="shared" ref="I134:I197" si="16">+SUM(D134:H134)</f>
        <v>14</v>
      </c>
      <c r="J134" s="128">
        <v>1</v>
      </c>
      <c r="K134" s="128"/>
      <c r="L134" s="128"/>
      <c r="M134" s="128"/>
      <c r="N134" s="128"/>
      <c r="O134" s="18">
        <f t="shared" ref="O134:O197" si="17">+SUM(J134:N134)</f>
        <v>1</v>
      </c>
      <c r="P134" s="18">
        <v>1</v>
      </c>
      <c r="Q134" s="18"/>
      <c r="R134" s="18"/>
      <c r="S134" s="18"/>
      <c r="T134" s="18"/>
      <c r="U134" s="18">
        <f t="shared" ref="U134:U197" si="18">+SUM(P134:T134)</f>
        <v>1</v>
      </c>
      <c r="V134" s="18"/>
      <c r="W134" s="18"/>
      <c r="X134" s="18"/>
      <c r="Y134" s="18"/>
      <c r="Z134" s="18"/>
      <c r="AA134" s="18">
        <f t="shared" ref="AA134:AA197" si="19">+SUM(V134:Z134)</f>
        <v>0</v>
      </c>
      <c r="AB134" s="18">
        <v>1</v>
      </c>
      <c r="AC134" s="18"/>
      <c r="AD134" s="18"/>
      <c r="AE134" s="18"/>
      <c r="AF134" s="18"/>
      <c r="AG134" s="18">
        <f t="shared" ref="AG134:AG197" si="20">+SUM(AB134:AF134)</f>
        <v>1</v>
      </c>
      <c r="AH134" s="18"/>
      <c r="AI134" s="18"/>
      <c r="AJ134" s="18"/>
      <c r="AK134" s="18"/>
      <c r="AL134" s="18"/>
      <c r="AM134" s="18">
        <f t="shared" ref="AM134:AM197" si="21">+SUM(AH134:AL134)</f>
        <v>0</v>
      </c>
      <c r="AN134" s="18"/>
      <c r="AO134" s="18"/>
      <c r="AP134" s="18">
        <f t="shared" ref="AP134:AP197" si="22">+AO134+AN134</f>
        <v>0</v>
      </c>
      <c r="AQ134" s="32">
        <f t="shared" ref="AQ134:AQ197" si="23">+AP134+AM134+AG134+AA134+U134+O134+I134</f>
        <v>17</v>
      </c>
    </row>
    <row r="135" spans="1:43" x14ac:dyDescent="0.35">
      <c r="A135" s="126" t="s">
        <v>551</v>
      </c>
      <c r="B135" s="126" t="s">
        <v>552</v>
      </c>
      <c r="C135" s="126" t="s">
        <v>1293</v>
      </c>
      <c r="D135" s="128">
        <v>4</v>
      </c>
      <c r="E135" s="128"/>
      <c r="F135" s="128">
        <v>1</v>
      </c>
      <c r="G135" s="128"/>
      <c r="H135" s="128"/>
      <c r="I135" s="18">
        <f t="shared" si="16"/>
        <v>5</v>
      </c>
      <c r="J135" s="128"/>
      <c r="K135" s="128"/>
      <c r="L135" s="128"/>
      <c r="M135" s="128"/>
      <c r="N135" s="128"/>
      <c r="O135" s="18">
        <f t="shared" si="17"/>
        <v>0</v>
      </c>
      <c r="P135" s="18"/>
      <c r="Q135" s="18"/>
      <c r="R135" s="18"/>
      <c r="S135" s="18"/>
      <c r="T135" s="18"/>
      <c r="U135" s="18">
        <f t="shared" si="18"/>
        <v>0</v>
      </c>
      <c r="V135" s="18"/>
      <c r="W135" s="18"/>
      <c r="X135" s="18"/>
      <c r="Y135" s="18"/>
      <c r="Z135" s="18"/>
      <c r="AA135" s="18">
        <f t="shared" si="19"/>
        <v>0</v>
      </c>
      <c r="AB135" s="18">
        <v>1</v>
      </c>
      <c r="AC135" s="18"/>
      <c r="AD135" s="18"/>
      <c r="AE135" s="18"/>
      <c r="AF135" s="18"/>
      <c r="AG135" s="18">
        <f t="shared" si="20"/>
        <v>1</v>
      </c>
      <c r="AH135" s="18"/>
      <c r="AI135" s="18"/>
      <c r="AJ135" s="18"/>
      <c r="AK135" s="18"/>
      <c r="AL135" s="18"/>
      <c r="AM135" s="18">
        <f t="shared" si="21"/>
        <v>0</v>
      </c>
      <c r="AN135" s="18"/>
      <c r="AO135" s="18"/>
      <c r="AP135" s="18">
        <f t="shared" si="22"/>
        <v>0</v>
      </c>
      <c r="AQ135" s="32">
        <f t="shared" si="23"/>
        <v>6</v>
      </c>
    </row>
    <row r="136" spans="1:43" x14ac:dyDescent="0.35">
      <c r="A136" s="126" t="s">
        <v>553</v>
      </c>
      <c r="B136" s="126" t="s">
        <v>1370</v>
      </c>
      <c r="C136" s="126" t="s">
        <v>1293</v>
      </c>
      <c r="D136" s="128">
        <v>20</v>
      </c>
      <c r="E136" s="128">
        <v>6</v>
      </c>
      <c r="F136" s="128">
        <v>1</v>
      </c>
      <c r="G136" s="128">
        <v>1</v>
      </c>
      <c r="H136" s="128"/>
      <c r="I136" s="18">
        <f t="shared" si="16"/>
        <v>28</v>
      </c>
      <c r="J136" s="128">
        <v>15</v>
      </c>
      <c r="K136" s="128"/>
      <c r="L136" s="128"/>
      <c r="M136" s="128"/>
      <c r="N136" s="128"/>
      <c r="O136" s="18">
        <f t="shared" si="17"/>
        <v>15</v>
      </c>
      <c r="P136" s="18">
        <v>1</v>
      </c>
      <c r="Q136" s="18"/>
      <c r="R136" s="18"/>
      <c r="S136" s="18"/>
      <c r="T136" s="18"/>
      <c r="U136" s="18">
        <f t="shared" si="18"/>
        <v>1</v>
      </c>
      <c r="V136" s="18"/>
      <c r="W136" s="18"/>
      <c r="X136" s="18"/>
      <c r="Y136" s="18"/>
      <c r="Z136" s="18"/>
      <c r="AA136" s="18">
        <f t="shared" si="19"/>
        <v>0</v>
      </c>
      <c r="AB136" s="18">
        <v>3</v>
      </c>
      <c r="AC136" s="18"/>
      <c r="AD136" s="18"/>
      <c r="AE136" s="18"/>
      <c r="AF136" s="18"/>
      <c r="AG136" s="18">
        <f t="shared" si="20"/>
        <v>3</v>
      </c>
      <c r="AH136" s="18">
        <v>1</v>
      </c>
      <c r="AI136" s="18"/>
      <c r="AJ136" s="18"/>
      <c r="AK136" s="18"/>
      <c r="AL136" s="18"/>
      <c r="AM136" s="18">
        <f t="shared" si="21"/>
        <v>1</v>
      </c>
      <c r="AN136" s="18"/>
      <c r="AO136" s="18"/>
      <c r="AP136" s="18">
        <f t="shared" si="22"/>
        <v>0</v>
      </c>
      <c r="AQ136" s="32">
        <f t="shared" si="23"/>
        <v>48</v>
      </c>
    </row>
    <row r="137" spans="1:43" x14ac:dyDescent="0.35">
      <c r="A137" s="126" t="s">
        <v>554</v>
      </c>
      <c r="B137" s="126" t="s">
        <v>1371</v>
      </c>
      <c r="C137" s="126" t="s">
        <v>1293</v>
      </c>
      <c r="D137" s="128">
        <v>51</v>
      </c>
      <c r="E137" s="128">
        <v>15</v>
      </c>
      <c r="F137" s="128"/>
      <c r="G137" s="128"/>
      <c r="H137" s="128"/>
      <c r="I137" s="18">
        <f t="shared" si="16"/>
        <v>66</v>
      </c>
      <c r="J137" s="128"/>
      <c r="K137" s="128"/>
      <c r="L137" s="128"/>
      <c r="M137" s="128"/>
      <c r="N137" s="128"/>
      <c r="O137" s="18">
        <f t="shared" si="17"/>
        <v>0</v>
      </c>
      <c r="P137" s="18">
        <v>1</v>
      </c>
      <c r="Q137" s="18"/>
      <c r="R137" s="18"/>
      <c r="S137" s="18"/>
      <c r="T137" s="18"/>
      <c r="U137" s="18">
        <f t="shared" si="18"/>
        <v>1</v>
      </c>
      <c r="V137" s="18">
        <v>2</v>
      </c>
      <c r="W137" s="18"/>
      <c r="X137" s="18"/>
      <c r="Y137" s="18"/>
      <c r="Z137" s="18"/>
      <c r="AA137" s="18">
        <f t="shared" si="19"/>
        <v>2</v>
      </c>
      <c r="AB137" s="18">
        <v>9</v>
      </c>
      <c r="AC137" s="18"/>
      <c r="AD137" s="18"/>
      <c r="AE137" s="18"/>
      <c r="AF137" s="18"/>
      <c r="AG137" s="18">
        <f t="shared" si="20"/>
        <v>9</v>
      </c>
      <c r="AH137" s="18"/>
      <c r="AI137" s="18">
        <v>1</v>
      </c>
      <c r="AJ137" s="18"/>
      <c r="AK137" s="18"/>
      <c r="AL137" s="18"/>
      <c r="AM137" s="18">
        <f t="shared" si="21"/>
        <v>1</v>
      </c>
      <c r="AN137" s="18"/>
      <c r="AO137" s="18"/>
      <c r="AP137" s="18">
        <f t="shared" si="22"/>
        <v>0</v>
      </c>
      <c r="AQ137" s="32">
        <f t="shared" si="23"/>
        <v>79</v>
      </c>
    </row>
    <row r="138" spans="1:43" x14ac:dyDescent="0.35">
      <c r="A138" s="126" t="s">
        <v>555</v>
      </c>
      <c r="B138" s="126" t="s">
        <v>556</v>
      </c>
      <c r="C138" s="126" t="s">
        <v>1293</v>
      </c>
      <c r="D138" s="128">
        <v>16</v>
      </c>
      <c r="E138" s="128">
        <v>2</v>
      </c>
      <c r="F138" s="128"/>
      <c r="G138" s="128"/>
      <c r="H138" s="128"/>
      <c r="I138" s="18">
        <f t="shared" si="16"/>
        <v>18</v>
      </c>
      <c r="J138" s="128"/>
      <c r="K138" s="128"/>
      <c r="L138" s="128"/>
      <c r="M138" s="128"/>
      <c r="N138" s="128"/>
      <c r="O138" s="18">
        <f t="shared" si="17"/>
        <v>0</v>
      </c>
      <c r="P138" s="18"/>
      <c r="Q138" s="18"/>
      <c r="R138" s="18"/>
      <c r="S138" s="18"/>
      <c r="T138" s="18"/>
      <c r="U138" s="18">
        <f t="shared" si="18"/>
        <v>0</v>
      </c>
      <c r="V138" s="18"/>
      <c r="W138" s="18"/>
      <c r="X138" s="18"/>
      <c r="Y138" s="18"/>
      <c r="Z138" s="18"/>
      <c r="AA138" s="18">
        <f t="shared" si="19"/>
        <v>0</v>
      </c>
      <c r="AB138" s="18">
        <v>4</v>
      </c>
      <c r="AC138" s="18">
        <v>1</v>
      </c>
      <c r="AD138" s="18">
        <v>1</v>
      </c>
      <c r="AE138" s="18"/>
      <c r="AF138" s="18"/>
      <c r="AG138" s="18">
        <f t="shared" si="20"/>
        <v>6</v>
      </c>
      <c r="AH138" s="18">
        <v>1</v>
      </c>
      <c r="AI138" s="18"/>
      <c r="AJ138" s="18"/>
      <c r="AK138" s="18"/>
      <c r="AL138" s="18"/>
      <c r="AM138" s="18">
        <f t="shared" si="21"/>
        <v>1</v>
      </c>
      <c r="AN138" s="18"/>
      <c r="AO138" s="18"/>
      <c r="AP138" s="18">
        <f t="shared" si="22"/>
        <v>0</v>
      </c>
      <c r="AQ138" s="32">
        <f t="shared" si="23"/>
        <v>25</v>
      </c>
    </row>
    <row r="139" spans="1:43" x14ac:dyDescent="0.35">
      <c r="A139" s="126" t="s">
        <v>557</v>
      </c>
      <c r="B139" s="126" t="s">
        <v>558</v>
      </c>
      <c r="C139" s="126" t="s">
        <v>1293</v>
      </c>
      <c r="D139" s="128">
        <v>224</v>
      </c>
      <c r="E139" s="128">
        <v>55</v>
      </c>
      <c r="F139" s="128">
        <v>6</v>
      </c>
      <c r="G139" s="128"/>
      <c r="H139" s="128"/>
      <c r="I139" s="18">
        <f t="shared" si="16"/>
        <v>285</v>
      </c>
      <c r="J139" s="128">
        <v>4</v>
      </c>
      <c r="K139" s="128"/>
      <c r="L139" s="128"/>
      <c r="M139" s="128"/>
      <c r="N139" s="128"/>
      <c r="O139" s="18">
        <f t="shared" si="17"/>
        <v>4</v>
      </c>
      <c r="P139" s="18">
        <v>3</v>
      </c>
      <c r="Q139" s="18"/>
      <c r="R139" s="18"/>
      <c r="S139" s="18"/>
      <c r="T139" s="18"/>
      <c r="U139" s="18">
        <f t="shared" si="18"/>
        <v>3</v>
      </c>
      <c r="V139" s="18"/>
      <c r="W139" s="18"/>
      <c r="X139" s="18"/>
      <c r="Y139" s="18"/>
      <c r="Z139" s="18"/>
      <c r="AA139" s="18">
        <f t="shared" si="19"/>
        <v>0</v>
      </c>
      <c r="AB139" s="18">
        <v>28</v>
      </c>
      <c r="AC139" s="18">
        <v>12</v>
      </c>
      <c r="AD139" s="18">
        <v>2</v>
      </c>
      <c r="AE139" s="18"/>
      <c r="AF139" s="18"/>
      <c r="AG139" s="18">
        <f t="shared" si="20"/>
        <v>42</v>
      </c>
      <c r="AH139" s="18">
        <v>5</v>
      </c>
      <c r="AI139" s="18"/>
      <c r="AJ139" s="18"/>
      <c r="AK139" s="18"/>
      <c r="AL139" s="18"/>
      <c r="AM139" s="18">
        <f t="shared" si="21"/>
        <v>5</v>
      </c>
      <c r="AN139" s="18"/>
      <c r="AO139" s="18"/>
      <c r="AP139" s="18">
        <f t="shared" si="22"/>
        <v>0</v>
      </c>
      <c r="AQ139" s="32">
        <f t="shared" si="23"/>
        <v>339</v>
      </c>
    </row>
    <row r="140" spans="1:43" x14ac:dyDescent="0.35">
      <c r="A140" s="126" t="s">
        <v>559</v>
      </c>
      <c r="B140" s="126" t="s">
        <v>560</v>
      </c>
      <c r="C140" s="126" t="s">
        <v>1293</v>
      </c>
      <c r="D140" s="128">
        <v>16</v>
      </c>
      <c r="E140" s="128">
        <v>5</v>
      </c>
      <c r="F140" s="128"/>
      <c r="G140" s="128"/>
      <c r="H140" s="128"/>
      <c r="I140" s="18">
        <f t="shared" si="16"/>
        <v>21</v>
      </c>
      <c r="J140" s="128"/>
      <c r="K140" s="128"/>
      <c r="L140" s="128"/>
      <c r="M140" s="128"/>
      <c r="N140" s="128"/>
      <c r="O140" s="18">
        <f t="shared" si="17"/>
        <v>0</v>
      </c>
      <c r="P140" s="18"/>
      <c r="Q140" s="18"/>
      <c r="R140" s="18"/>
      <c r="S140" s="18"/>
      <c r="T140" s="18"/>
      <c r="U140" s="18">
        <f t="shared" si="18"/>
        <v>0</v>
      </c>
      <c r="V140" s="18"/>
      <c r="W140" s="18"/>
      <c r="X140" s="18"/>
      <c r="Y140" s="18"/>
      <c r="Z140" s="18"/>
      <c r="AA140" s="18">
        <f t="shared" si="19"/>
        <v>0</v>
      </c>
      <c r="AB140" s="18">
        <v>2</v>
      </c>
      <c r="AC140" s="18"/>
      <c r="AD140" s="18"/>
      <c r="AE140" s="18"/>
      <c r="AF140" s="18"/>
      <c r="AG140" s="18">
        <f t="shared" si="20"/>
        <v>2</v>
      </c>
      <c r="AH140" s="18"/>
      <c r="AI140" s="18"/>
      <c r="AJ140" s="18"/>
      <c r="AK140" s="18"/>
      <c r="AL140" s="18"/>
      <c r="AM140" s="18">
        <f t="shared" si="21"/>
        <v>0</v>
      </c>
      <c r="AN140" s="18"/>
      <c r="AO140" s="18"/>
      <c r="AP140" s="18">
        <f t="shared" si="22"/>
        <v>0</v>
      </c>
      <c r="AQ140" s="32">
        <f t="shared" si="23"/>
        <v>23</v>
      </c>
    </row>
    <row r="141" spans="1:43" x14ac:dyDescent="0.35">
      <c r="A141" s="126" t="s">
        <v>561</v>
      </c>
      <c r="B141" s="126" t="s">
        <v>562</v>
      </c>
      <c r="C141" s="126" t="s">
        <v>1293</v>
      </c>
      <c r="D141" s="128">
        <v>3</v>
      </c>
      <c r="E141" s="128"/>
      <c r="F141" s="128"/>
      <c r="G141" s="128"/>
      <c r="H141" s="128"/>
      <c r="I141" s="18">
        <f t="shared" si="16"/>
        <v>3</v>
      </c>
      <c r="J141" s="128"/>
      <c r="K141" s="128"/>
      <c r="L141" s="128"/>
      <c r="M141" s="128"/>
      <c r="N141" s="128"/>
      <c r="O141" s="18">
        <f t="shared" si="17"/>
        <v>0</v>
      </c>
      <c r="P141" s="18"/>
      <c r="Q141" s="18"/>
      <c r="R141" s="18"/>
      <c r="S141" s="18"/>
      <c r="T141" s="18"/>
      <c r="U141" s="18">
        <f t="shared" si="18"/>
        <v>0</v>
      </c>
      <c r="V141" s="18"/>
      <c r="W141" s="18"/>
      <c r="X141" s="18"/>
      <c r="Y141" s="18"/>
      <c r="Z141" s="18"/>
      <c r="AA141" s="18">
        <f t="shared" si="19"/>
        <v>0</v>
      </c>
      <c r="AB141" s="18"/>
      <c r="AC141" s="18"/>
      <c r="AD141" s="18"/>
      <c r="AE141" s="18"/>
      <c r="AF141" s="18"/>
      <c r="AG141" s="18">
        <f t="shared" si="20"/>
        <v>0</v>
      </c>
      <c r="AH141" s="18"/>
      <c r="AI141" s="18"/>
      <c r="AJ141" s="18"/>
      <c r="AK141" s="18"/>
      <c r="AL141" s="18"/>
      <c r="AM141" s="18">
        <f t="shared" si="21"/>
        <v>0</v>
      </c>
      <c r="AN141" s="18"/>
      <c r="AO141" s="18"/>
      <c r="AP141" s="18">
        <f t="shared" si="22"/>
        <v>0</v>
      </c>
      <c r="AQ141" s="32">
        <f t="shared" si="23"/>
        <v>3</v>
      </c>
    </row>
    <row r="142" spans="1:43" x14ac:dyDescent="0.35">
      <c r="A142" s="126" t="s">
        <v>1324</v>
      </c>
      <c r="B142" s="126" t="s">
        <v>1325</v>
      </c>
      <c r="C142" s="126" t="s">
        <v>1293</v>
      </c>
      <c r="D142" s="128">
        <v>1</v>
      </c>
      <c r="E142" s="128"/>
      <c r="F142" s="128"/>
      <c r="G142" s="128"/>
      <c r="H142" s="128"/>
      <c r="I142" s="18">
        <f t="shared" si="16"/>
        <v>1</v>
      </c>
      <c r="J142" s="128"/>
      <c r="K142" s="128"/>
      <c r="L142" s="128"/>
      <c r="M142" s="128"/>
      <c r="N142" s="128"/>
      <c r="O142" s="18">
        <f t="shared" si="17"/>
        <v>0</v>
      </c>
      <c r="P142" s="18"/>
      <c r="Q142" s="18"/>
      <c r="R142" s="18"/>
      <c r="S142" s="18"/>
      <c r="T142" s="18"/>
      <c r="U142" s="18">
        <f t="shared" si="18"/>
        <v>0</v>
      </c>
      <c r="V142" s="18"/>
      <c r="W142" s="18"/>
      <c r="X142" s="18"/>
      <c r="Y142" s="18"/>
      <c r="Z142" s="18"/>
      <c r="AA142" s="18">
        <f t="shared" si="19"/>
        <v>0</v>
      </c>
      <c r="AB142" s="18"/>
      <c r="AC142" s="18"/>
      <c r="AD142" s="18"/>
      <c r="AE142" s="18"/>
      <c r="AF142" s="18"/>
      <c r="AG142" s="18">
        <f t="shared" si="20"/>
        <v>0</v>
      </c>
      <c r="AH142" s="18"/>
      <c r="AI142" s="18"/>
      <c r="AJ142" s="18"/>
      <c r="AK142" s="18"/>
      <c r="AL142" s="18"/>
      <c r="AM142" s="18">
        <f t="shared" si="21"/>
        <v>0</v>
      </c>
      <c r="AN142" s="18"/>
      <c r="AO142" s="18"/>
      <c r="AP142" s="18">
        <f t="shared" si="22"/>
        <v>0</v>
      </c>
      <c r="AQ142" s="32">
        <f t="shared" si="23"/>
        <v>1</v>
      </c>
    </row>
    <row r="143" spans="1:43" x14ac:dyDescent="0.35">
      <c r="A143" s="126" t="s">
        <v>563</v>
      </c>
      <c r="B143" s="126" t="s">
        <v>564</v>
      </c>
      <c r="C143" s="126" t="s">
        <v>1293</v>
      </c>
      <c r="D143" s="128">
        <v>3</v>
      </c>
      <c r="E143" s="128"/>
      <c r="F143" s="128"/>
      <c r="G143" s="128"/>
      <c r="H143" s="128"/>
      <c r="I143" s="18">
        <f t="shared" si="16"/>
        <v>3</v>
      </c>
      <c r="J143" s="128"/>
      <c r="K143" s="128"/>
      <c r="L143" s="128"/>
      <c r="M143" s="128"/>
      <c r="N143" s="128"/>
      <c r="O143" s="18">
        <f t="shared" si="17"/>
        <v>0</v>
      </c>
      <c r="P143" s="18"/>
      <c r="Q143" s="18"/>
      <c r="R143" s="18"/>
      <c r="S143" s="18"/>
      <c r="T143" s="18"/>
      <c r="U143" s="18">
        <f t="shared" si="18"/>
        <v>0</v>
      </c>
      <c r="V143" s="18"/>
      <c r="W143" s="18"/>
      <c r="X143" s="18"/>
      <c r="Y143" s="18"/>
      <c r="Z143" s="18"/>
      <c r="AA143" s="18">
        <f t="shared" si="19"/>
        <v>0</v>
      </c>
      <c r="AB143" s="18"/>
      <c r="AC143" s="18"/>
      <c r="AD143" s="18"/>
      <c r="AE143" s="18"/>
      <c r="AF143" s="18"/>
      <c r="AG143" s="18">
        <f t="shared" si="20"/>
        <v>0</v>
      </c>
      <c r="AH143" s="18"/>
      <c r="AI143" s="18"/>
      <c r="AJ143" s="18"/>
      <c r="AK143" s="18"/>
      <c r="AL143" s="18"/>
      <c r="AM143" s="18">
        <f t="shared" si="21"/>
        <v>0</v>
      </c>
      <c r="AN143" s="18"/>
      <c r="AO143" s="18"/>
      <c r="AP143" s="18">
        <f t="shared" si="22"/>
        <v>0</v>
      </c>
      <c r="AQ143" s="32">
        <f t="shared" si="23"/>
        <v>3</v>
      </c>
    </row>
    <row r="144" spans="1:43" x14ac:dyDescent="0.35">
      <c r="A144" s="126" t="s">
        <v>565</v>
      </c>
      <c r="B144" s="126" t="s">
        <v>566</v>
      </c>
      <c r="C144" s="126" t="s">
        <v>1293</v>
      </c>
      <c r="D144" s="128">
        <v>12</v>
      </c>
      <c r="E144" s="128">
        <v>2</v>
      </c>
      <c r="F144" s="128"/>
      <c r="G144" s="128"/>
      <c r="H144" s="128"/>
      <c r="I144" s="18">
        <f t="shared" si="16"/>
        <v>14</v>
      </c>
      <c r="J144" s="128"/>
      <c r="K144" s="128"/>
      <c r="L144" s="128"/>
      <c r="M144" s="128"/>
      <c r="N144" s="128"/>
      <c r="O144" s="18">
        <f t="shared" si="17"/>
        <v>0</v>
      </c>
      <c r="P144" s="18"/>
      <c r="Q144" s="18"/>
      <c r="R144" s="18"/>
      <c r="S144" s="18"/>
      <c r="T144" s="18"/>
      <c r="U144" s="18">
        <f t="shared" si="18"/>
        <v>0</v>
      </c>
      <c r="V144" s="18"/>
      <c r="W144" s="18"/>
      <c r="X144" s="18"/>
      <c r="Y144" s="18"/>
      <c r="Z144" s="18"/>
      <c r="AA144" s="18">
        <f t="shared" si="19"/>
        <v>0</v>
      </c>
      <c r="AB144" s="18"/>
      <c r="AC144" s="18">
        <v>1</v>
      </c>
      <c r="AD144" s="18"/>
      <c r="AE144" s="18"/>
      <c r="AF144" s="18"/>
      <c r="AG144" s="18">
        <f t="shared" si="20"/>
        <v>1</v>
      </c>
      <c r="AH144" s="18"/>
      <c r="AI144" s="18"/>
      <c r="AJ144" s="18"/>
      <c r="AK144" s="18"/>
      <c r="AL144" s="18"/>
      <c r="AM144" s="18">
        <f t="shared" si="21"/>
        <v>0</v>
      </c>
      <c r="AN144" s="18"/>
      <c r="AO144" s="18"/>
      <c r="AP144" s="18">
        <f t="shared" si="22"/>
        <v>0</v>
      </c>
      <c r="AQ144" s="32">
        <f t="shared" si="23"/>
        <v>15</v>
      </c>
    </row>
    <row r="145" spans="1:43" x14ac:dyDescent="0.35">
      <c r="A145" s="126" t="s">
        <v>567</v>
      </c>
      <c r="B145" s="126" t="s">
        <v>568</v>
      </c>
      <c r="C145" s="126" t="s">
        <v>1293</v>
      </c>
      <c r="D145" s="128">
        <v>4</v>
      </c>
      <c r="E145" s="128"/>
      <c r="F145" s="128"/>
      <c r="G145" s="128"/>
      <c r="H145" s="128"/>
      <c r="I145" s="18">
        <f t="shared" si="16"/>
        <v>4</v>
      </c>
      <c r="J145" s="128"/>
      <c r="K145" s="128"/>
      <c r="L145" s="128"/>
      <c r="M145" s="128"/>
      <c r="N145" s="128"/>
      <c r="O145" s="18">
        <f t="shared" si="17"/>
        <v>0</v>
      </c>
      <c r="P145" s="18"/>
      <c r="Q145" s="18"/>
      <c r="R145" s="18"/>
      <c r="S145" s="18"/>
      <c r="T145" s="18"/>
      <c r="U145" s="18">
        <f t="shared" si="18"/>
        <v>0</v>
      </c>
      <c r="V145" s="18"/>
      <c r="W145" s="18"/>
      <c r="X145" s="18"/>
      <c r="Y145" s="18"/>
      <c r="Z145" s="18"/>
      <c r="AA145" s="18">
        <f t="shared" si="19"/>
        <v>0</v>
      </c>
      <c r="AB145" s="18">
        <v>1</v>
      </c>
      <c r="AC145" s="18"/>
      <c r="AD145" s="18"/>
      <c r="AE145" s="18"/>
      <c r="AF145" s="18"/>
      <c r="AG145" s="18">
        <f t="shared" si="20"/>
        <v>1</v>
      </c>
      <c r="AH145" s="18"/>
      <c r="AI145" s="18"/>
      <c r="AJ145" s="18"/>
      <c r="AK145" s="18"/>
      <c r="AL145" s="18"/>
      <c r="AM145" s="18">
        <f t="shared" si="21"/>
        <v>0</v>
      </c>
      <c r="AN145" s="18"/>
      <c r="AO145" s="18"/>
      <c r="AP145" s="18">
        <f t="shared" si="22"/>
        <v>0</v>
      </c>
      <c r="AQ145" s="32">
        <f t="shared" si="23"/>
        <v>5</v>
      </c>
    </row>
    <row r="146" spans="1:43" x14ac:dyDescent="0.35">
      <c r="A146" s="126" t="s">
        <v>569</v>
      </c>
      <c r="B146" s="126" t="s">
        <v>570</v>
      </c>
      <c r="C146" s="126" t="s">
        <v>1293</v>
      </c>
      <c r="D146" s="128">
        <v>6</v>
      </c>
      <c r="E146" s="128">
        <v>3</v>
      </c>
      <c r="F146" s="128"/>
      <c r="G146" s="128"/>
      <c r="H146" s="128"/>
      <c r="I146" s="18">
        <f t="shared" si="16"/>
        <v>9</v>
      </c>
      <c r="J146" s="128"/>
      <c r="K146" s="128"/>
      <c r="L146" s="128"/>
      <c r="M146" s="128"/>
      <c r="N146" s="128"/>
      <c r="O146" s="18">
        <f t="shared" si="17"/>
        <v>0</v>
      </c>
      <c r="P146" s="18"/>
      <c r="Q146" s="18"/>
      <c r="R146" s="18"/>
      <c r="S146" s="18"/>
      <c r="T146" s="18"/>
      <c r="U146" s="18">
        <f t="shared" si="18"/>
        <v>0</v>
      </c>
      <c r="V146" s="18"/>
      <c r="W146" s="18"/>
      <c r="X146" s="18"/>
      <c r="Y146" s="18"/>
      <c r="Z146" s="18"/>
      <c r="AA146" s="18">
        <f t="shared" si="19"/>
        <v>0</v>
      </c>
      <c r="AB146" s="18"/>
      <c r="AC146" s="18"/>
      <c r="AD146" s="18"/>
      <c r="AE146" s="18"/>
      <c r="AF146" s="18"/>
      <c r="AG146" s="18">
        <f t="shared" si="20"/>
        <v>0</v>
      </c>
      <c r="AH146" s="18"/>
      <c r="AI146" s="18"/>
      <c r="AJ146" s="18"/>
      <c r="AK146" s="18"/>
      <c r="AL146" s="18"/>
      <c r="AM146" s="18">
        <f t="shared" si="21"/>
        <v>0</v>
      </c>
      <c r="AN146" s="18"/>
      <c r="AO146" s="18"/>
      <c r="AP146" s="18">
        <f t="shared" si="22"/>
        <v>0</v>
      </c>
      <c r="AQ146" s="32">
        <f t="shared" si="23"/>
        <v>9</v>
      </c>
    </row>
    <row r="147" spans="1:43" x14ac:dyDescent="0.35">
      <c r="A147" s="126" t="s">
        <v>571</v>
      </c>
      <c r="B147" s="126" t="s">
        <v>572</v>
      </c>
      <c r="C147" s="126" t="s">
        <v>1293</v>
      </c>
      <c r="D147" s="128">
        <v>18</v>
      </c>
      <c r="E147" s="128"/>
      <c r="F147" s="128"/>
      <c r="G147" s="128"/>
      <c r="H147" s="128"/>
      <c r="I147" s="18">
        <f t="shared" si="16"/>
        <v>18</v>
      </c>
      <c r="J147" s="128">
        <v>1</v>
      </c>
      <c r="K147" s="128"/>
      <c r="L147" s="128"/>
      <c r="M147" s="128"/>
      <c r="N147" s="128"/>
      <c r="O147" s="18">
        <f t="shared" si="17"/>
        <v>1</v>
      </c>
      <c r="P147" s="18"/>
      <c r="Q147" s="18"/>
      <c r="R147" s="18"/>
      <c r="S147" s="18"/>
      <c r="T147" s="18"/>
      <c r="U147" s="18">
        <f t="shared" si="18"/>
        <v>0</v>
      </c>
      <c r="V147" s="18"/>
      <c r="W147" s="18"/>
      <c r="X147" s="18"/>
      <c r="Y147" s="18"/>
      <c r="Z147" s="18"/>
      <c r="AA147" s="18">
        <f t="shared" si="19"/>
        <v>0</v>
      </c>
      <c r="AB147" s="18">
        <v>2</v>
      </c>
      <c r="AC147" s="18"/>
      <c r="AD147" s="18"/>
      <c r="AE147" s="18"/>
      <c r="AF147" s="18"/>
      <c r="AG147" s="18">
        <f t="shared" si="20"/>
        <v>2</v>
      </c>
      <c r="AH147" s="18"/>
      <c r="AI147" s="18"/>
      <c r="AJ147" s="18"/>
      <c r="AK147" s="18"/>
      <c r="AL147" s="18"/>
      <c r="AM147" s="18">
        <f t="shared" si="21"/>
        <v>0</v>
      </c>
      <c r="AN147" s="18"/>
      <c r="AO147" s="18"/>
      <c r="AP147" s="18">
        <f t="shared" si="22"/>
        <v>0</v>
      </c>
      <c r="AQ147" s="32">
        <f t="shared" si="23"/>
        <v>21</v>
      </c>
    </row>
    <row r="148" spans="1:43" x14ac:dyDescent="0.35">
      <c r="A148" s="126" t="s">
        <v>573</v>
      </c>
      <c r="B148" s="126" t="s">
        <v>574</v>
      </c>
      <c r="C148" s="126" t="s">
        <v>1293</v>
      </c>
      <c r="D148" s="128">
        <v>9</v>
      </c>
      <c r="E148" s="128"/>
      <c r="F148" s="128">
        <v>1</v>
      </c>
      <c r="G148" s="128"/>
      <c r="H148" s="128"/>
      <c r="I148" s="18">
        <f t="shared" si="16"/>
        <v>10</v>
      </c>
      <c r="J148" s="128"/>
      <c r="K148" s="128"/>
      <c r="L148" s="128"/>
      <c r="M148" s="128"/>
      <c r="N148" s="128"/>
      <c r="O148" s="18">
        <f t="shared" si="17"/>
        <v>0</v>
      </c>
      <c r="P148" s="18"/>
      <c r="Q148" s="18"/>
      <c r="R148" s="18"/>
      <c r="S148" s="18"/>
      <c r="T148" s="18"/>
      <c r="U148" s="18">
        <f t="shared" si="18"/>
        <v>0</v>
      </c>
      <c r="V148" s="18"/>
      <c r="W148" s="18"/>
      <c r="X148" s="18"/>
      <c r="Y148" s="18"/>
      <c r="Z148" s="18"/>
      <c r="AA148" s="18">
        <f t="shared" si="19"/>
        <v>0</v>
      </c>
      <c r="AB148" s="18">
        <v>1</v>
      </c>
      <c r="AC148" s="18"/>
      <c r="AD148" s="18"/>
      <c r="AE148" s="18">
        <v>1</v>
      </c>
      <c r="AF148" s="18"/>
      <c r="AG148" s="18">
        <f t="shared" si="20"/>
        <v>2</v>
      </c>
      <c r="AH148" s="18"/>
      <c r="AI148" s="18"/>
      <c r="AJ148" s="18"/>
      <c r="AK148" s="18"/>
      <c r="AL148" s="18"/>
      <c r="AM148" s="18">
        <f t="shared" si="21"/>
        <v>0</v>
      </c>
      <c r="AN148" s="18"/>
      <c r="AO148" s="18"/>
      <c r="AP148" s="18">
        <f t="shared" si="22"/>
        <v>0</v>
      </c>
      <c r="AQ148" s="32">
        <f t="shared" si="23"/>
        <v>12</v>
      </c>
    </row>
    <row r="149" spans="1:43" x14ac:dyDescent="0.35">
      <c r="A149" s="126" t="s">
        <v>575</v>
      </c>
      <c r="B149" s="126" t="s">
        <v>576</v>
      </c>
      <c r="C149" s="126" t="s">
        <v>1293</v>
      </c>
      <c r="D149" s="128">
        <v>10</v>
      </c>
      <c r="E149" s="128">
        <v>2</v>
      </c>
      <c r="F149" s="128">
        <v>3</v>
      </c>
      <c r="G149" s="128"/>
      <c r="H149" s="128"/>
      <c r="I149" s="18">
        <f t="shared" si="16"/>
        <v>15</v>
      </c>
      <c r="J149" s="128"/>
      <c r="K149" s="128"/>
      <c r="L149" s="128"/>
      <c r="M149" s="128"/>
      <c r="N149" s="128"/>
      <c r="O149" s="18">
        <f t="shared" si="17"/>
        <v>0</v>
      </c>
      <c r="P149" s="18">
        <v>1</v>
      </c>
      <c r="Q149" s="18"/>
      <c r="R149" s="18"/>
      <c r="S149" s="18"/>
      <c r="T149" s="18"/>
      <c r="U149" s="18">
        <f t="shared" si="18"/>
        <v>1</v>
      </c>
      <c r="V149" s="18"/>
      <c r="W149" s="18"/>
      <c r="X149" s="18"/>
      <c r="Y149" s="18"/>
      <c r="Z149" s="18"/>
      <c r="AA149" s="18">
        <f t="shared" si="19"/>
        <v>0</v>
      </c>
      <c r="AB149" s="18"/>
      <c r="AC149" s="18">
        <v>1</v>
      </c>
      <c r="AD149" s="18"/>
      <c r="AE149" s="18"/>
      <c r="AF149" s="18"/>
      <c r="AG149" s="18">
        <f t="shared" si="20"/>
        <v>1</v>
      </c>
      <c r="AH149" s="18"/>
      <c r="AI149" s="18"/>
      <c r="AJ149" s="18"/>
      <c r="AK149" s="18"/>
      <c r="AL149" s="18"/>
      <c r="AM149" s="18">
        <f t="shared" si="21"/>
        <v>0</v>
      </c>
      <c r="AN149" s="18"/>
      <c r="AO149" s="18"/>
      <c r="AP149" s="18">
        <f t="shared" si="22"/>
        <v>0</v>
      </c>
      <c r="AQ149" s="32">
        <f t="shared" si="23"/>
        <v>17</v>
      </c>
    </row>
    <row r="150" spans="1:43" x14ac:dyDescent="0.35">
      <c r="A150" s="126" t="s">
        <v>577</v>
      </c>
      <c r="B150" s="126" t="s">
        <v>578</v>
      </c>
      <c r="C150" s="126" t="s">
        <v>1293</v>
      </c>
      <c r="D150" s="128">
        <v>1</v>
      </c>
      <c r="E150" s="128"/>
      <c r="F150" s="128"/>
      <c r="G150" s="128"/>
      <c r="H150" s="128"/>
      <c r="I150" s="18">
        <f t="shared" si="16"/>
        <v>1</v>
      </c>
      <c r="J150" s="128"/>
      <c r="K150" s="128"/>
      <c r="L150" s="128"/>
      <c r="M150" s="128"/>
      <c r="N150" s="128"/>
      <c r="O150" s="18">
        <f t="shared" si="17"/>
        <v>0</v>
      </c>
      <c r="P150" s="18"/>
      <c r="Q150" s="18"/>
      <c r="R150" s="18"/>
      <c r="S150" s="18"/>
      <c r="T150" s="18"/>
      <c r="U150" s="18">
        <f t="shared" si="18"/>
        <v>0</v>
      </c>
      <c r="V150" s="18"/>
      <c r="W150" s="18"/>
      <c r="X150" s="18"/>
      <c r="Y150" s="18"/>
      <c r="Z150" s="18"/>
      <c r="AA150" s="18">
        <f t="shared" si="19"/>
        <v>0</v>
      </c>
      <c r="AB150" s="18"/>
      <c r="AC150" s="18"/>
      <c r="AD150" s="18"/>
      <c r="AE150" s="18"/>
      <c r="AF150" s="18"/>
      <c r="AG150" s="18">
        <f t="shared" si="20"/>
        <v>0</v>
      </c>
      <c r="AH150" s="18"/>
      <c r="AI150" s="18"/>
      <c r="AJ150" s="18"/>
      <c r="AK150" s="18"/>
      <c r="AL150" s="18"/>
      <c r="AM150" s="18">
        <f t="shared" si="21"/>
        <v>0</v>
      </c>
      <c r="AN150" s="18"/>
      <c r="AO150" s="18"/>
      <c r="AP150" s="18">
        <f t="shared" si="22"/>
        <v>0</v>
      </c>
      <c r="AQ150" s="32">
        <f t="shared" si="23"/>
        <v>1</v>
      </c>
    </row>
    <row r="151" spans="1:43" x14ac:dyDescent="0.35">
      <c r="A151" s="126" t="s">
        <v>579</v>
      </c>
      <c r="B151" s="126" t="s">
        <v>580</v>
      </c>
      <c r="C151" s="126" t="s">
        <v>1293</v>
      </c>
      <c r="D151" s="128"/>
      <c r="E151" s="128">
        <v>1</v>
      </c>
      <c r="F151" s="128">
        <v>1</v>
      </c>
      <c r="G151" s="128"/>
      <c r="H151" s="128"/>
      <c r="I151" s="18">
        <f t="shared" si="16"/>
        <v>2</v>
      </c>
      <c r="J151" s="128"/>
      <c r="K151" s="128"/>
      <c r="L151" s="128"/>
      <c r="M151" s="128"/>
      <c r="N151" s="128"/>
      <c r="O151" s="18">
        <f t="shared" si="17"/>
        <v>0</v>
      </c>
      <c r="P151" s="18"/>
      <c r="Q151" s="18"/>
      <c r="R151" s="18"/>
      <c r="S151" s="18"/>
      <c r="T151" s="18"/>
      <c r="U151" s="18">
        <f t="shared" si="18"/>
        <v>0</v>
      </c>
      <c r="V151" s="18"/>
      <c r="W151" s="18"/>
      <c r="X151" s="18"/>
      <c r="Y151" s="18"/>
      <c r="Z151" s="18"/>
      <c r="AA151" s="18">
        <f t="shared" si="19"/>
        <v>0</v>
      </c>
      <c r="AB151" s="18"/>
      <c r="AC151" s="18"/>
      <c r="AD151" s="18"/>
      <c r="AE151" s="18"/>
      <c r="AF151" s="18"/>
      <c r="AG151" s="18">
        <f t="shared" si="20"/>
        <v>0</v>
      </c>
      <c r="AH151" s="18"/>
      <c r="AI151" s="18"/>
      <c r="AJ151" s="18"/>
      <c r="AK151" s="18"/>
      <c r="AL151" s="18"/>
      <c r="AM151" s="18">
        <f t="shared" si="21"/>
        <v>0</v>
      </c>
      <c r="AN151" s="18"/>
      <c r="AO151" s="18"/>
      <c r="AP151" s="18">
        <f t="shared" si="22"/>
        <v>0</v>
      </c>
      <c r="AQ151" s="32">
        <f t="shared" si="23"/>
        <v>2</v>
      </c>
    </row>
    <row r="152" spans="1:43" x14ac:dyDescent="0.35">
      <c r="A152" s="126" t="s">
        <v>581</v>
      </c>
      <c r="B152" s="126" t="s">
        <v>582</v>
      </c>
      <c r="C152" s="126" t="s">
        <v>1293</v>
      </c>
      <c r="D152" s="128">
        <v>2</v>
      </c>
      <c r="E152" s="128"/>
      <c r="F152" s="128">
        <v>1</v>
      </c>
      <c r="G152" s="128"/>
      <c r="H152" s="128"/>
      <c r="I152" s="18">
        <f t="shared" si="16"/>
        <v>3</v>
      </c>
      <c r="J152" s="128"/>
      <c r="K152" s="128"/>
      <c r="L152" s="128"/>
      <c r="M152" s="128"/>
      <c r="N152" s="128"/>
      <c r="O152" s="18">
        <f t="shared" si="17"/>
        <v>0</v>
      </c>
      <c r="P152" s="18"/>
      <c r="Q152" s="18"/>
      <c r="R152" s="18"/>
      <c r="S152" s="18"/>
      <c r="T152" s="18"/>
      <c r="U152" s="18">
        <f t="shared" si="18"/>
        <v>0</v>
      </c>
      <c r="V152" s="18"/>
      <c r="W152" s="18"/>
      <c r="X152" s="18"/>
      <c r="Y152" s="18"/>
      <c r="Z152" s="18"/>
      <c r="AA152" s="18">
        <f t="shared" si="19"/>
        <v>0</v>
      </c>
      <c r="AB152" s="18">
        <v>2</v>
      </c>
      <c r="AC152" s="18"/>
      <c r="AD152" s="18"/>
      <c r="AE152" s="18"/>
      <c r="AF152" s="18"/>
      <c r="AG152" s="18">
        <f t="shared" si="20"/>
        <v>2</v>
      </c>
      <c r="AH152" s="18"/>
      <c r="AI152" s="18"/>
      <c r="AJ152" s="18"/>
      <c r="AK152" s="18"/>
      <c r="AL152" s="18"/>
      <c r="AM152" s="18">
        <f t="shared" si="21"/>
        <v>0</v>
      </c>
      <c r="AN152" s="18"/>
      <c r="AO152" s="18"/>
      <c r="AP152" s="18">
        <f t="shared" si="22"/>
        <v>0</v>
      </c>
      <c r="AQ152" s="32">
        <f t="shared" si="23"/>
        <v>5</v>
      </c>
    </row>
    <row r="153" spans="1:43" x14ac:dyDescent="0.35">
      <c r="A153" s="126" t="s">
        <v>583</v>
      </c>
      <c r="B153" s="126" t="s">
        <v>584</v>
      </c>
      <c r="C153" s="126" t="s">
        <v>1293</v>
      </c>
      <c r="D153" s="128">
        <v>15</v>
      </c>
      <c r="E153" s="128">
        <v>7</v>
      </c>
      <c r="F153" s="128"/>
      <c r="G153" s="128"/>
      <c r="H153" s="128"/>
      <c r="I153" s="18">
        <f t="shared" si="16"/>
        <v>22</v>
      </c>
      <c r="J153" s="128"/>
      <c r="K153" s="128"/>
      <c r="L153" s="128"/>
      <c r="M153" s="128"/>
      <c r="N153" s="128"/>
      <c r="O153" s="18">
        <f t="shared" si="17"/>
        <v>0</v>
      </c>
      <c r="P153" s="18"/>
      <c r="Q153" s="18"/>
      <c r="R153" s="18"/>
      <c r="S153" s="18"/>
      <c r="T153" s="18"/>
      <c r="U153" s="18">
        <f t="shared" si="18"/>
        <v>0</v>
      </c>
      <c r="V153" s="18"/>
      <c r="W153" s="18"/>
      <c r="X153" s="18"/>
      <c r="Y153" s="18"/>
      <c r="Z153" s="18"/>
      <c r="AA153" s="18">
        <f t="shared" si="19"/>
        <v>0</v>
      </c>
      <c r="AB153" s="18">
        <v>1</v>
      </c>
      <c r="AC153" s="18"/>
      <c r="AD153" s="18">
        <v>1</v>
      </c>
      <c r="AE153" s="18"/>
      <c r="AF153" s="18"/>
      <c r="AG153" s="18">
        <f t="shared" si="20"/>
        <v>2</v>
      </c>
      <c r="AH153" s="18"/>
      <c r="AI153" s="18"/>
      <c r="AJ153" s="18"/>
      <c r="AK153" s="18"/>
      <c r="AL153" s="18"/>
      <c r="AM153" s="18">
        <f t="shared" si="21"/>
        <v>0</v>
      </c>
      <c r="AN153" s="18"/>
      <c r="AO153" s="18"/>
      <c r="AP153" s="18">
        <f t="shared" si="22"/>
        <v>0</v>
      </c>
      <c r="AQ153" s="32">
        <f t="shared" si="23"/>
        <v>24</v>
      </c>
    </row>
    <row r="154" spans="1:43" x14ac:dyDescent="0.35">
      <c r="A154" s="126" t="s">
        <v>585</v>
      </c>
      <c r="B154" s="126" t="s">
        <v>586</v>
      </c>
      <c r="C154" s="126" t="s">
        <v>1293</v>
      </c>
      <c r="D154" s="128">
        <v>15</v>
      </c>
      <c r="E154" s="128">
        <v>4</v>
      </c>
      <c r="F154" s="128">
        <v>2</v>
      </c>
      <c r="G154" s="128">
        <v>1</v>
      </c>
      <c r="H154" s="128"/>
      <c r="I154" s="18">
        <f t="shared" si="16"/>
        <v>22</v>
      </c>
      <c r="J154" s="128"/>
      <c r="K154" s="128"/>
      <c r="L154" s="128"/>
      <c r="M154" s="128"/>
      <c r="N154" s="128"/>
      <c r="O154" s="18">
        <f t="shared" si="17"/>
        <v>0</v>
      </c>
      <c r="P154" s="18"/>
      <c r="Q154" s="18"/>
      <c r="R154" s="18"/>
      <c r="S154" s="18"/>
      <c r="T154" s="18"/>
      <c r="U154" s="18">
        <f t="shared" si="18"/>
        <v>0</v>
      </c>
      <c r="V154" s="18">
        <v>1</v>
      </c>
      <c r="W154" s="18"/>
      <c r="X154" s="18"/>
      <c r="Y154" s="18"/>
      <c r="Z154" s="18"/>
      <c r="AA154" s="18">
        <f t="shared" si="19"/>
        <v>1</v>
      </c>
      <c r="AB154" s="18">
        <v>5</v>
      </c>
      <c r="AC154" s="18"/>
      <c r="AD154" s="18"/>
      <c r="AE154" s="18">
        <v>2</v>
      </c>
      <c r="AF154" s="18"/>
      <c r="AG154" s="18">
        <f t="shared" si="20"/>
        <v>7</v>
      </c>
      <c r="AH154" s="18"/>
      <c r="AI154" s="18"/>
      <c r="AJ154" s="18"/>
      <c r="AK154" s="18"/>
      <c r="AL154" s="18"/>
      <c r="AM154" s="18">
        <f t="shared" si="21"/>
        <v>0</v>
      </c>
      <c r="AN154" s="18"/>
      <c r="AO154" s="18"/>
      <c r="AP154" s="18">
        <f t="shared" si="22"/>
        <v>0</v>
      </c>
      <c r="AQ154" s="32">
        <f t="shared" si="23"/>
        <v>30</v>
      </c>
    </row>
    <row r="155" spans="1:43" x14ac:dyDescent="0.35">
      <c r="A155" s="126" t="s">
        <v>587</v>
      </c>
      <c r="B155" s="126" t="s">
        <v>588</v>
      </c>
      <c r="C155" s="126" t="s">
        <v>1293</v>
      </c>
      <c r="D155" s="128">
        <v>23</v>
      </c>
      <c r="E155" s="128">
        <v>7</v>
      </c>
      <c r="F155" s="128"/>
      <c r="G155" s="128"/>
      <c r="H155" s="128"/>
      <c r="I155" s="18">
        <f t="shared" si="16"/>
        <v>30</v>
      </c>
      <c r="J155" s="128"/>
      <c r="K155" s="128"/>
      <c r="L155" s="128"/>
      <c r="M155" s="128"/>
      <c r="N155" s="128"/>
      <c r="O155" s="18">
        <f t="shared" si="17"/>
        <v>0</v>
      </c>
      <c r="P155" s="18"/>
      <c r="Q155" s="18"/>
      <c r="R155" s="18"/>
      <c r="S155" s="18"/>
      <c r="T155" s="18"/>
      <c r="U155" s="18">
        <f t="shared" si="18"/>
        <v>0</v>
      </c>
      <c r="V155" s="18"/>
      <c r="W155" s="18"/>
      <c r="X155" s="18"/>
      <c r="Y155" s="18"/>
      <c r="Z155" s="18"/>
      <c r="AA155" s="18">
        <f t="shared" si="19"/>
        <v>0</v>
      </c>
      <c r="AB155" s="18">
        <v>5</v>
      </c>
      <c r="AC155" s="18">
        <v>1</v>
      </c>
      <c r="AD155" s="18"/>
      <c r="AE155" s="18"/>
      <c r="AF155" s="18"/>
      <c r="AG155" s="18">
        <f t="shared" si="20"/>
        <v>6</v>
      </c>
      <c r="AH155" s="18"/>
      <c r="AI155" s="18"/>
      <c r="AJ155" s="18"/>
      <c r="AK155" s="18"/>
      <c r="AL155" s="18"/>
      <c r="AM155" s="18">
        <f t="shared" si="21"/>
        <v>0</v>
      </c>
      <c r="AN155" s="18"/>
      <c r="AO155" s="18"/>
      <c r="AP155" s="18">
        <f t="shared" si="22"/>
        <v>0</v>
      </c>
      <c r="AQ155" s="32">
        <f t="shared" si="23"/>
        <v>36</v>
      </c>
    </row>
    <row r="156" spans="1:43" x14ac:dyDescent="0.35">
      <c r="A156" s="126" t="s">
        <v>589</v>
      </c>
      <c r="B156" s="126" t="s">
        <v>590</v>
      </c>
      <c r="C156" s="126" t="s">
        <v>1293</v>
      </c>
      <c r="D156" s="128">
        <v>4</v>
      </c>
      <c r="E156" s="128"/>
      <c r="F156" s="128"/>
      <c r="G156" s="128"/>
      <c r="H156" s="128"/>
      <c r="I156" s="18">
        <f t="shared" si="16"/>
        <v>4</v>
      </c>
      <c r="J156" s="128"/>
      <c r="K156" s="128"/>
      <c r="L156" s="128"/>
      <c r="M156" s="128"/>
      <c r="N156" s="128"/>
      <c r="O156" s="18">
        <f t="shared" si="17"/>
        <v>0</v>
      </c>
      <c r="P156" s="18"/>
      <c r="Q156" s="18"/>
      <c r="R156" s="18"/>
      <c r="S156" s="18"/>
      <c r="T156" s="18"/>
      <c r="U156" s="18">
        <f t="shared" si="18"/>
        <v>0</v>
      </c>
      <c r="V156" s="18"/>
      <c r="W156" s="18"/>
      <c r="X156" s="18"/>
      <c r="Y156" s="18"/>
      <c r="Z156" s="18"/>
      <c r="AA156" s="18">
        <f t="shared" si="19"/>
        <v>0</v>
      </c>
      <c r="AB156" s="18">
        <v>1</v>
      </c>
      <c r="AC156" s="18"/>
      <c r="AD156" s="18"/>
      <c r="AE156" s="18"/>
      <c r="AF156" s="18"/>
      <c r="AG156" s="18">
        <f t="shared" si="20"/>
        <v>1</v>
      </c>
      <c r="AH156" s="18"/>
      <c r="AI156" s="18"/>
      <c r="AJ156" s="18"/>
      <c r="AK156" s="18"/>
      <c r="AL156" s="18"/>
      <c r="AM156" s="18">
        <f t="shared" si="21"/>
        <v>0</v>
      </c>
      <c r="AN156" s="18"/>
      <c r="AO156" s="18"/>
      <c r="AP156" s="18">
        <f t="shared" si="22"/>
        <v>0</v>
      </c>
      <c r="AQ156" s="32">
        <f t="shared" si="23"/>
        <v>5</v>
      </c>
    </row>
    <row r="157" spans="1:43" x14ac:dyDescent="0.35">
      <c r="A157" s="126" t="s">
        <v>591</v>
      </c>
      <c r="B157" s="126" t="s">
        <v>592</v>
      </c>
      <c r="C157" s="126" t="s">
        <v>1293</v>
      </c>
      <c r="D157" s="128">
        <v>6</v>
      </c>
      <c r="E157" s="128">
        <v>3</v>
      </c>
      <c r="F157" s="128"/>
      <c r="G157" s="128"/>
      <c r="H157" s="128"/>
      <c r="I157" s="18">
        <f t="shared" si="16"/>
        <v>9</v>
      </c>
      <c r="J157" s="128"/>
      <c r="K157" s="128"/>
      <c r="L157" s="128"/>
      <c r="M157" s="128"/>
      <c r="N157" s="128"/>
      <c r="O157" s="18">
        <f t="shared" si="17"/>
        <v>0</v>
      </c>
      <c r="P157" s="18"/>
      <c r="Q157" s="18"/>
      <c r="R157" s="18"/>
      <c r="S157" s="18"/>
      <c r="T157" s="18"/>
      <c r="U157" s="18">
        <f t="shared" si="18"/>
        <v>0</v>
      </c>
      <c r="V157" s="18"/>
      <c r="W157" s="18"/>
      <c r="X157" s="18"/>
      <c r="Y157" s="18"/>
      <c r="Z157" s="18"/>
      <c r="AA157" s="18">
        <f t="shared" si="19"/>
        <v>0</v>
      </c>
      <c r="AB157" s="18">
        <v>2</v>
      </c>
      <c r="AC157" s="18"/>
      <c r="AD157" s="18"/>
      <c r="AE157" s="18"/>
      <c r="AF157" s="18"/>
      <c r="AG157" s="18">
        <f t="shared" si="20"/>
        <v>2</v>
      </c>
      <c r="AH157" s="18"/>
      <c r="AI157" s="18"/>
      <c r="AJ157" s="18"/>
      <c r="AK157" s="18"/>
      <c r="AL157" s="18"/>
      <c r="AM157" s="18">
        <f t="shared" si="21"/>
        <v>0</v>
      </c>
      <c r="AN157" s="18"/>
      <c r="AO157" s="18"/>
      <c r="AP157" s="18">
        <f t="shared" si="22"/>
        <v>0</v>
      </c>
      <c r="AQ157" s="32">
        <f t="shared" si="23"/>
        <v>11</v>
      </c>
    </row>
    <row r="158" spans="1:43" x14ac:dyDescent="0.35">
      <c r="A158" s="126" t="s">
        <v>593</v>
      </c>
      <c r="B158" s="126" t="s">
        <v>594</v>
      </c>
      <c r="C158" s="126" t="s">
        <v>1293</v>
      </c>
      <c r="D158" s="128">
        <v>4</v>
      </c>
      <c r="E158" s="128"/>
      <c r="F158" s="128"/>
      <c r="G158" s="128"/>
      <c r="H158" s="128"/>
      <c r="I158" s="18">
        <f t="shared" si="16"/>
        <v>4</v>
      </c>
      <c r="J158" s="128"/>
      <c r="K158" s="128"/>
      <c r="L158" s="128"/>
      <c r="M158" s="128"/>
      <c r="N158" s="128"/>
      <c r="O158" s="18">
        <f t="shared" si="17"/>
        <v>0</v>
      </c>
      <c r="P158" s="18"/>
      <c r="Q158" s="18"/>
      <c r="R158" s="18"/>
      <c r="S158" s="18"/>
      <c r="T158" s="18"/>
      <c r="U158" s="18">
        <f t="shared" si="18"/>
        <v>0</v>
      </c>
      <c r="V158" s="18"/>
      <c r="W158" s="18"/>
      <c r="X158" s="18"/>
      <c r="Y158" s="18"/>
      <c r="Z158" s="18"/>
      <c r="AA158" s="18">
        <f t="shared" si="19"/>
        <v>0</v>
      </c>
      <c r="AB158" s="18"/>
      <c r="AC158" s="18"/>
      <c r="AD158" s="18"/>
      <c r="AE158" s="18"/>
      <c r="AF158" s="18"/>
      <c r="AG158" s="18">
        <f t="shared" si="20"/>
        <v>0</v>
      </c>
      <c r="AH158" s="18"/>
      <c r="AI158" s="18"/>
      <c r="AJ158" s="18"/>
      <c r="AK158" s="18"/>
      <c r="AL158" s="18"/>
      <c r="AM158" s="18">
        <f t="shared" si="21"/>
        <v>0</v>
      </c>
      <c r="AN158" s="18"/>
      <c r="AO158" s="18"/>
      <c r="AP158" s="18">
        <f t="shared" si="22"/>
        <v>0</v>
      </c>
      <c r="AQ158" s="32">
        <f t="shared" si="23"/>
        <v>4</v>
      </c>
    </row>
    <row r="159" spans="1:43" x14ac:dyDescent="0.35">
      <c r="A159" s="126" t="s">
        <v>595</v>
      </c>
      <c r="B159" s="126" t="s">
        <v>596</v>
      </c>
      <c r="C159" s="126" t="s">
        <v>1293</v>
      </c>
      <c r="D159" s="128">
        <v>4</v>
      </c>
      <c r="E159" s="128"/>
      <c r="F159" s="128"/>
      <c r="G159" s="128"/>
      <c r="H159" s="128"/>
      <c r="I159" s="18">
        <f t="shared" si="16"/>
        <v>4</v>
      </c>
      <c r="J159" s="128"/>
      <c r="K159" s="128"/>
      <c r="L159" s="128"/>
      <c r="M159" s="128"/>
      <c r="N159" s="128"/>
      <c r="O159" s="18">
        <f t="shared" si="17"/>
        <v>0</v>
      </c>
      <c r="P159" s="18"/>
      <c r="Q159" s="18"/>
      <c r="R159" s="18"/>
      <c r="S159" s="18"/>
      <c r="T159" s="18"/>
      <c r="U159" s="18">
        <f t="shared" si="18"/>
        <v>0</v>
      </c>
      <c r="V159" s="18">
        <v>1</v>
      </c>
      <c r="W159" s="18"/>
      <c r="X159" s="18"/>
      <c r="Y159" s="18"/>
      <c r="Z159" s="18"/>
      <c r="AA159" s="18">
        <f t="shared" si="19"/>
        <v>1</v>
      </c>
      <c r="AB159" s="18"/>
      <c r="AC159" s="18"/>
      <c r="AD159" s="18"/>
      <c r="AE159" s="18"/>
      <c r="AF159" s="18"/>
      <c r="AG159" s="18">
        <f t="shared" si="20"/>
        <v>0</v>
      </c>
      <c r="AH159" s="18"/>
      <c r="AI159" s="18"/>
      <c r="AJ159" s="18"/>
      <c r="AK159" s="18"/>
      <c r="AL159" s="18"/>
      <c r="AM159" s="18">
        <f t="shared" si="21"/>
        <v>0</v>
      </c>
      <c r="AN159" s="18"/>
      <c r="AO159" s="18"/>
      <c r="AP159" s="18">
        <f t="shared" si="22"/>
        <v>0</v>
      </c>
      <c r="AQ159" s="32">
        <f t="shared" si="23"/>
        <v>5</v>
      </c>
    </row>
    <row r="160" spans="1:43" x14ac:dyDescent="0.35">
      <c r="A160" s="126" t="s">
        <v>597</v>
      </c>
      <c r="B160" s="126" t="s">
        <v>598</v>
      </c>
      <c r="C160" s="126" t="s">
        <v>1293</v>
      </c>
      <c r="D160" s="128">
        <v>14</v>
      </c>
      <c r="E160" s="128">
        <v>2</v>
      </c>
      <c r="F160" s="128"/>
      <c r="G160" s="128"/>
      <c r="H160" s="128"/>
      <c r="I160" s="18">
        <f t="shared" si="16"/>
        <v>16</v>
      </c>
      <c r="J160" s="128"/>
      <c r="K160" s="128"/>
      <c r="L160" s="128"/>
      <c r="M160" s="128"/>
      <c r="N160" s="128"/>
      <c r="O160" s="18">
        <f t="shared" si="17"/>
        <v>0</v>
      </c>
      <c r="P160" s="18"/>
      <c r="Q160" s="18"/>
      <c r="R160" s="18"/>
      <c r="S160" s="18"/>
      <c r="T160" s="18"/>
      <c r="U160" s="18">
        <f t="shared" si="18"/>
        <v>0</v>
      </c>
      <c r="V160" s="18"/>
      <c r="W160" s="18"/>
      <c r="X160" s="18"/>
      <c r="Y160" s="18"/>
      <c r="Z160" s="18"/>
      <c r="AA160" s="18">
        <f t="shared" si="19"/>
        <v>0</v>
      </c>
      <c r="AB160" s="18"/>
      <c r="AC160" s="18"/>
      <c r="AD160" s="18"/>
      <c r="AE160" s="18"/>
      <c r="AF160" s="18"/>
      <c r="AG160" s="18">
        <f t="shared" si="20"/>
        <v>0</v>
      </c>
      <c r="AH160" s="18"/>
      <c r="AI160" s="18"/>
      <c r="AJ160" s="18"/>
      <c r="AK160" s="18"/>
      <c r="AL160" s="18"/>
      <c r="AM160" s="18">
        <f t="shared" si="21"/>
        <v>0</v>
      </c>
      <c r="AN160" s="18"/>
      <c r="AO160" s="18"/>
      <c r="AP160" s="18">
        <f t="shared" si="22"/>
        <v>0</v>
      </c>
      <c r="AQ160" s="32">
        <f t="shared" si="23"/>
        <v>16</v>
      </c>
    </row>
    <row r="161" spans="1:43" x14ac:dyDescent="0.35">
      <c r="A161" s="126" t="s">
        <v>599</v>
      </c>
      <c r="B161" s="126" t="s">
        <v>600</v>
      </c>
      <c r="C161" s="126" t="s">
        <v>1293</v>
      </c>
      <c r="D161" s="128">
        <v>10</v>
      </c>
      <c r="E161" s="128">
        <v>3</v>
      </c>
      <c r="F161" s="128">
        <v>3</v>
      </c>
      <c r="G161" s="128"/>
      <c r="H161" s="128"/>
      <c r="I161" s="18">
        <f t="shared" si="16"/>
        <v>16</v>
      </c>
      <c r="J161" s="128"/>
      <c r="K161" s="128"/>
      <c r="L161" s="128"/>
      <c r="M161" s="128"/>
      <c r="N161" s="128"/>
      <c r="O161" s="18">
        <f t="shared" si="17"/>
        <v>0</v>
      </c>
      <c r="P161" s="18"/>
      <c r="Q161" s="18"/>
      <c r="R161" s="18"/>
      <c r="S161" s="18"/>
      <c r="T161" s="18"/>
      <c r="U161" s="18">
        <f t="shared" si="18"/>
        <v>0</v>
      </c>
      <c r="V161" s="18"/>
      <c r="W161" s="18"/>
      <c r="X161" s="18"/>
      <c r="Y161" s="18"/>
      <c r="Z161" s="18"/>
      <c r="AA161" s="18">
        <f t="shared" si="19"/>
        <v>0</v>
      </c>
      <c r="AB161" s="18">
        <v>1</v>
      </c>
      <c r="AC161" s="18"/>
      <c r="AD161" s="18"/>
      <c r="AE161" s="18"/>
      <c r="AF161" s="18"/>
      <c r="AG161" s="18">
        <f t="shared" si="20"/>
        <v>1</v>
      </c>
      <c r="AH161" s="18"/>
      <c r="AI161" s="18"/>
      <c r="AJ161" s="18"/>
      <c r="AK161" s="18"/>
      <c r="AL161" s="18"/>
      <c r="AM161" s="18">
        <f t="shared" si="21"/>
        <v>0</v>
      </c>
      <c r="AN161" s="18"/>
      <c r="AO161" s="18"/>
      <c r="AP161" s="18">
        <f t="shared" si="22"/>
        <v>0</v>
      </c>
      <c r="AQ161" s="32">
        <f t="shared" si="23"/>
        <v>17</v>
      </c>
    </row>
    <row r="162" spans="1:43" x14ac:dyDescent="0.35">
      <c r="A162" s="126" t="s">
        <v>601</v>
      </c>
      <c r="B162" s="126" t="s">
        <v>602</v>
      </c>
      <c r="C162" s="126" t="s">
        <v>1293</v>
      </c>
      <c r="D162" s="128">
        <v>4</v>
      </c>
      <c r="E162" s="128"/>
      <c r="F162" s="128"/>
      <c r="G162" s="128"/>
      <c r="H162" s="128"/>
      <c r="I162" s="18">
        <f t="shared" si="16"/>
        <v>4</v>
      </c>
      <c r="J162" s="128"/>
      <c r="K162" s="128"/>
      <c r="L162" s="128"/>
      <c r="M162" s="128"/>
      <c r="N162" s="128"/>
      <c r="O162" s="18">
        <f t="shared" si="17"/>
        <v>0</v>
      </c>
      <c r="P162" s="18"/>
      <c r="Q162" s="18"/>
      <c r="R162" s="18"/>
      <c r="S162" s="18"/>
      <c r="T162" s="18"/>
      <c r="U162" s="18">
        <f t="shared" si="18"/>
        <v>0</v>
      </c>
      <c r="V162" s="18"/>
      <c r="W162" s="18"/>
      <c r="X162" s="18"/>
      <c r="Y162" s="18"/>
      <c r="Z162" s="18"/>
      <c r="AA162" s="18">
        <f t="shared" si="19"/>
        <v>0</v>
      </c>
      <c r="AB162" s="18"/>
      <c r="AC162" s="18"/>
      <c r="AD162" s="18"/>
      <c r="AE162" s="18"/>
      <c r="AF162" s="18"/>
      <c r="AG162" s="18">
        <f t="shared" si="20"/>
        <v>0</v>
      </c>
      <c r="AH162" s="18"/>
      <c r="AI162" s="18"/>
      <c r="AJ162" s="18"/>
      <c r="AK162" s="18"/>
      <c r="AL162" s="18"/>
      <c r="AM162" s="18">
        <f t="shared" si="21"/>
        <v>0</v>
      </c>
      <c r="AN162" s="18"/>
      <c r="AO162" s="18"/>
      <c r="AP162" s="18">
        <f t="shared" si="22"/>
        <v>0</v>
      </c>
      <c r="AQ162" s="32">
        <f t="shared" si="23"/>
        <v>4</v>
      </c>
    </row>
    <row r="163" spans="1:43" x14ac:dyDescent="0.35">
      <c r="A163" s="126" t="s">
        <v>603</v>
      </c>
      <c r="B163" s="126" t="s">
        <v>604</v>
      </c>
      <c r="C163" s="126" t="s">
        <v>1293</v>
      </c>
      <c r="D163" s="128">
        <v>2</v>
      </c>
      <c r="E163" s="128"/>
      <c r="F163" s="128"/>
      <c r="G163" s="128"/>
      <c r="H163" s="128"/>
      <c r="I163" s="18">
        <f t="shared" si="16"/>
        <v>2</v>
      </c>
      <c r="J163" s="128"/>
      <c r="K163" s="128"/>
      <c r="L163" s="128"/>
      <c r="M163" s="128"/>
      <c r="N163" s="128"/>
      <c r="O163" s="18">
        <f t="shared" si="17"/>
        <v>0</v>
      </c>
      <c r="P163" s="18"/>
      <c r="Q163" s="18"/>
      <c r="R163" s="18"/>
      <c r="S163" s="18"/>
      <c r="T163" s="18"/>
      <c r="U163" s="18">
        <f t="shared" si="18"/>
        <v>0</v>
      </c>
      <c r="V163" s="18"/>
      <c r="W163" s="18"/>
      <c r="X163" s="18"/>
      <c r="Y163" s="18"/>
      <c r="Z163" s="18"/>
      <c r="AA163" s="18">
        <f t="shared" si="19"/>
        <v>0</v>
      </c>
      <c r="AB163" s="18">
        <v>1</v>
      </c>
      <c r="AC163" s="18"/>
      <c r="AD163" s="18"/>
      <c r="AE163" s="18"/>
      <c r="AF163" s="18"/>
      <c r="AG163" s="18">
        <f t="shared" si="20"/>
        <v>1</v>
      </c>
      <c r="AH163" s="18"/>
      <c r="AI163" s="18"/>
      <c r="AJ163" s="18"/>
      <c r="AK163" s="18"/>
      <c r="AL163" s="18"/>
      <c r="AM163" s="18">
        <f t="shared" si="21"/>
        <v>0</v>
      </c>
      <c r="AN163" s="18"/>
      <c r="AO163" s="18"/>
      <c r="AP163" s="18">
        <f t="shared" si="22"/>
        <v>0</v>
      </c>
      <c r="AQ163" s="32">
        <f t="shared" si="23"/>
        <v>3</v>
      </c>
    </row>
    <row r="164" spans="1:43" x14ac:dyDescent="0.35">
      <c r="A164" s="126" t="s">
        <v>605</v>
      </c>
      <c r="B164" s="126" t="s">
        <v>606</v>
      </c>
      <c r="C164" s="126" t="s">
        <v>1293</v>
      </c>
      <c r="D164" s="128">
        <v>54</v>
      </c>
      <c r="E164" s="128">
        <v>11</v>
      </c>
      <c r="F164" s="128">
        <v>1</v>
      </c>
      <c r="G164" s="128"/>
      <c r="H164" s="128"/>
      <c r="I164" s="18">
        <f t="shared" si="16"/>
        <v>66</v>
      </c>
      <c r="J164" s="128">
        <v>1</v>
      </c>
      <c r="K164" s="128"/>
      <c r="L164" s="128"/>
      <c r="M164" s="128"/>
      <c r="N164" s="128"/>
      <c r="O164" s="18">
        <f t="shared" si="17"/>
        <v>1</v>
      </c>
      <c r="P164" s="18"/>
      <c r="Q164" s="18">
        <v>1</v>
      </c>
      <c r="R164" s="18"/>
      <c r="S164" s="18"/>
      <c r="T164" s="18"/>
      <c r="U164" s="18">
        <f t="shared" si="18"/>
        <v>1</v>
      </c>
      <c r="V164" s="18"/>
      <c r="W164" s="18"/>
      <c r="X164" s="18"/>
      <c r="Y164" s="18"/>
      <c r="Z164" s="18"/>
      <c r="AA164" s="18">
        <f t="shared" si="19"/>
        <v>0</v>
      </c>
      <c r="AB164" s="18">
        <v>8</v>
      </c>
      <c r="AC164" s="18">
        <v>1</v>
      </c>
      <c r="AD164" s="18">
        <v>1</v>
      </c>
      <c r="AE164" s="18"/>
      <c r="AF164" s="18"/>
      <c r="AG164" s="18">
        <f t="shared" si="20"/>
        <v>10</v>
      </c>
      <c r="AH164" s="18"/>
      <c r="AI164" s="18"/>
      <c r="AJ164" s="18"/>
      <c r="AK164" s="18"/>
      <c r="AL164" s="18"/>
      <c r="AM164" s="18">
        <f t="shared" si="21"/>
        <v>0</v>
      </c>
      <c r="AN164" s="18"/>
      <c r="AO164" s="18"/>
      <c r="AP164" s="18">
        <f t="shared" si="22"/>
        <v>0</v>
      </c>
      <c r="AQ164" s="32">
        <f t="shared" si="23"/>
        <v>78</v>
      </c>
    </row>
    <row r="165" spans="1:43" x14ac:dyDescent="0.35">
      <c r="A165" s="126" t="s">
        <v>607</v>
      </c>
      <c r="B165" s="126" t="s">
        <v>608</v>
      </c>
      <c r="C165" s="126" t="s">
        <v>1293</v>
      </c>
      <c r="D165" s="128">
        <v>5</v>
      </c>
      <c r="E165" s="128">
        <v>1</v>
      </c>
      <c r="F165" s="128">
        <v>1</v>
      </c>
      <c r="G165" s="128"/>
      <c r="H165" s="128"/>
      <c r="I165" s="18">
        <f t="shared" si="16"/>
        <v>7</v>
      </c>
      <c r="J165" s="128">
        <v>4</v>
      </c>
      <c r="K165" s="128"/>
      <c r="L165" s="128"/>
      <c r="M165" s="128"/>
      <c r="N165" s="128"/>
      <c r="O165" s="18">
        <f t="shared" si="17"/>
        <v>4</v>
      </c>
      <c r="P165" s="18">
        <v>1</v>
      </c>
      <c r="Q165" s="18"/>
      <c r="R165" s="18"/>
      <c r="S165" s="18"/>
      <c r="T165" s="18"/>
      <c r="U165" s="18">
        <f t="shared" si="18"/>
        <v>1</v>
      </c>
      <c r="V165" s="18"/>
      <c r="W165" s="18"/>
      <c r="X165" s="18"/>
      <c r="Y165" s="18"/>
      <c r="Z165" s="18"/>
      <c r="AA165" s="18">
        <f t="shared" si="19"/>
        <v>0</v>
      </c>
      <c r="AB165" s="18"/>
      <c r="AC165" s="18"/>
      <c r="AD165" s="18"/>
      <c r="AE165" s="18"/>
      <c r="AF165" s="18"/>
      <c r="AG165" s="18">
        <f t="shared" si="20"/>
        <v>0</v>
      </c>
      <c r="AH165" s="18"/>
      <c r="AI165" s="18"/>
      <c r="AJ165" s="18"/>
      <c r="AK165" s="18"/>
      <c r="AL165" s="18"/>
      <c r="AM165" s="18">
        <f t="shared" si="21"/>
        <v>0</v>
      </c>
      <c r="AN165" s="18"/>
      <c r="AO165" s="18"/>
      <c r="AP165" s="18">
        <f t="shared" si="22"/>
        <v>0</v>
      </c>
      <c r="AQ165" s="32">
        <f t="shared" si="23"/>
        <v>12</v>
      </c>
    </row>
    <row r="166" spans="1:43" x14ac:dyDescent="0.35">
      <c r="A166" s="126" t="s">
        <v>609</v>
      </c>
      <c r="B166" s="126" t="s">
        <v>610</v>
      </c>
      <c r="C166" s="126" t="s">
        <v>1293</v>
      </c>
      <c r="D166" s="128">
        <v>7</v>
      </c>
      <c r="E166" s="128">
        <v>1</v>
      </c>
      <c r="F166" s="128"/>
      <c r="G166" s="128"/>
      <c r="H166" s="128"/>
      <c r="I166" s="18">
        <f t="shared" si="16"/>
        <v>8</v>
      </c>
      <c r="J166" s="128"/>
      <c r="K166" s="128"/>
      <c r="L166" s="128"/>
      <c r="M166" s="128"/>
      <c r="N166" s="128"/>
      <c r="O166" s="18">
        <f t="shared" si="17"/>
        <v>0</v>
      </c>
      <c r="P166" s="18"/>
      <c r="Q166" s="18"/>
      <c r="R166" s="18"/>
      <c r="S166" s="18"/>
      <c r="T166" s="18"/>
      <c r="U166" s="18">
        <f t="shared" si="18"/>
        <v>0</v>
      </c>
      <c r="V166" s="18"/>
      <c r="W166" s="18"/>
      <c r="X166" s="18"/>
      <c r="Y166" s="18"/>
      <c r="Z166" s="18"/>
      <c r="AA166" s="18">
        <f t="shared" si="19"/>
        <v>0</v>
      </c>
      <c r="AB166" s="18">
        <v>2</v>
      </c>
      <c r="AC166" s="18"/>
      <c r="AD166" s="18"/>
      <c r="AE166" s="18"/>
      <c r="AF166" s="18"/>
      <c r="AG166" s="18">
        <f t="shared" si="20"/>
        <v>2</v>
      </c>
      <c r="AH166" s="18"/>
      <c r="AI166" s="18"/>
      <c r="AJ166" s="18"/>
      <c r="AK166" s="18"/>
      <c r="AL166" s="18"/>
      <c r="AM166" s="18">
        <f t="shared" si="21"/>
        <v>0</v>
      </c>
      <c r="AN166" s="18"/>
      <c r="AO166" s="18"/>
      <c r="AP166" s="18">
        <f t="shared" si="22"/>
        <v>0</v>
      </c>
      <c r="AQ166" s="32">
        <f t="shared" si="23"/>
        <v>10</v>
      </c>
    </row>
    <row r="167" spans="1:43" x14ac:dyDescent="0.35">
      <c r="A167" s="126" t="s">
        <v>611</v>
      </c>
      <c r="B167" s="126" t="s">
        <v>612</v>
      </c>
      <c r="C167" s="126" t="s">
        <v>1293</v>
      </c>
      <c r="D167" s="128">
        <v>3</v>
      </c>
      <c r="E167" s="128"/>
      <c r="F167" s="128"/>
      <c r="G167" s="128"/>
      <c r="H167" s="128"/>
      <c r="I167" s="18">
        <f t="shared" si="16"/>
        <v>3</v>
      </c>
      <c r="J167" s="128"/>
      <c r="K167" s="128"/>
      <c r="L167" s="128"/>
      <c r="M167" s="128"/>
      <c r="N167" s="128"/>
      <c r="O167" s="18">
        <f t="shared" si="17"/>
        <v>0</v>
      </c>
      <c r="P167" s="18"/>
      <c r="Q167" s="18"/>
      <c r="R167" s="18"/>
      <c r="S167" s="18"/>
      <c r="T167" s="18"/>
      <c r="U167" s="18">
        <f t="shared" si="18"/>
        <v>0</v>
      </c>
      <c r="V167" s="18"/>
      <c r="W167" s="18"/>
      <c r="X167" s="18"/>
      <c r="Y167" s="18"/>
      <c r="Z167" s="18"/>
      <c r="AA167" s="18">
        <f t="shared" si="19"/>
        <v>0</v>
      </c>
      <c r="AB167" s="18">
        <v>3</v>
      </c>
      <c r="AC167" s="18"/>
      <c r="AD167" s="18"/>
      <c r="AE167" s="18"/>
      <c r="AF167" s="18"/>
      <c r="AG167" s="18">
        <f t="shared" si="20"/>
        <v>3</v>
      </c>
      <c r="AH167" s="18"/>
      <c r="AI167" s="18"/>
      <c r="AJ167" s="18"/>
      <c r="AK167" s="18"/>
      <c r="AL167" s="18"/>
      <c r="AM167" s="18">
        <f t="shared" si="21"/>
        <v>0</v>
      </c>
      <c r="AN167" s="18"/>
      <c r="AO167" s="18"/>
      <c r="AP167" s="18">
        <f t="shared" si="22"/>
        <v>0</v>
      </c>
      <c r="AQ167" s="32">
        <f t="shared" si="23"/>
        <v>6</v>
      </c>
    </row>
    <row r="168" spans="1:43" x14ac:dyDescent="0.35">
      <c r="A168" s="126" t="s">
        <v>613</v>
      </c>
      <c r="B168" s="126" t="s">
        <v>614</v>
      </c>
      <c r="C168" s="126" t="s">
        <v>1293</v>
      </c>
      <c r="D168" s="128">
        <v>4</v>
      </c>
      <c r="E168" s="128">
        <v>4</v>
      </c>
      <c r="F168" s="128"/>
      <c r="G168" s="128"/>
      <c r="H168" s="128"/>
      <c r="I168" s="18">
        <f t="shared" si="16"/>
        <v>8</v>
      </c>
      <c r="J168" s="128">
        <v>1</v>
      </c>
      <c r="K168" s="128">
        <v>1</v>
      </c>
      <c r="L168" s="128"/>
      <c r="M168" s="128"/>
      <c r="N168" s="128"/>
      <c r="O168" s="18">
        <f t="shared" si="17"/>
        <v>2</v>
      </c>
      <c r="P168" s="18"/>
      <c r="Q168" s="18"/>
      <c r="R168" s="18"/>
      <c r="S168" s="18"/>
      <c r="T168" s="18"/>
      <c r="U168" s="18">
        <f t="shared" si="18"/>
        <v>0</v>
      </c>
      <c r="V168" s="18">
        <v>1</v>
      </c>
      <c r="W168" s="18"/>
      <c r="X168" s="18"/>
      <c r="Y168" s="18"/>
      <c r="Z168" s="18"/>
      <c r="AA168" s="18">
        <f t="shared" si="19"/>
        <v>1</v>
      </c>
      <c r="AB168" s="18"/>
      <c r="AC168" s="18">
        <v>1</v>
      </c>
      <c r="AD168" s="18"/>
      <c r="AE168" s="18"/>
      <c r="AF168" s="18"/>
      <c r="AG168" s="18">
        <f t="shared" si="20"/>
        <v>1</v>
      </c>
      <c r="AH168" s="18">
        <v>1</v>
      </c>
      <c r="AI168" s="18"/>
      <c r="AJ168" s="18"/>
      <c r="AK168" s="18"/>
      <c r="AL168" s="18"/>
      <c r="AM168" s="18">
        <f t="shared" si="21"/>
        <v>1</v>
      </c>
      <c r="AN168" s="18"/>
      <c r="AO168" s="18"/>
      <c r="AP168" s="18">
        <f t="shared" si="22"/>
        <v>0</v>
      </c>
      <c r="AQ168" s="32">
        <f t="shared" si="23"/>
        <v>13</v>
      </c>
    </row>
    <row r="169" spans="1:43" x14ac:dyDescent="0.35">
      <c r="A169" s="126" t="s">
        <v>615</v>
      </c>
      <c r="B169" s="126" t="s">
        <v>616</v>
      </c>
      <c r="C169" s="126" t="s">
        <v>1293</v>
      </c>
      <c r="D169" s="128">
        <v>10</v>
      </c>
      <c r="E169" s="128">
        <v>1</v>
      </c>
      <c r="F169" s="128"/>
      <c r="G169" s="128"/>
      <c r="H169" s="128"/>
      <c r="I169" s="18">
        <f t="shared" si="16"/>
        <v>11</v>
      </c>
      <c r="J169" s="128"/>
      <c r="K169" s="128"/>
      <c r="L169" s="128"/>
      <c r="M169" s="128"/>
      <c r="N169" s="128"/>
      <c r="O169" s="18">
        <f t="shared" si="17"/>
        <v>0</v>
      </c>
      <c r="P169" s="18"/>
      <c r="Q169" s="18"/>
      <c r="R169" s="18"/>
      <c r="S169" s="18"/>
      <c r="T169" s="18"/>
      <c r="U169" s="18">
        <f t="shared" si="18"/>
        <v>0</v>
      </c>
      <c r="V169" s="18"/>
      <c r="W169" s="18"/>
      <c r="X169" s="18"/>
      <c r="Y169" s="18"/>
      <c r="Z169" s="18"/>
      <c r="AA169" s="18">
        <f t="shared" si="19"/>
        <v>0</v>
      </c>
      <c r="AB169" s="18">
        <v>2</v>
      </c>
      <c r="AC169" s="18"/>
      <c r="AD169" s="18"/>
      <c r="AE169" s="18"/>
      <c r="AF169" s="18"/>
      <c r="AG169" s="18">
        <f t="shared" si="20"/>
        <v>2</v>
      </c>
      <c r="AH169" s="18"/>
      <c r="AI169" s="18"/>
      <c r="AJ169" s="18"/>
      <c r="AK169" s="18"/>
      <c r="AL169" s="18"/>
      <c r="AM169" s="18">
        <f t="shared" si="21"/>
        <v>0</v>
      </c>
      <c r="AN169" s="18"/>
      <c r="AO169" s="18"/>
      <c r="AP169" s="18">
        <f t="shared" si="22"/>
        <v>0</v>
      </c>
      <c r="AQ169" s="32">
        <f t="shared" si="23"/>
        <v>13</v>
      </c>
    </row>
    <row r="170" spans="1:43" x14ac:dyDescent="0.35">
      <c r="A170" s="126" t="s">
        <v>617</v>
      </c>
      <c r="B170" s="126" t="s">
        <v>618</v>
      </c>
      <c r="C170" s="126" t="s">
        <v>1293</v>
      </c>
      <c r="D170" s="128">
        <v>8</v>
      </c>
      <c r="E170" s="128">
        <v>2</v>
      </c>
      <c r="F170" s="128"/>
      <c r="G170" s="128"/>
      <c r="H170" s="128"/>
      <c r="I170" s="18">
        <f t="shared" si="16"/>
        <v>10</v>
      </c>
      <c r="J170" s="128"/>
      <c r="K170" s="128"/>
      <c r="L170" s="128"/>
      <c r="M170" s="128"/>
      <c r="N170" s="128"/>
      <c r="O170" s="18">
        <f t="shared" si="17"/>
        <v>0</v>
      </c>
      <c r="P170" s="18"/>
      <c r="Q170" s="18"/>
      <c r="R170" s="18"/>
      <c r="S170" s="18"/>
      <c r="T170" s="18"/>
      <c r="U170" s="18">
        <f t="shared" si="18"/>
        <v>0</v>
      </c>
      <c r="V170" s="18"/>
      <c r="W170" s="18"/>
      <c r="X170" s="18"/>
      <c r="Y170" s="18"/>
      <c r="Z170" s="18"/>
      <c r="AA170" s="18">
        <f t="shared" si="19"/>
        <v>0</v>
      </c>
      <c r="AB170" s="18"/>
      <c r="AC170" s="18"/>
      <c r="AD170" s="18"/>
      <c r="AE170" s="18"/>
      <c r="AF170" s="18"/>
      <c r="AG170" s="18">
        <f t="shared" si="20"/>
        <v>0</v>
      </c>
      <c r="AH170" s="18"/>
      <c r="AI170" s="18"/>
      <c r="AJ170" s="18"/>
      <c r="AK170" s="18"/>
      <c r="AL170" s="18"/>
      <c r="AM170" s="18">
        <f t="shared" si="21"/>
        <v>0</v>
      </c>
      <c r="AN170" s="18"/>
      <c r="AO170" s="18"/>
      <c r="AP170" s="18">
        <f t="shared" si="22"/>
        <v>0</v>
      </c>
      <c r="AQ170" s="32">
        <f t="shared" si="23"/>
        <v>10</v>
      </c>
    </row>
    <row r="171" spans="1:43" x14ac:dyDescent="0.35">
      <c r="A171" s="126" t="s">
        <v>619</v>
      </c>
      <c r="B171" s="126" t="s">
        <v>620</v>
      </c>
      <c r="C171" s="126" t="s">
        <v>1293</v>
      </c>
      <c r="D171" s="128">
        <v>34</v>
      </c>
      <c r="E171" s="128">
        <v>4</v>
      </c>
      <c r="F171" s="128">
        <v>1</v>
      </c>
      <c r="G171" s="128"/>
      <c r="H171" s="128"/>
      <c r="I171" s="18">
        <f t="shared" si="16"/>
        <v>39</v>
      </c>
      <c r="J171" s="128">
        <v>1</v>
      </c>
      <c r="K171" s="128"/>
      <c r="L171" s="128"/>
      <c r="M171" s="128"/>
      <c r="N171" s="128"/>
      <c r="O171" s="18">
        <f t="shared" si="17"/>
        <v>1</v>
      </c>
      <c r="P171" s="18"/>
      <c r="Q171" s="18"/>
      <c r="R171" s="18"/>
      <c r="S171" s="18"/>
      <c r="T171" s="18"/>
      <c r="U171" s="18">
        <f t="shared" si="18"/>
        <v>0</v>
      </c>
      <c r="V171" s="18"/>
      <c r="W171" s="18"/>
      <c r="X171" s="18"/>
      <c r="Y171" s="18"/>
      <c r="Z171" s="18"/>
      <c r="AA171" s="18">
        <f t="shared" si="19"/>
        <v>0</v>
      </c>
      <c r="AB171" s="18">
        <v>5</v>
      </c>
      <c r="AC171" s="18">
        <v>2</v>
      </c>
      <c r="AD171" s="18"/>
      <c r="AE171" s="18"/>
      <c r="AF171" s="18"/>
      <c r="AG171" s="18">
        <f t="shared" si="20"/>
        <v>7</v>
      </c>
      <c r="AH171" s="18"/>
      <c r="AI171" s="18"/>
      <c r="AJ171" s="18"/>
      <c r="AK171" s="18"/>
      <c r="AL171" s="18"/>
      <c r="AM171" s="18">
        <f t="shared" si="21"/>
        <v>0</v>
      </c>
      <c r="AN171" s="18"/>
      <c r="AO171" s="18"/>
      <c r="AP171" s="18">
        <f t="shared" si="22"/>
        <v>0</v>
      </c>
      <c r="AQ171" s="32">
        <f t="shared" si="23"/>
        <v>47</v>
      </c>
    </row>
    <row r="172" spans="1:43" x14ac:dyDescent="0.35">
      <c r="A172" s="126" t="s">
        <v>621</v>
      </c>
      <c r="B172" s="126" t="s">
        <v>622</v>
      </c>
      <c r="C172" s="126" t="s">
        <v>1293</v>
      </c>
      <c r="D172" s="128">
        <v>2</v>
      </c>
      <c r="E172" s="128">
        <v>1</v>
      </c>
      <c r="F172" s="128"/>
      <c r="G172" s="128"/>
      <c r="H172" s="128"/>
      <c r="I172" s="18">
        <f t="shared" si="16"/>
        <v>3</v>
      </c>
      <c r="J172" s="128"/>
      <c r="K172" s="128"/>
      <c r="L172" s="128"/>
      <c r="M172" s="128"/>
      <c r="N172" s="128"/>
      <c r="O172" s="18">
        <f t="shared" si="17"/>
        <v>0</v>
      </c>
      <c r="P172" s="18"/>
      <c r="Q172" s="18"/>
      <c r="R172" s="18"/>
      <c r="S172" s="18"/>
      <c r="T172" s="18"/>
      <c r="U172" s="18">
        <f t="shared" si="18"/>
        <v>0</v>
      </c>
      <c r="V172" s="18"/>
      <c r="W172" s="18"/>
      <c r="X172" s="18"/>
      <c r="Y172" s="18"/>
      <c r="Z172" s="18"/>
      <c r="AA172" s="18">
        <f t="shared" si="19"/>
        <v>0</v>
      </c>
      <c r="AB172" s="18">
        <v>1</v>
      </c>
      <c r="AC172" s="18"/>
      <c r="AD172" s="18"/>
      <c r="AE172" s="18"/>
      <c r="AF172" s="18"/>
      <c r="AG172" s="18">
        <f t="shared" si="20"/>
        <v>1</v>
      </c>
      <c r="AH172" s="18"/>
      <c r="AI172" s="18"/>
      <c r="AJ172" s="18"/>
      <c r="AK172" s="18"/>
      <c r="AL172" s="18"/>
      <c r="AM172" s="18">
        <f t="shared" si="21"/>
        <v>0</v>
      </c>
      <c r="AN172" s="18"/>
      <c r="AO172" s="18"/>
      <c r="AP172" s="18">
        <f t="shared" si="22"/>
        <v>0</v>
      </c>
      <c r="AQ172" s="32">
        <f t="shared" si="23"/>
        <v>4</v>
      </c>
    </row>
    <row r="173" spans="1:43" x14ac:dyDescent="0.35">
      <c r="A173" s="126" t="s">
        <v>623</v>
      </c>
      <c r="B173" s="126" t="s">
        <v>1372</v>
      </c>
      <c r="C173" s="126" t="s">
        <v>1293</v>
      </c>
      <c r="D173" s="128">
        <v>11</v>
      </c>
      <c r="E173" s="128">
        <v>1</v>
      </c>
      <c r="F173" s="128"/>
      <c r="G173" s="128"/>
      <c r="H173" s="128"/>
      <c r="I173" s="18">
        <f t="shared" si="16"/>
        <v>12</v>
      </c>
      <c r="J173" s="128">
        <v>1</v>
      </c>
      <c r="K173" s="128"/>
      <c r="L173" s="128"/>
      <c r="M173" s="128"/>
      <c r="N173" s="128"/>
      <c r="O173" s="18">
        <f t="shared" si="17"/>
        <v>1</v>
      </c>
      <c r="P173" s="18">
        <v>1</v>
      </c>
      <c r="Q173" s="18"/>
      <c r="R173" s="18"/>
      <c r="S173" s="18"/>
      <c r="T173" s="18"/>
      <c r="U173" s="18">
        <f t="shared" si="18"/>
        <v>1</v>
      </c>
      <c r="V173" s="18"/>
      <c r="W173" s="18"/>
      <c r="X173" s="18"/>
      <c r="Y173" s="18"/>
      <c r="Z173" s="18"/>
      <c r="AA173" s="18">
        <f t="shared" si="19"/>
        <v>0</v>
      </c>
      <c r="AB173" s="18">
        <v>7</v>
      </c>
      <c r="AC173" s="18">
        <v>3</v>
      </c>
      <c r="AD173" s="18">
        <v>1</v>
      </c>
      <c r="AE173" s="18"/>
      <c r="AF173" s="18"/>
      <c r="AG173" s="18">
        <f t="shared" si="20"/>
        <v>11</v>
      </c>
      <c r="AH173" s="18"/>
      <c r="AI173" s="18"/>
      <c r="AJ173" s="18"/>
      <c r="AK173" s="18"/>
      <c r="AL173" s="18"/>
      <c r="AM173" s="18">
        <f t="shared" si="21"/>
        <v>0</v>
      </c>
      <c r="AN173" s="18"/>
      <c r="AO173" s="18"/>
      <c r="AP173" s="18">
        <f t="shared" si="22"/>
        <v>0</v>
      </c>
      <c r="AQ173" s="32">
        <f t="shared" si="23"/>
        <v>25</v>
      </c>
    </row>
    <row r="174" spans="1:43" x14ac:dyDescent="0.35">
      <c r="A174" s="126" t="s">
        <v>624</v>
      </c>
      <c r="B174" s="126" t="s">
        <v>625</v>
      </c>
      <c r="C174" s="126" t="s">
        <v>1293</v>
      </c>
      <c r="D174" s="128">
        <v>62</v>
      </c>
      <c r="E174" s="128">
        <v>15</v>
      </c>
      <c r="F174" s="128">
        <v>3</v>
      </c>
      <c r="G174" s="128">
        <v>1</v>
      </c>
      <c r="H174" s="128"/>
      <c r="I174" s="18">
        <f t="shared" si="16"/>
        <v>81</v>
      </c>
      <c r="J174" s="128"/>
      <c r="K174" s="128"/>
      <c r="L174" s="128"/>
      <c r="M174" s="128"/>
      <c r="N174" s="128"/>
      <c r="O174" s="18">
        <f t="shared" si="17"/>
        <v>0</v>
      </c>
      <c r="P174" s="18"/>
      <c r="Q174" s="18"/>
      <c r="R174" s="18"/>
      <c r="S174" s="18"/>
      <c r="T174" s="18"/>
      <c r="U174" s="18">
        <f t="shared" si="18"/>
        <v>0</v>
      </c>
      <c r="V174" s="18"/>
      <c r="W174" s="18"/>
      <c r="X174" s="18"/>
      <c r="Y174" s="18"/>
      <c r="Z174" s="18"/>
      <c r="AA174" s="18">
        <f t="shared" si="19"/>
        <v>0</v>
      </c>
      <c r="AB174" s="18">
        <v>2</v>
      </c>
      <c r="AC174" s="18">
        <v>2</v>
      </c>
      <c r="AD174" s="18"/>
      <c r="AE174" s="18"/>
      <c r="AF174" s="18"/>
      <c r="AG174" s="18">
        <f t="shared" si="20"/>
        <v>4</v>
      </c>
      <c r="AH174" s="18"/>
      <c r="AI174" s="18"/>
      <c r="AJ174" s="18"/>
      <c r="AK174" s="18"/>
      <c r="AL174" s="18"/>
      <c r="AM174" s="18">
        <f t="shared" si="21"/>
        <v>0</v>
      </c>
      <c r="AN174" s="18"/>
      <c r="AO174" s="18"/>
      <c r="AP174" s="18">
        <f t="shared" si="22"/>
        <v>0</v>
      </c>
      <c r="AQ174" s="32">
        <f t="shared" si="23"/>
        <v>85</v>
      </c>
    </row>
    <row r="175" spans="1:43" x14ac:dyDescent="0.35">
      <c r="A175" s="126" t="s">
        <v>626</v>
      </c>
      <c r="B175" s="126" t="s">
        <v>627</v>
      </c>
      <c r="C175" s="126" t="s">
        <v>1293</v>
      </c>
      <c r="D175" s="128">
        <v>1</v>
      </c>
      <c r="E175" s="128"/>
      <c r="F175" s="128"/>
      <c r="G175" s="128"/>
      <c r="H175" s="128"/>
      <c r="I175" s="18">
        <f t="shared" si="16"/>
        <v>1</v>
      </c>
      <c r="J175" s="128"/>
      <c r="K175" s="128"/>
      <c r="L175" s="128"/>
      <c r="M175" s="128"/>
      <c r="N175" s="128"/>
      <c r="O175" s="18">
        <f t="shared" si="17"/>
        <v>0</v>
      </c>
      <c r="P175" s="18"/>
      <c r="Q175" s="18"/>
      <c r="R175" s="18"/>
      <c r="S175" s="18"/>
      <c r="T175" s="18"/>
      <c r="U175" s="18">
        <f t="shared" si="18"/>
        <v>0</v>
      </c>
      <c r="V175" s="18"/>
      <c r="W175" s="18"/>
      <c r="X175" s="18"/>
      <c r="Y175" s="18"/>
      <c r="Z175" s="18"/>
      <c r="AA175" s="18">
        <f t="shared" si="19"/>
        <v>0</v>
      </c>
      <c r="AB175" s="18"/>
      <c r="AC175" s="18"/>
      <c r="AD175" s="18"/>
      <c r="AE175" s="18"/>
      <c r="AF175" s="18"/>
      <c r="AG175" s="18">
        <f t="shared" si="20"/>
        <v>0</v>
      </c>
      <c r="AH175" s="18">
        <v>1</v>
      </c>
      <c r="AI175" s="18"/>
      <c r="AJ175" s="18"/>
      <c r="AK175" s="18"/>
      <c r="AL175" s="18"/>
      <c r="AM175" s="18">
        <f t="shared" si="21"/>
        <v>1</v>
      </c>
      <c r="AN175" s="18"/>
      <c r="AO175" s="18"/>
      <c r="AP175" s="18">
        <f t="shared" si="22"/>
        <v>0</v>
      </c>
      <c r="AQ175" s="32">
        <f t="shared" si="23"/>
        <v>2</v>
      </c>
    </row>
    <row r="176" spans="1:43" x14ac:dyDescent="0.35">
      <c r="A176" s="126" t="s">
        <v>628</v>
      </c>
      <c r="B176" s="126" t="s">
        <v>629</v>
      </c>
      <c r="C176" s="126" t="s">
        <v>1293</v>
      </c>
      <c r="D176" s="128">
        <v>1</v>
      </c>
      <c r="E176" s="128"/>
      <c r="F176" s="128">
        <v>1</v>
      </c>
      <c r="G176" s="128"/>
      <c r="H176" s="128"/>
      <c r="I176" s="18">
        <f t="shared" si="16"/>
        <v>2</v>
      </c>
      <c r="J176" s="128"/>
      <c r="K176" s="128"/>
      <c r="L176" s="128"/>
      <c r="M176" s="128"/>
      <c r="N176" s="128"/>
      <c r="O176" s="18">
        <f t="shared" si="17"/>
        <v>0</v>
      </c>
      <c r="P176" s="18"/>
      <c r="Q176" s="18"/>
      <c r="R176" s="18"/>
      <c r="S176" s="18"/>
      <c r="T176" s="18"/>
      <c r="U176" s="18">
        <f t="shared" si="18"/>
        <v>0</v>
      </c>
      <c r="V176" s="18"/>
      <c r="W176" s="18"/>
      <c r="X176" s="18"/>
      <c r="Y176" s="18"/>
      <c r="Z176" s="18"/>
      <c r="AA176" s="18">
        <f t="shared" si="19"/>
        <v>0</v>
      </c>
      <c r="AB176" s="18"/>
      <c r="AC176" s="18"/>
      <c r="AD176" s="18"/>
      <c r="AE176" s="18"/>
      <c r="AF176" s="18"/>
      <c r="AG176" s="18">
        <f t="shared" si="20"/>
        <v>0</v>
      </c>
      <c r="AH176" s="18"/>
      <c r="AI176" s="18"/>
      <c r="AJ176" s="18"/>
      <c r="AK176" s="18"/>
      <c r="AL176" s="18"/>
      <c r="AM176" s="18">
        <f t="shared" si="21"/>
        <v>0</v>
      </c>
      <c r="AN176" s="18"/>
      <c r="AO176" s="18"/>
      <c r="AP176" s="18">
        <f t="shared" si="22"/>
        <v>0</v>
      </c>
      <c r="AQ176" s="32">
        <f t="shared" si="23"/>
        <v>2</v>
      </c>
    </row>
    <row r="177" spans="1:43" x14ac:dyDescent="0.35">
      <c r="A177" s="126" t="s">
        <v>630</v>
      </c>
      <c r="B177" s="126" t="s">
        <v>631</v>
      </c>
      <c r="C177" s="126" t="s">
        <v>1293</v>
      </c>
      <c r="D177" s="128">
        <v>4</v>
      </c>
      <c r="E177" s="128"/>
      <c r="F177" s="128"/>
      <c r="G177" s="128"/>
      <c r="H177" s="128"/>
      <c r="I177" s="18">
        <f t="shared" si="16"/>
        <v>4</v>
      </c>
      <c r="J177" s="128"/>
      <c r="K177" s="128"/>
      <c r="L177" s="128"/>
      <c r="M177" s="128"/>
      <c r="N177" s="128"/>
      <c r="O177" s="18">
        <f t="shared" si="17"/>
        <v>0</v>
      </c>
      <c r="P177" s="18"/>
      <c r="Q177" s="18"/>
      <c r="R177" s="18"/>
      <c r="S177" s="18"/>
      <c r="T177" s="18"/>
      <c r="U177" s="18">
        <f t="shared" si="18"/>
        <v>0</v>
      </c>
      <c r="V177" s="18"/>
      <c r="W177" s="18"/>
      <c r="X177" s="18"/>
      <c r="Y177" s="18"/>
      <c r="Z177" s="18"/>
      <c r="AA177" s="18">
        <f t="shared" si="19"/>
        <v>0</v>
      </c>
      <c r="AB177" s="18"/>
      <c r="AC177" s="18"/>
      <c r="AD177" s="18"/>
      <c r="AE177" s="18"/>
      <c r="AF177" s="18"/>
      <c r="AG177" s="18">
        <f t="shared" si="20"/>
        <v>0</v>
      </c>
      <c r="AH177" s="18"/>
      <c r="AI177" s="18"/>
      <c r="AJ177" s="18"/>
      <c r="AK177" s="18"/>
      <c r="AL177" s="18"/>
      <c r="AM177" s="18">
        <f t="shared" si="21"/>
        <v>0</v>
      </c>
      <c r="AN177" s="18"/>
      <c r="AO177" s="18"/>
      <c r="AP177" s="18">
        <f t="shared" si="22"/>
        <v>0</v>
      </c>
      <c r="AQ177" s="32">
        <f t="shared" si="23"/>
        <v>4</v>
      </c>
    </row>
    <row r="178" spans="1:43" x14ac:dyDescent="0.35">
      <c r="A178" s="126" t="s">
        <v>632</v>
      </c>
      <c r="B178" s="126" t="s">
        <v>633</v>
      </c>
      <c r="C178" s="126" t="s">
        <v>1293</v>
      </c>
      <c r="D178" s="128">
        <v>5</v>
      </c>
      <c r="E178" s="128">
        <v>1</v>
      </c>
      <c r="F178" s="128"/>
      <c r="G178" s="128"/>
      <c r="H178" s="128"/>
      <c r="I178" s="18">
        <f t="shared" si="16"/>
        <v>6</v>
      </c>
      <c r="J178" s="128"/>
      <c r="K178" s="128"/>
      <c r="L178" s="128"/>
      <c r="M178" s="128"/>
      <c r="N178" s="128"/>
      <c r="O178" s="18">
        <f t="shared" si="17"/>
        <v>0</v>
      </c>
      <c r="P178" s="18"/>
      <c r="Q178" s="18"/>
      <c r="R178" s="18"/>
      <c r="S178" s="18"/>
      <c r="T178" s="18"/>
      <c r="U178" s="18">
        <f t="shared" si="18"/>
        <v>0</v>
      </c>
      <c r="V178" s="18"/>
      <c r="W178" s="18"/>
      <c r="X178" s="18"/>
      <c r="Y178" s="18"/>
      <c r="Z178" s="18"/>
      <c r="AA178" s="18">
        <f t="shared" si="19"/>
        <v>0</v>
      </c>
      <c r="AB178" s="18"/>
      <c r="AC178" s="18"/>
      <c r="AD178" s="18"/>
      <c r="AE178" s="18">
        <v>1</v>
      </c>
      <c r="AF178" s="18"/>
      <c r="AG178" s="18">
        <f t="shared" si="20"/>
        <v>1</v>
      </c>
      <c r="AH178" s="18"/>
      <c r="AI178" s="18"/>
      <c r="AJ178" s="18"/>
      <c r="AK178" s="18"/>
      <c r="AL178" s="18"/>
      <c r="AM178" s="18">
        <f t="shared" si="21"/>
        <v>0</v>
      </c>
      <c r="AN178" s="18"/>
      <c r="AO178" s="18"/>
      <c r="AP178" s="18">
        <f t="shared" si="22"/>
        <v>0</v>
      </c>
      <c r="AQ178" s="32">
        <f t="shared" si="23"/>
        <v>7</v>
      </c>
    </row>
    <row r="179" spans="1:43" x14ac:dyDescent="0.35">
      <c r="A179" s="126" t="s">
        <v>634</v>
      </c>
      <c r="B179" s="126" t="s">
        <v>635</v>
      </c>
      <c r="C179" s="126" t="s">
        <v>1293</v>
      </c>
      <c r="D179" s="128">
        <v>12</v>
      </c>
      <c r="E179" s="128"/>
      <c r="F179" s="128"/>
      <c r="G179" s="128"/>
      <c r="H179" s="128"/>
      <c r="I179" s="18">
        <f t="shared" si="16"/>
        <v>12</v>
      </c>
      <c r="J179" s="128"/>
      <c r="K179" s="128"/>
      <c r="L179" s="128"/>
      <c r="M179" s="128"/>
      <c r="N179" s="128"/>
      <c r="O179" s="18">
        <f t="shared" si="17"/>
        <v>0</v>
      </c>
      <c r="P179" s="18"/>
      <c r="Q179" s="18"/>
      <c r="R179" s="18"/>
      <c r="S179" s="18"/>
      <c r="T179" s="18"/>
      <c r="U179" s="18">
        <f t="shared" si="18"/>
        <v>0</v>
      </c>
      <c r="V179" s="18"/>
      <c r="W179" s="18"/>
      <c r="X179" s="18"/>
      <c r="Y179" s="18"/>
      <c r="Z179" s="18"/>
      <c r="AA179" s="18">
        <f t="shared" si="19"/>
        <v>0</v>
      </c>
      <c r="AB179" s="18">
        <v>3</v>
      </c>
      <c r="AC179" s="18"/>
      <c r="AD179" s="18"/>
      <c r="AE179" s="18"/>
      <c r="AF179" s="18"/>
      <c r="AG179" s="18">
        <f t="shared" si="20"/>
        <v>3</v>
      </c>
      <c r="AH179" s="18"/>
      <c r="AI179" s="18"/>
      <c r="AJ179" s="18"/>
      <c r="AK179" s="18"/>
      <c r="AL179" s="18"/>
      <c r="AM179" s="18">
        <f t="shared" si="21"/>
        <v>0</v>
      </c>
      <c r="AN179" s="18"/>
      <c r="AO179" s="18"/>
      <c r="AP179" s="18">
        <f t="shared" si="22"/>
        <v>0</v>
      </c>
      <c r="AQ179" s="32">
        <f t="shared" si="23"/>
        <v>15</v>
      </c>
    </row>
    <row r="180" spans="1:43" x14ac:dyDescent="0.35">
      <c r="A180" s="126" t="s">
        <v>636</v>
      </c>
      <c r="B180" s="126" t="s">
        <v>637</v>
      </c>
      <c r="C180" s="126" t="s">
        <v>1293</v>
      </c>
      <c r="D180" s="128">
        <v>2</v>
      </c>
      <c r="E180" s="128">
        <v>1</v>
      </c>
      <c r="F180" s="128"/>
      <c r="G180" s="128"/>
      <c r="H180" s="128"/>
      <c r="I180" s="18">
        <f t="shared" si="16"/>
        <v>3</v>
      </c>
      <c r="J180" s="128"/>
      <c r="K180" s="128"/>
      <c r="L180" s="128"/>
      <c r="M180" s="128"/>
      <c r="N180" s="128"/>
      <c r="O180" s="18">
        <f t="shared" si="17"/>
        <v>0</v>
      </c>
      <c r="P180" s="18"/>
      <c r="Q180" s="18"/>
      <c r="R180" s="18"/>
      <c r="S180" s="18"/>
      <c r="T180" s="18"/>
      <c r="U180" s="18">
        <f t="shared" si="18"/>
        <v>0</v>
      </c>
      <c r="V180" s="18"/>
      <c r="W180" s="18"/>
      <c r="X180" s="18"/>
      <c r="Y180" s="18"/>
      <c r="Z180" s="18"/>
      <c r="AA180" s="18">
        <f t="shared" si="19"/>
        <v>0</v>
      </c>
      <c r="AB180" s="18"/>
      <c r="AC180" s="18"/>
      <c r="AD180" s="18"/>
      <c r="AE180" s="18"/>
      <c r="AF180" s="18"/>
      <c r="AG180" s="18">
        <f t="shared" si="20"/>
        <v>0</v>
      </c>
      <c r="AH180" s="18"/>
      <c r="AI180" s="18"/>
      <c r="AJ180" s="18"/>
      <c r="AK180" s="18"/>
      <c r="AL180" s="18"/>
      <c r="AM180" s="18">
        <f t="shared" si="21"/>
        <v>0</v>
      </c>
      <c r="AN180" s="18"/>
      <c r="AO180" s="18"/>
      <c r="AP180" s="18">
        <f t="shared" si="22"/>
        <v>0</v>
      </c>
      <c r="AQ180" s="32">
        <f t="shared" si="23"/>
        <v>3</v>
      </c>
    </row>
    <row r="181" spans="1:43" x14ac:dyDescent="0.35">
      <c r="A181" s="126" t="s">
        <v>638</v>
      </c>
      <c r="B181" s="126" t="s">
        <v>1227</v>
      </c>
      <c r="C181" s="126" t="s">
        <v>1293</v>
      </c>
      <c r="D181" s="128">
        <v>497</v>
      </c>
      <c r="E181" s="128">
        <v>36</v>
      </c>
      <c r="F181" s="128">
        <v>1</v>
      </c>
      <c r="G181" s="128"/>
      <c r="H181" s="128"/>
      <c r="I181" s="18">
        <f t="shared" si="16"/>
        <v>534</v>
      </c>
      <c r="J181" s="128">
        <v>28</v>
      </c>
      <c r="K181" s="128"/>
      <c r="L181" s="128"/>
      <c r="M181" s="128"/>
      <c r="N181" s="128"/>
      <c r="O181" s="18">
        <f t="shared" si="17"/>
        <v>28</v>
      </c>
      <c r="P181" s="18">
        <v>21</v>
      </c>
      <c r="Q181" s="18"/>
      <c r="R181" s="18"/>
      <c r="S181" s="18"/>
      <c r="T181" s="18"/>
      <c r="U181" s="18">
        <f t="shared" si="18"/>
        <v>21</v>
      </c>
      <c r="V181" s="18">
        <v>8</v>
      </c>
      <c r="W181" s="18"/>
      <c r="X181" s="18"/>
      <c r="Y181" s="18"/>
      <c r="Z181" s="18"/>
      <c r="AA181" s="18">
        <f t="shared" si="19"/>
        <v>8</v>
      </c>
      <c r="AB181" s="18">
        <v>104</v>
      </c>
      <c r="AC181" s="18">
        <v>6</v>
      </c>
      <c r="AD181" s="18"/>
      <c r="AE181" s="18"/>
      <c r="AF181" s="18"/>
      <c r="AG181" s="18">
        <f t="shared" si="20"/>
        <v>110</v>
      </c>
      <c r="AH181" s="18">
        <v>6</v>
      </c>
      <c r="AI181" s="18"/>
      <c r="AJ181" s="18"/>
      <c r="AK181" s="18"/>
      <c r="AL181" s="18"/>
      <c r="AM181" s="18">
        <f t="shared" si="21"/>
        <v>6</v>
      </c>
      <c r="AN181" s="18"/>
      <c r="AO181" s="18"/>
      <c r="AP181" s="18">
        <f t="shared" si="22"/>
        <v>0</v>
      </c>
      <c r="AQ181" s="32">
        <f t="shared" si="23"/>
        <v>707</v>
      </c>
    </row>
    <row r="182" spans="1:43" x14ac:dyDescent="0.35">
      <c r="A182" s="126" t="s">
        <v>639</v>
      </c>
      <c r="B182" s="126" t="s">
        <v>640</v>
      </c>
      <c r="C182" s="126" t="s">
        <v>1293</v>
      </c>
      <c r="D182" s="128">
        <v>69</v>
      </c>
      <c r="E182" s="128">
        <v>8</v>
      </c>
      <c r="F182" s="128"/>
      <c r="G182" s="128"/>
      <c r="H182" s="128"/>
      <c r="I182" s="18">
        <f t="shared" si="16"/>
        <v>77</v>
      </c>
      <c r="J182" s="128">
        <v>6</v>
      </c>
      <c r="K182" s="128"/>
      <c r="L182" s="128"/>
      <c r="M182" s="128"/>
      <c r="N182" s="128"/>
      <c r="O182" s="18">
        <f t="shared" si="17"/>
        <v>6</v>
      </c>
      <c r="P182" s="18">
        <v>3</v>
      </c>
      <c r="Q182" s="18"/>
      <c r="R182" s="18"/>
      <c r="S182" s="18"/>
      <c r="T182" s="18"/>
      <c r="U182" s="18">
        <f t="shared" si="18"/>
        <v>3</v>
      </c>
      <c r="V182" s="18"/>
      <c r="W182" s="18"/>
      <c r="X182" s="18"/>
      <c r="Y182" s="18"/>
      <c r="Z182" s="18"/>
      <c r="AA182" s="18">
        <f t="shared" si="19"/>
        <v>0</v>
      </c>
      <c r="AB182" s="18">
        <v>18</v>
      </c>
      <c r="AC182" s="18">
        <v>1</v>
      </c>
      <c r="AD182" s="18">
        <v>1</v>
      </c>
      <c r="AE182" s="18"/>
      <c r="AF182" s="18"/>
      <c r="AG182" s="18">
        <f t="shared" si="20"/>
        <v>20</v>
      </c>
      <c r="AH182" s="18">
        <v>1</v>
      </c>
      <c r="AI182" s="18"/>
      <c r="AJ182" s="18"/>
      <c r="AK182" s="18"/>
      <c r="AL182" s="18"/>
      <c r="AM182" s="18">
        <f t="shared" si="21"/>
        <v>1</v>
      </c>
      <c r="AN182" s="18"/>
      <c r="AO182" s="18"/>
      <c r="AP182" s="18">
        <f t="shared" si="22"/>
        <v>0</v>
      </c>
      <c r="AQ182" s="32">
        <f t="shared" si="23"/>
        <v>107</v>
      </c>
    </row>
    <row r="183" spans="1:43" x14ac:dyDescent="0.35">
      <c r="A183" s="126" t="s">
        <v>1373</v>
      </c>
      <c r="B183" s="126" t="s">
        <v>1374</v>
      </c>
      <c r="C183" s="126" t="s">
        <v>1293</v>
      </c>
      <c r="D183" s="128">
        <v>201</v>
      </c>
      <c r="E183" s="128">
        <v>6</v>
      </c>
      <c r="F183" s="128">
        <v>2</v>
      </c>
      <c r="G183" s="128"/>
      <c r="H183" s="128"/>
      <c r="I183" s="18">
        <f t="shared" si="16"/>
        <v>209</v>
      </c>
      <c r="J183" s="128">
        <v>10</v>
      </c>
      <c r="K183" s="128"/>
      <c r="L183" s="128"/>
      <c r="M183" s="128"/>
      <c r="N183" s="128"/>
      <c r="O183" s="18">
        <f t="shared" si="17"/>
        <v>10</v>
      </c>
      <c r="P183" s="18">
        <v>5</v>
      </c>
      <c r="Q183" s="18"/>
      <c r="R183" s="18"/>
      <c r="S183" s="18"/>
      <c r="T183" s="18"/>
      <c r="U183" s="18">
        <f t="shared" si="18"/>
        <v>5</v>
      </c>
      <c r="V183" s="18">
        <v>16</v>
      </c>
      <c r="W183" s="18"/>
      <c r="X183" s="18"/>
      <c r="Y183" s="18"/>
      <c r="Z183" s="18"/>
      <c r="AA183" s="18">
        <f t="shared" si="19"/>
        <v>16</v>
      </c>
      <c r="AB183" s="18">
        <v>16</v>
      </c>
      <c r="AC183" s="18">
        <v>1</v>
      </c>
      <c r="AD183" s="18"/>
      <c r="AE183" s="18"/>
      <c r="AF183" s="18"/>
      <c r="AG183" s="18">
        <f t="shared" si="20"/>
        <v>17</v>
      </c>
      <c r="AH183" s="18">
        <v>16</v>
      </c>
      <c r="AI183" s="18"/>
      <c r="AJ183" s="18"/>
      <c r="AK183" s="18"/>
      <c r="AL183" s="18"/>
      <c r="AM183" s="18">
        <f t="shared" si="21"/>
        <v>16</v>
      </c>
      <c r="AN183" s="18"/>
      <c r="AO183" s="18"/>
      <c r="AP183" s="18">
        <f t="shared" si="22"/>
        <v>0</v>
      </c>
      <c r="AQ183" s="32">
        <f t="shared" si="23"/>
        <v>273</v>
      </c>
    </row>
    <row r="184" spans="1:43" x14ac:dyDescent="0.35">
      <c r="A184" s="126" t="s">
        <v>1375</v>
      </c>
      <c r="B184" s="126" t="s">
        <v>1376</v>
      </c>
      <c r="C184" s="126" t="s">
        <v>1293</v>
      </c>
      <c r="D184" s="128">
        <v>108</v>
      </c>
      <c r="E184" s="128">
        <v>2</v>
      </c>
      <c r="F184" s="128"/>
      <c r="G184" s="128"/>
      <c r="H184" s="128"/>
      <c r="I184" s="18">
        <f t="shared" si="16"/>
        <v>110</v>
      </c>
      <c r="J184" s="128"/>
      <c r="K184" s="128"/>
      <c r="L184" s="128"/>
      <c r="M184" s="128"/>
      <c r="N184" s="128"/>
      <c r="O184" s="18">
        <f t="shared" si="17"/>
        <v>0</v>
      </c>
      <c r="P184" s="18">
        <v>1</v>
      </c>
      <c r="Q184" s="18"/>
      <c r="R184" s="18"/>
      <c r="S184" s="18"/>
      <c r="T184" s="18"/>
      <c r="U184" s="18">
        <f t="shared" si="18"/>
        <v>1</v>
      </c>
      <c r="V184" s="18">
        <v>5</v>
      </c>
      <c r="W184" s="18"/>
      <c r="X184" s="18"/>
      <c r="Y184" s="18"/>
      <c r="Z184" s="18"/>
      <c r="AA184" s="18">
        <f t="shared" si="19"/>
        <v>5</v>
      </c>
      <c r="AB184" s="18">
        <v>17</v>
      </c>
      <c r="AC184" s="18"/>
      <c r="AD184" s="18"/>
      <c r="AE184" s="18"/>
      <c r="AF184" s="18"/>
      <c r="AG184" s="18">
        <f t="shared" si="20"/>
        <v>17</v>
      </c>
      <c r="AH184" s="18">
        <v>1</v>
      </c>
      <c r="AI184" s="18"/>
      <c r="AJ184" s="18"/>
      <c r="AK184" s="18"/>
      <c r="AL184" s="18"/>
      <c r="AM184" s="18">
        <f t="shared" si="21"/>
        <v>1</v>
      </c>
      <c r="AN184" s="18"/>
      <c r="AO184" s="18"/>
      <c r="AP184" s="18">
        <f t="shared" si="22"/>
        <v>0</v>
      </c>
      <c r="AQ184" s="32">
        <f t="shared" si="23"/>
        <v>134</v>
      </c>
    </row>
    <row r="185" spans="1:43" x14ac:dyDescent="0.35">
      <c r="A185" s="126" t="s">
        <v>641</v>
      </c>
      <c r="B185" s="126" t="s">
        <v>642</v>
      </c>
      <c r="C185" s="126" t="s">
        <v>1293</v>
      </c>
      <c r="D185" s="128">
        <v>9</v>
      </c>
      <c r="E185" s="128"/>
      <c r="F185" s="128"/>
      <c r="G185" s="128"/>
      <c r="H185" s="128"/>
      <c r="I185" s="18">
        <f t="shared" si="16"/>
        <v>9</v>
      </c>
      <c r="J185" s="128"/>
      <c r="K185" s="128"/>
      <c r="L185" s="128"/>
      <c r="M185" s="128"/>
      <c r="N185" s="128"/>
      <c r="O185" s="18">
        <f t="shared" si="17"/>
        <v>0</v>
      </c>
      <c r="P185" s="18"/>
      <c r="Q185" s="18"/>
      <c r="R185" s="18"/>
      <c r="S185" s="18"/>
      <c r="T185" s="18"/>
      <c r="U185" s="18">
        <f t="shared" si="18"/>
        <v>0</v>
      </c>
      <c r="V185" s="18"/>
      <c r="W185" s="18"/>
      <c r="X185" s="18"/>
      <c r="Y185" s="18"/>
      <c r="Z185" s="18"/>
      <c r="AA185" s="18">
        <f t="shared" si="19"/>
        <v>0</v>
      </c>
      <c r="AB185" s="18"/>
      <c r="AC185" s="18"/>
      <c r="AD185" s="18"/>
      <c r="AE185" s="18"/>
      <c r="AF185" s="18"/>
      <c r="AG185" s="18">
        <f t="shared" si="20"/>
        <v>0</v>
      </c>
      <c r="AH185" s="18"/>
      <c r="AI185" s="18"/>
      <c r="AJ185" s="18"/>
      <c r="AK185" s="18"/>
      <c r="AL185" s="18"/>
      <c r="AM185" s="18">
        <f t="shared" si="21"/>
        <v>0</v>
      </c>
      <c r="AN185" s="18"/>
      <c r="AO185" s="18"/>
      <c r="AP185" s="18">
        <f t="shared" si="22"/>
        <v>0</v>
      </c>
      <c r="AQ185" s="32">
        <f t="shared" si="23"/>
        <v>9</v>
      </c>
    </row>
    <row r="186" spans="1:43" x14ac:dyDescent="0.35">
      <c r="A186" s="126" t="s">
        <v>643</v>
      </c>
      <c r="B186" s="126" t="s">
        <v>644</v>
      </c>
      <c r="C186" s="126" t="s">
        <v>1293</v>
      </c>
      <c r="D186" s="128">
        <v>25</v>
      </c>
      <c r="E186" s="128">
        <v>2</v>
      </c>
      <c r="F186" s="128"/>
      <c r="G186" s="128"/>
      <c r="H186" s="128"/>
      <c r="I186" s="18">
        <f t="shared" si="16"/>
        <v>27</v>
      </c>
      <c r="J186" s="128">
        <v>1</v>
      </c>
      <c r="K186" s="128"/>
      <c r="L186" s="128"/>
      <c r="M186" s="128"/>
      <c r="N186" s="128"/>
      <c r="O186" s="18">
        <f t="shared" si="17"/>
        <v>1</v>
      </c>
      <c r="P186" s="18"/>
      <c r="Q186" s="18"/>
      <c r="R186" s="18"/>
      <c r="S186" s="18"/>
      <c r="T186" s="18"/>
      <c r="U186" s="18">
        <f t="shared" si="18"/>
        <v>0</v>
      </c>
      <c r="V186" s="18"/>
      <c r="W186" s="18"/>
      <c r="X186" s="18"/>
      <c r="Y186" s="18"/>
      <c r="Z186" s="18"/>
      <c r="AA186" s="18">
        <f t="shared" si="19"/>
        <v>0</v>
      </c>
      <c r="AB186" s="18">
        <v>4</v>
      </c>
      <c r="AC186" s="18"/>
      <c r="AD186" s="18"/>
      <c r="AE186" s="18"/>
      <c r="AF186" s="18"/>
      <c r="AG186" s="18">
        <f t="shared" si="20"/>
        <v>4</v>
      </c>
      <c r="AH186" s="18"/>
      <c r="AI186" s="18"/>
      <c r="AJ186" s="18"/>
      <c r="AK186" s="18"/>
      <c r="AL186" s="18"/>
      <c r="AM186" s="18">
        <f t="shared" si="21"/>
        <v>0</v>
      </c>
      <c r="AN186" s="18"/>
      <c r="AO186" s="18"/>
      <c r="AP186" s="18">
        <f t="shared" si="22"/>
        <v>0</v>
      </c>
      <c r="AQ186" s="32">
        <f t="shared" si="23"/>
        <v>32</v>
      </c>
    </row>
    <row r="187" spans="1:43" x14ac:dyDescent="0.35">
      <c r="A187" s="126" t="s">
        <v>645</v>
      </c>
      <c r="B187" s="126" t="s">
        <v>646</v>
      </c>
      <c r="C187" s="126" t="s">
        <v>1293</v>
      </c>
      <c r="D187" s="128">
        <v>30</v>
      </c>
      <c r="E187" s="128">
        <v>2</v>
      </c>
      <c r="F187" s="128"/>
      <c r="G187" s="128"/>
      <c r="H187" s="128"/>
      <c r="I187" s="18">
        <f t="shared" si="16"/>
        <v>32</v>
      </c>
      <c r="J187" s="128"/>
      <c r="K187" s="128"/>
      <c r="L187" s="128"/>
      <c r="M187" s="128"/>
      <c r="N187" s="128"/>
      <c r="O187" s="18">
        <f t="shared" si="17"/>
        <v>0</v>
      </c>
      <c r="P187" s="18"/>
      <c r="Q187" s="18"/>
      <c r="R187" s="18"/>
      <c r="S187" s="18"/>
      <c r="T187" s="18"/>
      <c r="U187" s="18">
        <f t="shared" si="18"/>
        <v>0</v>
      </c>
      <c r="V187" s="18"/>
      <c r="W187" s="18"/>
      <c r="X187" s="18"/>
      <c r="Y187" s="18"/>
      <c r="Z187" s="18"/>
      <c r="AA187" s="18">
        <f t="shared" si="19"/>
        <v>0</v>
      </c>
      <c r="AB187" s="18">
        <v>1</v>
      </c>
      <c r="AC187" s="18"/>
      <c r="AD187" s="18"/>
      <c r="AE187" s="18"/>
      <c r="AF187" s="18"/>
      <c r="AG187" s="18">
        <f t="shared" si="20"/>
        <v>1</v>
      </c>
      <c r="AH187" s="18">
        <v>1</v>
      </c>
      <c r="AI187" s="18"/>
      <c r="AJ187" s="18"/>
      <c r="AK187" s="18"/>
      <c r="AL187" s="18"/>
      <c r="AM187" s="18">
        <f t="shared" si="21"/>
        <v>1</v>
      </c>
      <c r="AN187" s="18"/>
      <c r="AO187" s="18"/>
      <c r="AP187" s="18">
        <f t="shared" si="22"/>
        <v>0</v>
      </c>
      <c r="AQ187" s="32">
        <f t="shared" si="23"/>
        <v>34</v>
      </c>
    </row>
    <row r="188" spans="1:43" x14ac:dyDescent="0.35">
      <c r="A188" s="126" t="s">
        <v>647</v>
      </c>
      <c r="B188" s="126" t="s">
        <v>648</v>
      </c>
      <c r="C188" s="126" t="s">
        <v>1293</v>
      </c>
      <c r="D188" s="128">
        <v>188</v>
      </c>
      <c r="E188" s="128">
        <v>14</v>
      </c>
      <c r="F188" s="128">
        <v>1</v>
      </c>
      <c r="G188" s="128"/>
      <c r="H188" s="128"/>
      <c r="I188" s="18">
        <f t="shared" si="16"/>
        <v>203</v>
      </c>
      <c r="J188" s="128">
        <v>6</v>
      </c>
      <c r="K188" s="128"/>
      <c r="L188" s="128"/>
      <c r="M188" s="128"/>
      <c r="N188" s="128"/>
      <c r="O188" s="18">
        <f t="shared" si="17"/>
        <v>6</v>
      </c>
      <c r="P188" s="18">
        <v>2</v>
      </c>
      <c r="Q188" s="18"/>
      <c r="R188" s="18"/>
      <c r="S188" s="18"/>
      <c r="T188" s="18"/>
      <c r="U188" s="18">
        <f t="shared" si="18"/>
        <v>2</v>
      </c>
      <c r="V188" s="18">
        <v>1</v>
      </c>
      <c r="W188" s="18"/>
      <c r="X188" s="18"/>
      <c r="Y188" s="18"/>
      <c r="Z188" s="18"/>
      <c r="AA188" s="18">
        <f t="shared" si="19"/>
        <v>1</v>
      </c>
      <c r="AB188" s="18">
        <v>27</v>
      </c>
      <c r="AC188" s="18"/>
      <c r="AD188" s="18"/>
      <c r="AE188" s="18"/>
      <c r="AF188" s="18"/>
      <c r="AG188" s="18">
        <f t="shared" si="20"/>
        <v>27</v>
      </c>
      <c r="AH188" s="18">
        <v>5</v>
      </c>
      <c r="AI188" s="18"/>
      <c r="AJ188" s="18"/>
      <c r="AK188" s="18"/>
      <c r="AL188" s="18"/>
      <c r="AM188" s="18">
        <f t="shared" si="21"/>
        <v>5</v>
      </c>
      <c r="AN188" s="18"/>
      <c r="AO188" s="18"/>
      <c r="AP188" s="18">
        <f t="shared" si="22"/>
        <v>0</v>
      </c>
      <c r="AQ188" s="32">
        <f t="shared" si="23"/>
        <v>244</v>
      </c>
    </row>
    <row r="189" spans="1:43" x14ac:dyDescent="0.35">
      <c r="A189" s="126" t="s">
        <v>649</v>
      </c>
      <c r="B189" s="126" t="s">
        <v>650</v>
      </c>
      <c r="C189" s="126" t="s">
        <v>1293</v>
      </c>
      <c r="D189" s="128">
        <v>205</v>
      </c>
      <c r="E189" s="128">
        <v>38</v>
      </c>
      <c r="F189" s="128">
        <v>4</v>
      </c>
      <c r="G189" s="128">
        <v>2</v>
      </c>
      <c r="H189" s="128"/>
      <c r="I189" s="18">
        <f t="shared" si="16"/>
        <v>249</v>
      </c>
      <c r="J189" s="128">
        <v>7</v>
      </c>
      <c r="K189" s="128"/>
      <c r="L189" s="128"/>
      <c r="M189" s="128">
        <v>1</v>
      </c>
      <c r="N189" s="128"/>
      <c r="O189" s="18">
        <f t="shared" si="17"/>
        <v>8</v>
      </c>
      <c r="P189" s="18">
        <v>6</v>
      </c>
      <c r="Q189" s="18"/>
      <c r="R189" s="18">
        <v>1</v>
      </c>
      <c r="S189" s="18"/>
      <c r="T189" s="18"/>
      <c r="U189" s="18">
        <f t="shared" si="18"/>
        <v>7</v>
      </c>
      <c r="V189" s="18"/>
      <c r="W189" s="18"/>
      <c r="X189" s="18"/>
      <c r="Y189" s="18"/>
      <c r="Z189" s="18"/>
      <c r="AA189" s="18">
        <f t="shared" si="19"/>
        <v>0</v>
      </c>
      <c r="AB189" s="18">
        <v>24</v>
      </c>
      <c r="AC189" s="18">
        <v>9</v>
      </c>
      <c r="AD189" s="18">
        <v>1</v>
      </c>
      <c r="AE189" s="18"/>
      <c r="AF189" s="18"/>
      <c r="AG189" s="18">
        <f t="shared" si="20"/>
        <v>34</v>
      </c>
      <c r="AH189" s="18">
        <v>2</v>
      </c>
      <c r="AI189" s="18"/>
      <c r="AJ189" s="18"/>
      <c r="AK189" s="18"/>
      <c r="AL189" s="18"/>
      <c r="AM189" s="18">
        <f t="shared" si="21"/>
        <v>2</v>
      </c>
      <c r="AN189" s="18"/>
      <c r="AO189" s="18"/>
      <c r="AP189" s="18">
        <f t="shared" si="22"/>
        <v>0</v>
      </c>
      <c r="AQ189" s="32">
        <f t="shared" si="23"/>
        <v>300</v>
      </c>
    </row>
    <row r="190" spans="1:43" x14ac:dyDescent="0.35">
      <c r="A190" s="126" t="s">
        <v>651</v>
      </c>
      <c r="B190" s="126" t="s">
        <v>652</v>
      </c>
      <c r="C190" s="126" t="s">
        <v>1294</v>
      </c>
      <c r="D190" s="128">
        <v>111</v>
      </c>
      <c r="E190" s="128">
        <v>5</v>
      </c>
      <c r="F190" s="128"/>
      <c r="G190" s="128"/>
      <c r="H190" s="128"/>
      <c r="I190" s="18">
        <f t="shared" si="16"/>
        <v>116</v>
      </c>
      <c r="J190" s="128">
        <v>14</v>
      </c>
      <c r="K190" s="128"/>
      <c r="L190" s="128"/>
      <c r="M190" s="128"/>
      <c r="N190" s="128"/>
      <c r="O190" s="18">
        <f t="shared" si="17"/>
        <v>14</v>
      </c>
      <c r="P190" s="18">
        <v>21</v>
      </c>
      <c r="Q190" s="18">
        <v>1</v>
      </c>
      <c r="R190" s="18"/>
      <c r="S190" s="18"/>
      <c r="T190" s="18"/>
      <c r="U190" s="18">
        <f t="shared" si="18"/>
        <v>22</v>
      </c>
      <c r="V190" s="18">
        <v>14</v>
      </c>
      <c r="W190" s="18"/>
      <c r="X190" s="18"/>
      <c r="Y190" s="18"/>
      <c r="Z190" s="18"/>
      <c r="AA190" s="18">
        <f t="shared" si="19"/>
        <v>14</v>
      </c>
      <c r="AB190" s="18">
        <v>31</v>
      </c>
      <c r="AC190" s="18">
        <v>1</v>
      </c>
      <c r="AD190" s="18"/>
      <c r="AE190" s="18"/>
      <c r="AF190" s="18"/>
      <c r="AG190" s="18">
        <f t="shared" si="20"/>
        <v>32</v>
      </c>
      <c r="AH190" s="18">
        <v>7</v>
      </c>
      <c r="AI190" s="18"/>
      <c r="AJ190" s="18"/>
      <c r="AK190" s="18"/>
      <c r="AL190" s="18"/>
      <c r="AM190" s="18">
        <f t="shared" si="21"/>
        <v>7</v>
      </c>
      <c r="AN190" s="18"/>
      <c r="AO190" s="18"/>
      <c r="AP190" s="18">
        <f t="shared" si="22"/>
        <v>0</v>
      </c>
      <c r="AQ190" s="32">
        <f t="shared" si="23"/>
        <v>205</v>
      </c>
    </row>
    <row r="191" spans="1:43" x14ac:dyDescent="0.35">
      <c r="A191" s="126" t="s">
        <v>653</v>
      </c>
      <c r="B191" s="126" t="s">
        <v>654</v>
      </c>
      <c r="C191" s="126" t="s">
        <v>1294</v>
      </c>
      <c r="D191" s="128">
        <v>518</v>
      </c>
      <c r="E191" s="128">
        <v>37</v>
      </c>
      <c r="F191" s="128">
        <v>3</v>
      </c>
      <c r="G191" s="128">
        <v>2</v>
      </c>
      <c r="H191" s="128"/>
      <c r="I191" s="18">
        <f t="shared" si="16"/>
        <v>560</v>
      </c>
      <c r="J191" s="128">
        <v>20</v>
      </c>
      <c r="K191" s="128">
        <v>1</v>
      </c>
      <c r="L191" s="128"/>
      <c r="M191" s="128"/>
      <c r="N191" s="128"/>
      <c r="O191" s="18">
        <f t="shared" si="17"/>
        <v>21</v>
      </c>
      <c r="P191" s="18">
        <v>20</v>
      </c>
      <c r="Q191" s="18"/>
      <c r="R191" s="18">
        <v>1</v>
      </c>
      <c r="S191" s="18"/>
      <c r="T191" s="18"/>
      <c r="U191" s="18">
        <f t="shared" si="18"/>
        <v>21</v>
      </c>
      <c r="V191" s="18">
        <v>45</v>
      </c>
      <c r="W191" s="18">
        <v>1</v>
      </c>
      <c r="X191" s="18"/>
      <c r="Y191" s="18"/>
      <c r="Z191" s="18"/>
      <c r="AA191" s="18">
        <f t="shared" si="19"/>
        <v>46</v>
      </c>
      <c r="AB191" s="18">
        <v>100</v>
      </c>
      <c r="AC191" s="18">
        <v>4</v>
      </c>
      <c r="AD191" s="18">
        <v>1</v>
      </c>
      <c r="AE191" s="18"/>
      <c r="AF191" s="18"/>
      <c r="AG191" s="18">
        <f t="shared" si="20"/>
        <v>105</v>
      </c>
      <c r="AH191" s="18">
        <v>8</v>
      </c>
      <c r="AI191" s="18"/>
      <c r="AJ191" s="18"/>
      <c r="AK191" s="18"/>
      <c r="AL191" s="18"/>
      <c r="AM191" s="18">
        <f t="shared" si="21"/>
        <v>8</v>
      </c>
      <c r="AN191" s="18"/>
      <c r="AO191" s="18"/>
      <c r="AP191" s="18">
        <f t="shared" si="22"/>
        <v>0</v>
      </c>
      <c r="AQ191" s="32">
        <f t="shared" si="23"/>
        <v>761</v>
      </c>
    </row>
    <row r="192" spans="1:43" x14ac:dyDescent="0.35">
      <c r="A192" s="126" t="s">
        <v>655</v>
      </c>
      <c r="B192" s="126" t="s">
        <v>656</v>
      </c>
      <c r="C192" s="126" t="s">
        <v>1294</v>
      </c>
      <c r="D192" s="128">
        <v>82</v>
      </c>
      <c r="E192" s="128">
        <v>3</v>
      </c>
      <c r="F192" s="128"/>
      <c r="G192" s="128"/>
      <c r="H192" s="128"/>
      <c r="I192" s="18">
        <f t="shared" si="16"/>
        <v>85</v>
      </c>
      <c r="J192" s="128">
        <v>2</v>
      </c>
      <c r="K192" s="128"/>
      <c r="L192" s="128"/>
      <c r="M192" s="128"/>
      <c r="N192" s="128"/>
      <c r="O192" s="18">
        <f t="shared" si="17"/>
        <v>2</v>
      </c>
      <c r="P192" s="18">
        <v>2</v>
      </c>
      <c r="Q192" s="18"/>
      <c r="R192" s="18"/>
      <c r="S192" s="18"/>
      <c r="T192" s="18"/>
      <c r="U192" s="18">
        <f t="shared" si="18"/>
        <v>2</v>
      </c>
      <c r="V192" s="18"/>
      <c r="W192" s="18"/>
      <c r="X192" s="18"/>
      <c r="Y192" s="18"/>
      <c r="Z192" s="18"/>
      <c r="AA192" s="18">
        <f t="shared" si="19"/>
        <v>0</v>
      </c>
      <c r="AB192" s="18">
        <v>11</v>
      </c>
      <c r="AC192" s="18"/>
      <c r="AD192" s="18"/>
      <c r="AE192" s="18"/>
      <c r="AF192" s="18"/>
      <c r="AG192" s="18">
        <f t="shared" si="20"/>
        <v>11</v>
      </c>
      <c r="AH192" s="18"/>
      <c r="AI192" s="18"/>
      <c r="AJ192" s="18"/>
      <c r="AK192" s="18"/>
      <c r="AL192" s="18"/>
      <c r="AM192" s="18">
        <f t="shared" si="21"/>
        <v>0</v>
      </c>
      <c r="AN192" s="18"/>
      <c r="AO192" s="18"/>
      <c r="AP192" s="18">
        <f t="shared" si="22"/>
        <v>0</v>
      </c>
      <c r="AQ192" s="32">
        <f t="shared" si="23"/>
        <v>100</v>
      </c>
    </row>
    <row r="193" spans="1:43" x14ac:dyDescent="0.35">
      <c r="A193" s="126" t="s">
        <v>657</v>
      </c>
      <c r="B193" s="126" t="s">
        <v>658</v>
      </c>
      <c r="C193" s="126" t="s">
        <v>1294</v>
      </c>
      <c r="D193" s="128">
        <v>116</v>
      </c>
      <c r="E193" s="128">
        <v>6</v>
      </c>
      <c r="F193" s="128">
        <v>1</v>
      </c>
      <c r="G193" s="128"/>
      <c r="H193" s="128"/>
      <c r="I193" s="18">
        <f t="shared" si="16"/>
        <v>123</v>
      </c>
      <c r="J193" s="128">
        <v>11</v>
      </c>
      <c r="K193" s="128"/>
      <c r="L193" s="128"/>
      <c r="M193" s="128"/>
      <c r="N193" s="128"/>
      <c r="O193" s="18">
        <f t="shared" si="17"/>
        <v>11</v>
      </c>
      <c r="P193" s="18">
        <v>3</v>
      </c>
      <c r="Q193" s="18"/>
      <c r="R193" s="18"/>
      <c r="S193" s="18"/>
      <c r="T193" s="18"/>
      <c r="U193" s="18">
        <f t="shared" si="18"/>
        <v>3</v>
      </c>
      <c r="V193" s="18">
        <v>3</v>
      </c>
      <c r="W193" s="18"/>
      <c r="X193" s="18"/>
      <c r="Y193" s="18"/>
      <c r="Z193" s="18"/>
      <c r="AA193" s="18">
        <f t="shared" si="19"/>
        <v>3</v>
      </c>
      <c r="AB193" s="18">
        <v>14</v>
      </c>
      <c r="AC193" s="18"/>
      <c r="AD193" s="18"/>
      <c r="AE193" s="18"/>
      <c r="AF193" s="18"/>
      <c r="AG193" s="18">
        <f t="shared" si="20"/>
        <v>14</v>
      </c>
      <c r="AH193" s="18">
        <v>1</v>
      </c>
      <c r="AI193" s="18"/>
      <c r="AJ193" s="18"/>
      <c r="AK193" s="18"/>
      <c r="AL193" s="18"/>
      <c r="AM193" s="18">
        <f t="shared" si="21"/>
        <v>1</v>
      </c>
      <c r="AN193" s="18"/>
      <c r="AO193" s="18"/>
      <c r="AP193" s="18">
        <f t="shared" si="22"/>
        <v>0</v>
      </c>
      <c r="AQ193" s="32">
        <f t="shared" si="23"/>
        <v>155</v>
      </c>
    </row>
    <row r="194" spans="1:43" x14ac:dyDescent="0.35">
      <c r="A194" s="126" t="s">
        <v>659</v>
      </c>
      <c r="B194" s="126" t="s">
        <v>660</v>
      </c>
      <c r="C194" s="126" t="s">
        <v>1294</v>
      </c>
      <c r="D194" s="128">
        <v>20</v>
      </c>
      <c r="E194" s="128">
        <v>1</v>
      </c>
      <c r="F194" s="128">
        <v>3</v>
      </c>
      <c r="G194" s="128">
        <v>2</v>
      </c>
      <c r="H194" s="128"/>
      <c r="I194" s="18">
        <f t="shared" si="16"/>
        <v>26</v>
      </c>
      <c r="J194" s="128"/>
      <c r="K194" s="128"/>
      <c r="L194" s="128"/>
      <c r="M194" s="128"/>
      <c r="N194" s="128"/>
      <c r="O194" s="18">
        <f t="shared" si="17"/>
        <v>0</v>
      </c>
      <c r="P194" s="18"/>
      <c r="Q194" s="18"/>
      <c r="R194" s="18"/>
      <c r="S194" s="18"/>
      <c r="T194" s="18"/>
      <c r="U194" s="18">
        <f t="shared" si="18"/>
        <v>0</v>
      </c>
      <c r="V194" s="18">
        <v>1</v>
      </c>
      <c r="W194" s="18"/>
      <c r="X194" s="18"/>
      <c r="Y194" s="18"/>
      <c r="Z194" s="18"/>
      <c r="AA194" s="18">
        <f t="shared" si="19"/>
        <v>1</v>
      </c>
      <c r="AB194" s="18">
        <v>2</v>
      </c>
      <c r="AC194" s="18"/>
      <c r="AD194" s="18"/>
      <c r="AE194" s="18"/>
      <c r="AF194" s="18"/>
      <c r="AG194" s="18">
        <f t="shared" si="20"/>
        <v>2</v>
      </c>
      <c r="AH194" s="18"/>
      <c r="AI194" s="18"/>
      <c r="AJ194" s="18"/>
      <c r="AK194" s="18"/>
      <c r="AL194" s="18"/>
      <c r="AM194" s="18">
        <f t="shared" si="21"/>
        <v>0</v>
      </c>
      <c r="AN194" s="18"/>
      <c r="AO194" s="18"/>
      <c r="AP194" s="18">
        <f t="shared" si="22"/>
        <v>0</v>
      </c>
      <c r="AQ194" s="32">
        <f t="shared" si="23"/>
        <v>29</v>
      </c>
    </row>
    <row r="195" spans="1:43" x14ac:dyDescent="0.35">
      <c r="A195" s="126" t="s">
        <v>661</v>
      </c>
      <c r="B195" s="126" t="s">
        <v>662</v>
      </c>
      <c r="C195" s="126" t="s">
        <v>1294</v>
      </c>
      <c r="D195" s="128">
        <v>61</v>
      </c>
      <c r="E195" s="128">
        <v>1</v>
      </c>
      <c r="F195" s="128">
        <v>1</v>
      </c>
      <c r="G195" s="128">
        <v>1</v>
      </c>
      <c r="H195" s="128"/>
      <c r="I195" s="18">
        <f t="shared" si="16"/>
        <v>64</v>
      </c>
      <c r="J195" s="128">
        <v>5</v>
      </c>
      <c r="K195" s="128"/>
      <c r="L195" s="128"/>
      <c r="M195" s="128"/>
      <c r="N195" s="128"/>
      <c r="O195" s="18">
        <f t="shared" si="17"/>
        <v>5</v>
      </c>
      <c r="P195" s="18"/>
      <c r="Q195" s="18"/>
      <c r="R195" s="18"/>
      <c r="S195" s="18"/>
      <c r="T195" s="18"/>
      <c r="U195" s="18">
        <f t="shared" si="18"/>
        <v>0</v>
      </c>
      <c r="V195" s="18">
        <v>5</v>
      </c>
      <c r="W195" s="18"/>
      <c r="X195" s="18"/>
      <c r="Y195" s="18"/>
      <c r="Z195" s="18"/>
      <c r="AA195" s="18">
        <f t="shared" si="19"/>
        <v>5</v>
      </c>
      <c r="AB195" s="18">
        <v>17</v>
      </c>
      <c r="AC195" s="18"/>
      <c r="AD195" s="18"/>
      <c r="AE195" s="18"/>
      <c r="AF195" s="18"/>
      <c r="AG195" s="18">
        <f t="shared" si="20"/>
        <v>17</v>
      </c>
      <c r="AH195" s="18">
        <v>1</v>
      </c>
      <c r="AI195" s="18"/>
      <c r="AJ195" s="18"/>
      <c r="AK195" s="18"/>
      <c r="AL195" s="18"/>
      <c r="AM195" s="18">
        <f t="shared" si="21"/>
        <v>1</v>
      </c>
      <c r="AN195" s="18"/>
      <c r="AO195" s="18"/>
      <c r="AP195" s="18">
        <f t="shared" si="22"/>
        <v>0</v>
      </c>
      <c r="AQ195" s="32">
        <f t="shared" si="23"/>
        <v>92</v>
      </c>
    </row>
    <row r="196" spans="1:43" x14ac:dyDescent="0.35">
      <c r="A196" s="126" t="s">
        <v>663</v>
      </c>
      <c r="B196" s="126" t="s">
        <v>1228</v>
      </c>
      <c r="C196" s="126" t="s">
        <v>1294</v>
      </c>
      <c r="D196" s="128">
        <v>44</v>
      </c>
      <c r="E196" s="128">
        <v>5</v>
      </c>
      <c r="F196" s="128">
        <v>1</v>
      </c>
      <c r="G196" s="128"/>
      <c r="H196" s="128"/>
      <c r="I196" s="18">
        <f t="shared" si="16"/>
        <v>50</v>
      </c>
      <c r="J196" s="128">
        <v>1</v>
      </c>
      <c r="K196" s="128"/>
      <c r="L196" s="128"/>
      <c r="M196" s="128"/>
      <c r="N196" s="128"/>
      <c r="O196" s="18">
        <f t="shared" si="17"/>
        <v>1</v>
      </c>
      <c r="P196" s="18">
        <v>8</v>
      </c>
      <c r="Q196" s="18"/>
      <c r="R196" s="18"/>
      <c r="S196" s="18"/>
      <c r="T196" s="18"/>
      <c r="U196" s="18">
        <f t="shared" si="18"/>
        <v>8</v>
      </c>
      <c r="V196" s="18">
        <v>1</v>
      </c>
      <c r="W196" s="18"/>
      <c r="X196" s="18"/>
      <c r="Y196" s="18"/>
      <c r="Z196" s="18"/>
      <c r="AA196" s="18">
        <f t="shared" si="19"/>
        <v>1</v>
      </c>
      <c r="AB196" s="18">
        <v>7</v>
      </c>
      <c r="AC196" s="18"/>
      <c r="AD196" s="18"/>
      <c r="AE196" s="18"/>
      <c r="AF196" s="18"/>
      <c r="AG196" s="18">
        <f t="shared" si="20"/>
        <v>7</v>
      </c>
      <c r="AH196" s="18"/>
      <c r="AI196" s="18"/>
      <c r="AJ196" s="18"/>
      <c r="AK196" s="18"/>
      <c r="AL196" s="18"/>
      <c r="AM196" s="18">
        <f t="shared" si="21"/>
        <v>0</v>
      </c>
      <c r="AN196" s="18"/>
      <c r="AO196" s="18"/>
      <c r="AP196" s="18">
        <f t="shared" si="22"/>
        <v>0</v>
      </c>
      <c r="AQ196" s="32">
        <f t="shared" si="23"/>
        <v>67</v>
      </c>
    </row>
    <row r="197" spans="1:43" x14ac:dyDescent="0.35">
      <c r="A197" s="126" t="s">
        <v>664</v>
      </c>
      <c r="B197" s="126" t="s">
        <v>665</v>
      </c>
      <c r="C197" s="126" t="s">
        <v>1294</v>
      </c>
      <c r="D197" s="128">
        <v>189</v>
      </c>
      <c r="E197" s="128">
        <v>15</v>
      </c>
      <c r="F197" s="128">
        <v>4</v>
      </c>
      <c r="G197" s="128">
        <v>9</v>
      </c>
      <c r="H197" s="128"/>
      <c r="I197" s="18">
        <f t="shared" si="16"/>
        <v>217</v>
      </c>
      <c r="J197" s="128">
        <v>1</v>
      </c>
      <c r="K197" s="128"/>
      <c r="L197" s="128"/>
      <c r="M197" s="128"/>
      <c r="N197" s="128"/>
      <c r="O197" s="18">
        <f t="shared" si="17"/>
        <v>1</v>
      </c>
      <c r="P197" s="18">
        <v>3</v>
      </c>
      <c r="Q197" s="18"/>
      <c r="R197" s="18"/>
      <c r="S197" s="18"/>
      <c r="T197" s="18"/>
      <c r="U197" s="18">
        <f t="shared" si="18"/>
        <v>3</v>
      </c>
      <c r="V197" s="18"/>
      <c r="W197" s="18"/>
      <c r="X197" s="18"/>
      <c r="Y197" s="18"/>
      <c r="Z197" s="18"/>
      <c r="AA197" s="18">
        <f t="shared" si="19"/>
        <v>0</v>
      </c>
      <c r="AB197" s="18">
        <v>2</v>
      </c>
      <c r="AC197" s="18"/>
      <c r="AD197" s="18"/>
      <c r="AE197" s="18"/>
      <c r="AF197" s="18"/>
      <c r="AG197" s="18">
        <f t="shared" si="20"/>
        <v>2</v>
      </c>
      <c r="AH197" s="18">
        <v>2</v>
      </c>
      <c r="AI197" s="18"/>
      <c r="AJ197" s="18"/>
      <c r="AK197" s="18"/>
      <c r="AL197" s="18"/>
      <c r="AM197" s="18">
        <f t="shared" si="21"/>
        <v>2</v>
      </c>
      <c r="AN197" s="18"/>
      <c r="AO197" s="18"/>
      <c r="AP197" s="18">
        <f t="shared" si="22"/>
        <v>0</v>
      </c>
      <c r="AQ197" s="32">
        <f t="shared" si="23"/>
        <v>225</v>
      </c>
    </row>
    <row r="198" spans="1:43" x14ac:dyDescent="0.35">
      <c r="A198" s="126" t="s">
        <v>666</v>
      </c>
      <c r="B198" s="126" t="s">
        <v>667</v>
      </c>
      <c r="C198" s="126" t="s">
        <v>1294</v>
      </c>
      <c r="D198" s="128">
        <v>5</v>
      </c>
      <c r="E198" s="128">
        <v>1</v>
      </c>
      <c r="F198" s="128">
        <v>2</v>
      </c>
      <c r="G198" s="128">
        <v>3</v>
      </c>
      <c r="H198" s="128"/>
      <c r="I198" s="18">
        <f t="shared" ref="I198:I261" si="24">+SUM(D198:H198)</f>
        <v>11</v>
      </c>
      <c r="J198" s="128"/>
      <c r="K198" s="128"/>
      <c r="L198" s="128"/>
      <c r="M198" s="128"/>
      <c r="N198" s="128"/>
      <c r="O198" s="18">
        <f t="shared" ref="O198:O261" si="25">+SUM(J198:N198)</f>
        <v>0</v>
      </c>
      <c r="P198" s="18"/>
      <c r="Q198" s="18"/>
      <c r="R198" s="18"/>
      <c r="S198" s="18"/>
      <c r="T198" s="18"/>
      <c r="U198" s="18">
        <f t="shared" ref="U198:U261" si="26">+SUM(P198:T198)</f>
        <v>0</v>
      </c>
      <c r="V198" s="18"/>
      <c r="W198" s="18"/>
      <c r="X198" s="18"/>
      <c r="Y198" s="18"/>
      <c r="Z198" s="18"/>
      <c r="AA198" s="18">
        <f t="shared" ref="AA198:AA261" si="27">+SUM(V198:Z198)</f>
        <v>0</v>
      </c>
      <c r="AB198" s="18"/>
      <c r="AC198" s="18">
        <v>2</v>
      </c>
      <c r="AD198" s="18"/>
      <c r="AE198" s="18"/>
      <c r="AF198" s="18"/>
      <c r="AG198" s="18">
        <f t="shared" ref="AG198:AG261" si="28">+SUM(AB198:AF198)</f>
        <v>2</v>
      </c>
      <c r="AH198" s="18"/>
      <c r="AI198" s="18"/>
      <c r="AJ198" s="18"/>
      <c r="AK198" s="18"/>
      <c r="AL198" s="18"/>
      <c r="AM198" s="18">
        <f t="shared" ref="AM198:AM261" si="29">+SUM(AH198:AL198)</f>
        <v>0</v>
      </c>
      <c r="AN198" s="18"/>
      <c r="AO198" s="18"/>
      <c r="AP198" s="18">
        <f t="shared" ref="AP198:AP249" si="30">+AO198+AN198</f>
        <v>0</v>
      </c>
      <c r="AQ198" s="32">
        <f t="shared" ref="AQ198:AQ261" si="31">+AP198+AM198+AG198+AA198+U198+O198+I198</f>
        <v>13</v>
      </c>
    </row>
    <row r="199" spans="1:43" x14ac:dyDescent="0.35">
      <c r="A199" s="126" t="s">
        <v>668</v>
      </c>
      <c r="B199" s="126" t="s">
        <v>669</v>
      </c>
      <c r="C199" s="126" t="s">
        <v>1294</v>
      </c>
      <c r="D199" s="128">
        <v>2</v>
      </c>
      <c r="E199" s="128"/>
      <c r="F199" s="128"/>
      <c r="G199" s="128">
        <v>1</v>
      </c>
      <c r="H199" s="128"/>
      <c r="I199" s="18">
        <f t="shared" si="24"/>
        <v>3</v>
      </c>
      <c r="J199" s="128"/>
      <c r="K199" s="128"/>
      <c r="L199" s="128"/>
      <c r="M199" s="128"/>
      <c r="N199" s="128"/>
      <c r="O199" s="18">
        <f t="shared" si="25"/>
        <v>0</v>
      </c>
      <c r="P199" s="18"/>
      <c r="Q199" s="18"/>
      <c r="R199" s="18"/>
      <c r="S199" s="18"/>
      <c r="T199" s="18"/>
      <c r="U199" s="18">
        <f t="shared" si="26"/>
        <v>0</v>
      </c>
      <c r="V199" s="18"/>
      <c r="W199" s="18"/>
      <c r="X199" s="18"/>
      <c r="Y199" s="18"/>
      <c r="Z199" s="18"/>
      <c r="AA199" s="18">
        <f t="shared" si="27"/>
        <v>0</v>
      </c>
      <c r="AB199" s="18"/>
      <c r="AC199" s="18"/>
      <c r="AD199" s="18"/>
      <c r="AE199" s="18"/>
      <c r="AF199" s="18"/>
      <c r="AG199" s="18">
        <f t="shared" si="28"/>
        <v>0</v>
      </c>
      <c r="AH199" s="18"/>
      <c r="AI199" s="18"/>
      <c r="AJ199" s="18"/>
      <c r="AK199" s="18"/>
      <c r="AL199" s="18"/>
      <c r="AM199" s="18">
        <f t="shared" si="29"/>
        <v>0</v>
      </c>
      <c r="AN199" s="18"/>
      <c r="AO199" s="18"/>
      <c r="AP199" s="18">
        <f t="shared" si="30"/>
        <v>0</v>
      </c>
      <c r="AQ199" s="32">
        <f t="shared" si="31"/>
        <v>3</v>
      </c>
    </row>
    <row r="200" spans="1:43" x14ac:dyDescent="0.35">
      <c r="A200" s="126" t="s">
        <v>670</v>
      </c>
      <c r="B200" s="126" t="s">
        <v>671</v>
      </c>
      <c r="C200" s="126" t="s">
        <v>1294</v>
      </c>
      <c r="D200" s="128">
        <v>19</v>
      </c>
      <c r="E200" s="128">
        <v>3</v>
      </c>
      <c r="F200" s="128">
        <v>3</v>
      </c>
      <c r="G200" s="128">
        <v>3</v>
      </c>
      <c r="H200" s="128"/>
      <c r="I200" s="18">
        <f t="shared" si="24"/>
        <v>28</v>
      </c>
      <c r="J200" s="128"/>
      <c r="K200" s="128"/>
      <c r="L200" s="128"/>
      <c r="M200" s="128"/>
      <c r="N200" s="128"/>
      <c r="O200" s="18">
        <f t="shared" si="25"/>
        <v>0</v>
      </c>
      <c r="P200" s="18">
        <v>1</v>
      </c>
      <c r="Q200" s="18"/>
      <c r="R200" s="18"/>
      <c r="S200" s="18"/>
      <c r="T200" s="18"/>
      <c r="U200" s="18">
        <f t="shared" si="26"/>
        <v>1</v>
      </c>
      <c r="V200" s="18"/>
      <c r="W200" s="18"/>
      <c r="X200" s="18"/>
      <c r="Y200" s="18"/>
      <c r="Z200" s="18"/>
      <c r="AA200" s="18">
        <f t="shared" si="27"/>
        <v>0</v>
      </c>
      <c r="AB200" s="18"/>
      <c r="AC200" s="18"/>
      <c r="AD200" s="18"/>
      <c r="AE200" s="18"/>
      <c r="AF200" s="18"/>
      <c r="AG200" s="18">
        <f t="shared" si="28"/>
        <v>0</v>
      </c>
      <c r="AH200" s="18">
        <v>1</v>
      </c>
      <c r="AI200" s="18"/>
      <c r="AJ200" s="18"/>
      <c r="AK200" s="18">
        <v>1</v>
      </c>
      <c r="AL200" s="18"/>
      <c r="AM200" s="18">
        <f t="shared" si="29"/>
        <v>2</v>
      </c>
      <c r="AN200" s="18"/>
      <c r="AO200" s="18"/>
      <c r="AP200" s="18">
        <f t="shared" si="30"/>
        <v>0</v>
      </c>
      <c r="AQ200" s="32">
        <f t="shared" si="31"/>
        <v>31</v>
      </c>
    </row>
    <row r="201" spans="1:43" x14ac:dyDescent="0.35">
      <c r="A201" s="126" t="s">
        <v>672</v>
      </c>
      <c r="B201" s="126" t="s">
        <v>1377</v>
      </c>
      <c r="C201" s="126" t="s">
        <v>1294</v>
      </c>
      <c r="D201" s="128">
        <v>5</v>
      </c>
      <c r="E201" s="128">
        <v>1</v>
      </c>
      <c r="F201" s="128"/>
      <c r="G201" s="128"/>
      <c r="H201" s="128"/>
      <c r="I201" s="18">
        <f t="shared" si="24"/>
        <v>6</v>
      </c>
      <c r="J201" s="128">
        <v>1</v>
      </c>
      <c r="K201" s="128">
        <v>1</v>
      </c>
      <c r="L201" s="128"/>
      <c r="M201" s="128"/>
      <c r="N201" s="128"/>
      <c r="O201" s="18">
        <f t="shared" si="25"/>
        <v>2</v>
      </c>
      <c r="P201" s="18"/>
      <c r="Q201" s="18"/>
      <c r="R201" s="18"/>
      <c r="S201" s="18"/>
      <c r="T201" s="18"/>
      <c r="U201" s="18">
        <f t="shared" si="26"/>
        <v>0</v>
      </c>
      <c r="V201" s="18"/>
      <c r="W201" s="18"/>
      <c r="X201" s="18"/>
      <c r="Y201" s="18"/>
      <c r="Z201" s="18"/>
      <c r="AA201" s="18">
        <f t="shared" si="27"/>
        <v>0</v>
      </c>
      <c r="AB201" s="18">
        <v>2</v>
      </c>
      <c r="AC201" s="18"/>
      <c r="AD201" s="18"/>
      <c r="AE201" s="18"/>
      <c r="AF201" s="18"/>
      <c r="AG201" s="18">
        <f t="shared" si="28"/>
        <v>2</v>
      </c>
      <c r="AH201" s="18"/>
      <c r="AI201" s="18"/>
      <c r="AJ201" s="18"/>
      <c r="AK201" s="18"/>
      <c r="AL201" s="18"/>
      <c r="AM201" s="18">
        <f t="shared" si="29"/>
        <v>0</v>
      </c>
      <c r="AN201" s="18"/>
      <c r="AO201" s="18"/>
      <c r="AP201" s="18">
        <f t="shared" si="30"/>
        <v>0</v>
      </c>
      <c r="AQ201" s="32">
        <f t="shared" si="31"/>
        <v>10</v>
      </c>
    </row>
    <row r="202" spans="1:43" x14ac:dyDescent="0.35">
      <c r="A202" s="126" t="s">
        <v>673</v>
      </c>
      <c r="B202" s="126" t="s">
        <v>674</v>
      </c>
      <c r="C202" s="126" t="s">
        <v>1294</v>
      </c>
      <c r="D202" s="128">
        <v>7</v>
      </c>
      <c r="E202" s="128"/>
      <c r="F202" s="128"/>
      <c r="G202" s="128"/>
      <c r="H202" s="128"/>
      <c r="I202" s="18">
        <f t="shared" si="24"/>
        <v>7</v>
      </c>
      <c r="J202" s="128"/>
      <c r="K202" s="128"/>
      <c r="L202" s="128"/>
      <c r="M202" s="128"/>
      <c r="N202" s="128"/>
      <c r="O202" s="18">
        <f t="shared" si="25"/>
        <v>0</v>
      </c>
      <c r="P202" s="18"/>
      <c r="Q202" s="18"/>
      <c r="R202" s="18"/>
      <c r="S202" s="18"/>
      <c r="T202" s="18"/>
      <c r="U202" s="18">
        <f t="shared" si="26"/>
        <v>0</v>
      </c>
      <c r="V202" s="18"/>
      <c r="W202" s="18"/>
      <c r="X202" s="18"/>
      <c r="Y202" s="18"/>
      <c r="Z202" s="18"/>
      <c r="AA202" s="18">
        <f t="shared" si="27"/>
        <v>0</v>
      </c>
      <c r="AB202" s="18"/>
      <c r="AC202" s="18"/>
      <c r="AD202" s="18"/>
      <c r="AE202" s="18"/>
      <c r="AF202" s="18"/>
      <c r="AG202" s="18">
        <f t="shared" si="28"/>
        <v>0</v>
      </c>
      <c r="AH202" s="18"/>
      <c r="AI202" s="18"/>
      <c r="AJ202" s="18"/>
      <c r="AK202" s="18"/>
      <c r="AL202" s="18"/>
      <c r="AM202" s="18">
        <f t="shared" si="29"/>
        <v>0</v>
      </c>
      <c r="AN202" s="18"/>
      <c r="AO202" s="18"/>
      <c r="AP202" s="18">
        <f t="shared" si="30"/>
        <v>0</v>
      </c>
      <c r="AQ202" s="32">
        <f t="shared" si="31"/>
        <v>7</v>
      </c>
    </row>
    <row r="203" spans="1:43" x14ac:dyDescent="0.35">
      <c r="A203" s="126" t="s">
        <v>675</v>
      </c>
      <c r="B203" s="126" t="s">
        <v>154</v>
      </c>
      <c r="C203" s="126" t="s">
        <v>1294</v>
      </c>
      <c r="D203" s="128">
        <v>28</v>
      </c>
      <c r="E203" s="128">
        <v>3</v>
      </c>
      <c r="F203" s="128">
        <v>2</v>
      </c>
      <c r="G203" s="128"/>
      <c r="H203" s="128"/>
      <c r="I203" s="18">
        <f t="shared" si="24"/>
        <v>33</v>
      </c>
      <c r="J203" s="128">
        <v>7</v>
      </c>
      <c r="K203" s="128">
        <v>3</v>
      </c>
      <c r="L203" s="128"/>
      <c r="M203" s="128"/>
      <c r="N203" s="128"/>
      <c r="O203" s="18">
        <f t="shared" si="25"/>
        <v>10</v>
      </c>
      <c r="P203" s="18">
        <v>6</v>
      </c>
      <c r="Q203" s="18">
        <v>3</v>
      </c>
      <c r="R203" s="18">
        <v>1</v>
      </c>
      <c r="S203" s="18"/>
      <c r="T203" s="18"/>
      <c r="U203" s="18">
        <f t="shared" si="26"/>
        <v>10</v>
      </c>
      <c r="V203" s="18">
        <v>7</v>
      </c>
      <c r="W203" s="18"/>
      <c r="X203" s="18"/>
      <c r="Y203" s="18"/>
      <c r="Z203" s="18"/>
      <c r="AA203" s="18">
        <f t="shared" si="27"/>
        <v>7</v>
      </c>
      <c r="AB203" s="18">
        <v>4</v>
      </c>
      <c r="AC203" s="18"/>
      <c r="AD203" s="18"/>
      <c r="AE203" s="18"/>
      <c r="AF203" s="18"/>
      <c r="AG203" s="18">
        <f t="shared" si="28"/>
        <v>4</v>
      </c>
      <c r="AH203" s="18">
        <v>7</v>
      </c>
      <c r="AI203" s="18"/>
      <c r="AJ203" s="18"/>
      <c r="AK203" s="18"/>
      <c r="AL203" s="18"/>
      <c r="AM203" s="18">
        <f t="shared" si="29"/>
        <v>7</v>
      </c>
      <c r="AN203" s="18"/>
      <c r="AO203" s="18"/>
      <c r="AP203" s="18">
        <f t="shared" si="30"/>
        <v>0</v>
      </c>
      <c r="AQ203" s="32">
        <f t="shared" si="31"/>
        <v>71</v>
      </c>
    </row>
    <row r="204" spans="1:43" x14ac:dyDescent="0.35">
      <c r="A204" s="126" t="s">
        <v>676</v>
      </c>
      <c r="B204" s="126" t="s">
        <v>156</v>
      </c>
      <c r="C204" s="126" t="s">
        <v>1294</v>
      </c>
      <c r="D204" s="128">
        <v>15</v>
      </c>
      <c r="E204" s="128">
        <v>5</v>
      </c>
      <c r="F204" s="128"/>
      <c r="G204" s="128">
        <v>1</v>
      </c>
      <c r="H204" s="128"/>
      <c r="I204" s="18">
        <f t="shared" si="24"/>
        <v>21</v>
      </c>
      <c r="J204" s="128"/>
      <c r="K204" s="128">
        <v>1</v>
      </c>
      <c r="L204" s="128"/>
      <c r="M204" s="128"/>
      <c r="N204" s="128"/>
      <c r="O204" s="18">
        <f t="shared" si="25"/>
        <v>1</v>
      </c>
      <c r="P204" s="18">
        <v>1</v>
      </c>
      <c r="Q204" s="18"/>
      <c r="R204" s="18"/>
      <c r="S204" s="18"/>
      <c r="T204" s="18"/>
      <c r="U204" s="18">
        <f t="shared" si="26"/>
        <v>1</v>
      </c>
      <c r="V204" s="18">
        <v>2</v>
      </c>
      <c r="W204" s="18"/>
      <c r="X204" s="18"/>
      <c r="Y204" s="18"/>
      <c r="Z204" s="18"/>
      <c r="AA204" s="18">
        <f t="shared" si="27"/>
        <v>2</v>
      </c>
      <c r="AB204" s="18">
        <v>5</v>
      </c>
      <c r="AC204" s="18"/>
      <c r="AD204" s="18">
        <v>1</v>
      </c>
      <c r="AE204" s="18"/>
      <c r="AF204" s="18"/>
      <c r="AG204" s="18">
        <f t="shared" si="28"/>
        <v>6</v>
      </c>
      <c r="AH204" s="18">
        <v>3</v>
      </c>
      <c r="AI204" s="18"/>
      <c r="AJ204" s="18"/>
      <c r="AK204" s="18"/>
      <c r="AL204" s="18"/>
      <c r="AM204" s="18">
        <f t="shared" si="29"/>
        <v>3</v>
      </c>
      <c r="AN204" s="18"/>
      <c r="AO204" s="18"/>
      <c r="AP204" s="18">
        <f t="shared" si="30"/>
        <v>0</v>
      </c>
      <c r="AQ204" s="32">
        <f t="shared" si="31"/>
        <v>34</v>
      </c>
    </row>
    <row r="205" spans="1:43" x14ac:dyDescent="0.35">
      <c r="A205" s="126" t="s">
        <v>677</v>
      </c>
      <c r="B205" s="126" t="s">
        <v>678</v>
      </c>
      <c r="C205" s="126" t="s">
        <v>1294</v>
      </c>
      <c r="D205" s="128">
        <v>44</v>
      </c>
      <c r="E205" s="128">
        <v>3</v>
      </c>
      <c r="F205" s="128">
        <v>1</v>
      </c>
      <c r="G205" s="128">
        <v>1</v>
      </c>
      <c r="H205" s="128"/>
      <c r="I205" s="18">
        <f t="shared" si="24"/>
        <v>49</v>
      </c>
      <c r="J205" s="128">
        <v>7</v>
      </c>
      <c r="K205" s="128">
        <v>3</v>
      </c>
      <c r="L205" s="128">
        <v>1</v>
      </c>
      <c r="M205" s="128"/>
      <c r="N205" s="128"/>
      <c r="O205" s="18">
        <f t="shared" si="25"/>
        <v>11</v>
      </c>
      <c r="P205" s="18">
        <v>3</v>
      </c>
      <c r="Q205" s="18"/>
      <c r="R205" s="18"/>
      <c r="S205" s="18"/>
      <c r="T205" s="18"/>
      <c r="U205" s="18">
        <f t="shared" si="26"/>
        <v>3</v>
      </c>
      <c r="V205" s="18">
        <v>1</v>
      </c>
      <c r="W205" s="18"/>
      <c r="X205" s="18"/>
      <c r="Y205" s="18"/>
      <c r="Z205" s="18"/>
      <c r="AA205" s="18">
        <f t="shared" si="27"/>
        <v>1</v>
      </c>
      <c r="AB205" s="18">
        <v>11</v>
      </c>
      <c r="AC205" s="18">
        <v>3</v>
      </c>
      <c r="AD205" s="18"/>
      <c r="AE205" s="18"/>
      <c r="AF205" s="18"/>
      <c r="AG205" s="18">
        <f t="shared" si="28"/>
        <v>14</v>
      </c>
      <c r="AH205" s="18">
        <v>4</v>
      </c>
      <c r="AI205" s="18">
        <v>1</v>
      </c>
      <c r="AJ205" s="18"/>
      <c r="AK205" s="18"/>
      <c r="AL205" s="18"/>
      <c r="AM205" s="18">
        <f t="shared" si="29"/>
        <v>5</v>
      </c>
      <c r="AN205" s="18"/>
      <c r="AO205" s="18"/>
      <c r="AP205" s="18">
        <f t="shared" si="30"/>
        <v>0</v>
      </c>
      <c r="AQ205" s="32">
        <f t="shared" si="31"/>
        <v>83</v>
      </c>
    </row>
    <row r="206" spans="1:43" x14ac:dyDescent="0.35">
      <c r="A206" s="126" t="s">
        <v>679</v>
      </c>
      <c r="B206" s="126" t="s">
        <v>680</v>
      </c>
      <c r="C206" s="126" t="s">
        <v>1294</v>
      </c>
      <c r="D206" s="128">
        <v>2</v>
      </c>
      <c r="E206" s="128">
        <v>1</v>
      </c>
      <c r="F206" s="128"/>
      <c r="G206" s="128"/>
      <c r="H206" s="128"/>
      <c r="I206" s="18">
        <f t="shared" si="24"/>
        <v>3</v>
      </c>
      <c r="J206" s="128"/>
      <c r="K206" s="128"/>
      <c r="L206" s="128"/>
      <c r="M206" s="128"/>
      <c r="N206" s="128"/>
      <c r="O206" s="18">
        <f t="shared" si="25"/>
        <v>0</v>
      </c>
      <c r="P206" s="18"/>
      <c r="Q206" s="18"/>
      <c r="R206" s="18"/>
      <c r="S206" s="18"/>
      <c r="T206" s="18"/>
      <c r="U206" s="18">
        <f t="shared" si="26"/>
        <v>0</v>
      </c>
      <c r="V206" s="18"/>
      <c r="W206" s="18"/>
      <c r="X206" s="18"/>
      <c r="Y206" s="18"/>
      <c r="Z206" s="18"/>
      <c r="AA206" s="18">
        <f t="shared" si="27"/>
        <v>0</v>
      </c>
      <c r="AB206" s="18"/>
      <c r="AC206" s="18"/>
      <c r="AD206" s="18"/>
      <c r="AE206" s="18"/>
      <c r="AF206" s="18"/>
      <c r="AG206" s="18">
        <f t="shared" si="28"/>
        <v>0</v>
      </c>
      <c r="AH206" s="18"/>
      <c r="AI206" s="18"/>
      <c r="AJ206" s="18"/>
      <c r="AK206" s="18"/>
      <c r="AL206" s="18"/>
      <c r="AM206" s="18">
        <f t="shared" si="29"/>
        <v>0</v>
      </c>
      <c r="AN206" s="18"/>
      <c r="AO206" s="18"/>
      <c r="AP206" s="18">
        <f t="shared" si="30"/>
        <v>0</v>
      </c>
      <c r="AQ206" s="32">
        <f t="shared" si="31"/>
        <v>3</v>
      </c>
    </row>
    <row r="207" spans="1:43" x14ac:dyDescent="0.35">
      <c r="A207" s="126" t="s">
        <v>681</v>
      </c>
      <c r="B207" s="126" t="s">
        <v>682</v>
      </c>
      <c r="C207" s="126" t="s">
        <v>1294</v>
      </c>
      <c r="D207" s="128">
        <v>14</v>
      </c>
      <c r="E207" s="128"/>
      <c r="F207" s="128">
        <v>2</v>
      </c>
      <c r="G207" s="128"/>
      <c r="H207" s="128"/>
      <c r="I207" s="18">
        <f t="shared" si="24"/>
        <v>16</v>
      </c>
      <c r="J207" s="128">
        <v>2</v>
      </c>
      <c r="K207" s="128"/>
      <c r="L207" s="128"/>
      <c r="M207" s="128"/>
      <c r="N207" s="128"/>
      <c r="O207" s="18">
        <f t="shared" si="25"/>
        <v>2</v>
      </c>
      <c r="P207" s="18">
        <v>1</v>
      </c>
      <c r="Q207" s="18"/>
      <c r="R207" s="18"/>
      <c r="S207" s="18"/>
      <c r="T207" s="18"/>
      <c r="U207" s="18">
        <f t="shared" si="26"/>
        <v>1</v>
      </c>
      <c r="V207" s="18"/>
      <c r="W207" s="18">
        <v>1</v>
      </c>
      <c r="X207" s="18"/>
      <c r="Y207" s="18"/>
      <c r="Z207" s="18"/>
      <c r="AA207" s="18">
        <f t="shared" si="27"/>
        <v>1</v>
      </c>
      <c r="AB207" s="18"/>
      <c r="AC207" s="18"/>
      <c r="AD207" s="18"/>
      <c r="AE207" s="18"/>
      <c r="AF207" s="18"/>
      <c r="AG207" s="18">
        <f t="shared" si="28"/>
        <v>0</v>
      </c>
      <c r="AH207" s="18">
        <v>3</v>
      </c>
      <c r="AI207" s="18"/>
      <c r="AJ207" s="18"/>
      <c r="AK207" s="18"/>
      <c r="AL207" s="18"/>
      <c r="AM207" s="18">
        <f t="shared" si="29"/>
        <v>3</v>
      </c>
      <c r="AN207" s="18"/>
      <c r="AO207" s="18"/>
      <c r="AP207" s="18">
        <f t="shared" si="30"/>
        <v>0</v>
      </c>
      <c r="AQ207" s="32">
        <f t="shared" si="31"/>
        <v>23</v>
      </c>
    </row>
    <row r="208" spans="1:43" x14ac:dyDescent="0.35">
      <c r="A208" s="126" t="s">
        <v>683</v>
      </c>
      <c r="B208" s="126" t="s">
        <v>684</v>
      </c>
      <c r="C208" s="126" t="s">
        <v>1294</v>
      </c>
      <c r="D208" s="128">
        <v>5</v>
      </c>
      <c r="E208" s="128"/>
      <c r="F208" s="128">
        <v>1</v>
      </c>
      <c r="G208" s="128"/>
      <c r="H208" s="128"/>
      <c r="I208" s="18">
        <f t="shared" si="24"/>
        <v>6</v>
      </c>
      <c r="J208" s="128"/>
      <c r="K208" s="128"/>
      <c r="L208" s="128"/>
      <c r="M208" s="128"/>
      <c r="N208" s="128"/>
      <c r="O208" s="18">
        <f t="shared" si="25"/>
        <v>0</v>
      </c>
      <c r="P208" s="18"/>
      <c r="Q208" s="18"/>
      <c r="R208" s="18"/>
      <c r="S208" s="18"/>
      <c r="T208" s="18"/>
      <c r="U208" s="18">
        <f t="shared" si="26"/>
        <v>0</v>
      </c>
      <c r="V208" s="18"/>
      <c r="W208" s="18"/>
      <c r="X208" s="18"/>
      <c r="Y208" s="18"/>
      <c r="Z208" s="18"/>
      <c r="AA208" s="18">
        <f t="shared" si="27"/>
        <v>0</v>
      </c>
      <c r="AB208" s="18">
        <v>1</v>
      </c>
      <c r="AC208" s="18">
        <v>1</v>
      </c>
      <c r="AD208" s="18"/>
      <c r="AE208" s="18"/>
      <c r="AF208" s="18"/>
      <c r="AG208" s="18">
        <f t="shared" si="28"/>
        <v>2</v>
      </c>
      <c r="AH208" s="18"/>
      <c r="AI208" s="18"/>
      <c r="AJ208" s="18"/>
      <c r="AK208" s="18"/>
      <c r="AL208" s="18"/>
      <c r="AM208" s="18">
        <f t="shared" si="29"/>
        <v>0</v>
      </c>
      <c r="AN208" s="18"/>
      <c r="AO208" s="18"/>
      <c r="AP208" s="18">
        <f t="shared" si="30"/>
        <v>0</v>
      </c>
      <c r="AQ208" s="32">
        <f t="shared" si="31"/>
        <v>8</v>
      </c>
    </row>
    <row r="209" spans="1:43" x14ac:dyDescent="0.35">
      <c r="A209" s="126" t="s">
        <v>685</v>
      </c>
      <c r="B209" s="126" t="s">
        <v>686</v>
      </c>
      <c r="C209" s="126" t="s">
        <v>1294</v>
      </c>
      <c r="D209" s="128">
        <v>222</v>
      </c>
      <c r="E209" s="128">
        <v>1</v>
      </c>
      <c r="F209" s="128">
        <v>1</v>
      </c>
      <c r="G209" s="128"/>
      <c r="H209" s="128"/>
      <c r="I209" s="18">
        <f t="shared" si="24"/>
        <v>224</v>
      </c>
      <c r="J209" s="128">
        <v>11</v>
      </c>
      <c r="K209" s="128"/>
      <c r="L209" s="128"/>
      <c r="M209" s="128"/>
      <c r="N209" s="128"/>
      <c r="O209" s="18">
        <f t="shared" si="25"/>
        <v>11</v>
      </c>
      <c r="P209" s="18">
        <v>7</v>
      </c>
      <c r="Q209" s="18"/>
      <c r="R209" s="18"/>
      <c r="S209" s="18"/>
      <c r="T209" s="18"/>
      <c r="U209" s="18">
        <f t="shared" si="26"/>
        <v>7</v>
      </c>
      <c r="V209" s="18">
        <v>5</v>
      </c>
      <c r="W209" s="18"/>
      <c r="X209" s="18"/>
      <c r="Y209" s="18"/>
      <c r="Z209" s="18"/>
      <c r="AA209" s="18">
        <f t="shared" si="27"/>
        <v>5</v>
      </c>
      <c r="AB209" s="18">
        <v>77</v>
      </c>
      <c r="AC209" s="18">
        <v>1</v>
      </c>
      <c r="AD209" s="18"/>
      <c r="AE209" s="18"/>
      <c r="AF209" s="18"/>
      <c r="AG209" s="18">
        <f t="shared" si="28"/>
        <v>78</v>
      </c>
      <c r="AH209" s="18">
        <v>12</v>
      </c>
      <c r="AI209" s="18">
        <v>1</v>
      </c>
      <c r="AJ209" s="18"/>
      <c r="AK209" s="18"/>
      <c r="AL209" s="18"/>
      <c r="AM209" s="18">
        <f t="shared" si="29"/>
        <v>13</v>
      </c>
      <c r="AN209" s="18"/>
      <c r="AO209" s="18"/>
      <c r="AP209" s="18">
        <f t="shared" si="30"/>
        <v>0</v>
      </c>
      <c r="AQ209" s="32">
        <f t="shared" si="31"/>
        <v>338</v>
      </c>
    </row>
    <row r="210" spans="1:43" x14ac:dyDescent="0.35">
      <c r="A210" s="126" t="s">
        <v>687</v>
      </c>
      <c r="B210" s="126" t="s">
        <v>160</v>
      </c>
      <c r="C210" s="126" t="s">
        <v>1294</v>
      </c>
      <c r="D210" s="128">
        <v>26</v>
      </c>
      <c r="E210" s="128"/>
      <c r="F210" s="128"/>
      <c r="G210" s="128"/>
      <c r="H210" s="128"/>
      <c r="I210" s="18">
        <f t="shared" si="24"/>
        <v>26</v>
      </c>
      <c r="J210" s="128">
        <v>3</v>
      </c>
      <c r="K210" s="128">
        <v>1</v>
      </c>
      <c r="L210" s="128"/>
      <c r="M210" s="128"/>
      <c r="N210" s="128"/>
      <c r="O210" s="18">
        <f t="shared" si="25"/>
        <v>4</v>
      </c>
      <c r="P210" s="18">
        <v>1</v>
      </c>
      <c r="Q210" s="18">
        <v>1</v>
      </c>
      <c r="R210" s="18"/>
      <c r="S210" s="18"/>
      <c r="T210" s="18"/>
      <c r="U210" s="18">
        <f t="shared" si="26"/>
        <v>2</v>
      </c>
      <c r="V210" s="18">
        <v>3</v>
      </c>
      <c r="W210" s="18"/>
      <c r="X210" s="18"/>
      <c r="Y210" s="18"/>
      <c r="Z210" s="18"/>
      <c r="AA210" s="18">
        <f t="shared" si="27"/>
        <v>3</v>
      </c>
      <c r="AB210" s="18">
        <v>3</v>
      </c>
      <c r="AC210" s="18"/>
      <c r="AD210" s="18"/>
      <c r="AE210" s="18"/>
      <c r="AF210" s="18"/>
      <c r="AG210" s="18">
        <f t="shared" si="28"/>
        <v>3</v>
      </c>
      <c r="AH210" s="18">
        <v>3</v>
      </c>
      <c r="AI210" s="18"/>
      <c r="AJ210" s="18"/>
      <c r="AK210" s="18"/>
      <c r="AL210" s="18"/>
      <c r="AM210" s="18">
        <f t="shared" si="29"/>
        <v>3</v>
      </c>
      <c r="AN210" s="18"/>
      <c r="AO210" s="18"/>
      <c r="AP210" s="18">
        <f t="shared" si="30"/>
        <v>0</v>
      </c>
      <c r="AQ210" s="32">
        <f t="shared" si="31"/>
        <v>41</v>
      </c>
    </row>
    <row r="211" spans="1:43" x14ac:dyDescent="0.35">
      <c r="A211" s="126" t="s">
        <v>688</v>
      </c>
      <c r="B211" s="126" t="s">
        <v>689</v>
      </c>
      <c r="C211" s="126" t="s">
        <v>1294</v>
      </c>
      <c r="D211" s="128">
        <v>1555</v>
      </c>
      <c r="E211" s="128">
        <v>118</v>
      </c>
      <c r="F211" s="128">
        <v>61</v>
      </c>
      <c r="G211" s="128">
        <v>29</v>
      </c>
      <c r="H211" s="128"/>
      <c r="I211" s="18">
        <f t="shared" si="24"/>
        <v>1763</v>
      </c>
      <c r="J211" s="128">
        <v>46</v>
      </c>
      <c r="K211" s="128">
        <v>2</v>
      </c>
      <c r="L211" s="128"/>
      <c r="M211" s="128"/>
      <c r="N211" s="128"/>
      <c r="O211" s="18">
        <f t="shared" si="25"/>
        <v>48</v>
      </c>
      <c r="P211" s="18">
        <v>34</v>
      </c>
      <c r="Q211" s="18">
        <v>1</v>
      </c>
      <c r="R211" s="18"/>
      <c r="S211" s="18"/>
      <c r="T211" s="18"/>
      <c r="U211" s="18">
        <f t="shared" si="26"/>
        <v>35</v>
      </c>
      <c r="V211" s="18">
        <v>15</v>
      </c>
      <c r="W211" s="18"/>
      <c r="X211" s="18"/>
      <c r="Y211" s="18"/>
      <c r="Z211" s="18"/>
      <c r="AA211" s="18">
        <f t="shared" si="27"/>
        <v>15</v>
      </c>
      <c r="AB211" s="18">
        <v>220</v>
      </c>
      <c r="AC211" s="18">
        <v>11</v>
      </c>
      <c r="AD211" s="18">
        <v>2</v>
      </c>
      <c r="AE211" s="18"/>
      <c r="AF211" s="18"/>
      <c r="AG211" s="18">
        <f t="shared" si="28"/>
        <v>233</v>
      </c>
      <c r="AH211" s="18">
        <v>35</v>
      </c>
      <c r="AI211" s="18"/>
      <c r="AJ211" s="18"/>
      <c r="AK211" s="18">
        <v>1</v>
      </c>
      <c r="AL211" s="18"/>
      <c r="AM211" s="18">
        <f t="shared" si="29"/>
        <v>36</v>
      </c>
      <c r="AN211" s="18"/>
      <c r="AO211" s="18"/>
      <c r="AP211" s="18">
        <f t="shared" si="30"/>
        <v>0</v>
      </c>
      <c r="AQ211" s="32">
        <f t="shared" si="31"/>
        <v>2130</v>
      </c>
    </row>
    <row r="212" spans="1:43" x14ac:dyDescent="0.35">
      <c r="A212" s="126" t="s">
        <v>690</v>
      </c>
      <c r="B212" s="126" t="s">
        <v>691</v>
      </c>
      <c r="C212" s="126" t="s">
        <v>1294</v>
      </c>
      <c r="D212" s="128">
        <v>197</v>
      </c>
      <c r="E212" s="128">
        <v>31</v>
      </c>
      <c r="F212" s="128">
        <v>16</v>
      </c>
      <c r="G212" s="128">
        <v>4</v>
      </c>
      <c r="H212" s="128"/>
      <c r="I212" s="18">
        <f t="shared" si="24"/>
        <v>248</v>
      </c>
      <c r="J212" s="128">
        <v>6</v>
      </c>
      <c r="K212" s="128"/>
      <c r="L212" s="128"/>
      <c r="M212" s="128"/>
      <c r="N212" s="128"/>
      <c r="O212" s="18">
        <f t="shared" si="25"/>
        <v>6</v>
      </c>
      <c r="P212" s="18">
        <v>8</v>
      </c>
      <c r="Q212" s="18"/>
      <c r="R212" s="18"/>
      <c r="S212" s="18"/>
      <c r="T212" s="18"/>
      <c r="U212" s="18">
        <f t="shared" si="26"/>
        <v>8</v>
      </c>
      <c r="V212" s="18">
        <v>5</v>
      </c>
      <c r="W212" s="18"/>
      <c r="X212" s="18"/>
      <c r="Y212" s="18"/>
      <c r="Z212" s="18"/>
      <c r="AA212" s="18">
        <f t="shared" si="27"/>
        <v>5</v>
      </c>
      <c r="AB212" s="18">
        <v>31</v>
      </c>
      <c r="AC212" s="18">
        <v>5</v>
      </c>
      <c r="AD212" s="18"/>
      <c r="AE212" s="18"/>
      <c r="AF212" s="18"/>
      <c r="AG212" s="18">
        <f t="shared" si="28"/>
        <v>36</v>
      </c>
      <c r="AH212" s="18">
        <v>5</v>
      </c>
      <c r="AI212" s="18"/>
      <c r="AJ212" s="18"/>
      <c r="AK212" s="18"/>
      <c r="AL212" s="18"/>
      <c r="AM212" s="18">
        <f t="shared" si="29"/>
        <v>5</v>
      </c>
      <c r="AN212" s="18"/>
      <c r="AO212" s="18"/>
      <c r="AP212" s="18">
        <f t="shared" si="30"/>
        <v>0</v>
      </c>
      <c r="AQ212" s="32">
        <f t="shared" si="31"/>
        <v>308</v>
      </c>
    </row>
    <row r="213" spans="1:43" x14ac:dyDescent="0.35">
      <c r="A213" s="126" t="s">
        <v>692</v>
      </c>
      <c r="B213" s="126" t="s">
        <v>693</v>
      </c>
      <c r="C213" s="126" t="s">
        <v>1294</v>
      </c>
      <c r="D213" s="128">
        <v>63</v>
      </c>
      <c r="E213" s="128">
        <v>18</v>
      </c>
      <c r="F213" s="128">
        <v>11</v>
      </c>
      <c r="G213" s="128">
        <v>18</v>
      </c>
      <c r="H213" s="128"/>
      <c r="I213" s="18">
        <f t="shared" si="24"/>
        <v>110</v>
      </c>
      <c r="J213" s="128">
        <v>1</v>
      </c>
      <c r="K213" s="128"/>
      <c r="L213" s="128"/>
      <c r="M213" s="128"/>
      <c r="N213" s="128"/>
      <c r="O213" s="18">
        <f t="shared" si="25"/>
        <v>1</v>
      </c>
      <c r="P213" s="18">
        <v>2</v>
      </c>
      <c r="Q213" s="18"/>
      <c r="R213" s="18"/>
      <c r="S213" s="18"/>
      <c r="T213" s="18"/>
      <c r="U213" s="18">
        <f t="shared" si="26"/>
        <v>2</v>
      </c>
      <c r="V213" s="18">
        <v>1</v>
      </c>
      <c r="W213" s="18"/>
      <c r="X213" s="18">
        <v>1</v>
      </c>
      <c r="Y213" s="18"/>
      <c r="Z213" s="18"/>
      <c r="AA213" s="18">
        <f t="shared" si="27"/>
        <v>2</v>
      </c>
      <c r="AB213" s="18">
        <v>16</v>
      </c>
      <c r="AC213" s="18">
        <v>1</v>
      </c>
      <c r="AD213" s="18"/>
      <c r="AE213" s="18">
        <v>1</v>
      </c>
      <c r="AF213" s="18"/>
      <c r="AG213" s="18">
        <f t="shared" si="28"/>
        <v>18</v>
      </c>
      <c r="AH213" s="18">
        <v>2</v>
      </c>
      <c r="AI213" s="18"/>
      <c r="AJ213" s="18"/>
      <c r="AK213" s="18"/>
      <c r="AL213" s="18"/>
      <c r="AM213" s="18">
        <f t="shared" si="29"/>
        <v>2</v>
      </c>
      <c r="AN213" s="18"/>
      <c r="AO213" s="18"/>
      <c r="AP213" s="18">
        <f t="shared" si="30"/>
        <v>0</v>
      </c>
      <c r="AQ213" s="32">
        <f t="shared" si="31"/>
        <v>135</v>
      </c>
    </row>
    <row r="214" spans="1:43" x14ac:dyDescent="0.35">
      <c r="A214" s="126" t="s">
        <v>694</v>
      </c>
      <c r="B214" s="126" t="s">
        <v>695</v>
      </c>
      <c r="C214" s="126" t="s">
        <v>1294</v>
      </c>
      <c r="D214" s="128">
        <v>62</v>
      </c>
      <c r="E214" s="128">
        <v>12</v>
      </c>
      <c r="F214" s="128">
        <v>8</v>
      </c>
      <c r="G214" s="128">
        <v>4</v>
      </c>
      <c r="H214" s="128"/>
      <c r="I214" s="18">
        <f t="shared" si="24"/>
        <v>86</v>
      </c>
      <c r="J214" s="128">
        <v>1</v>
      </c>
      <c r="K214" s="128"/>
      <c r="L214" s="128"/>
      <c r="M214" s="128"/>
      <c r="N214" s="128"/>
      <c r="O214" s="18">
        <f t="shared" si="25"/>
        <v>1</v>
      </c>
      <c r="P214" s="18">
        <v>4</v>
      </c>
      <c r="Q214" s="18"/>
      <c r="R214" s="18"/>
      <c r="S214" s="18"/>
      <c r="T214" s="18"/>
      <c r="U214" s="18">
        <f t="shared" si="26"/>
        <v>4</v>
      </c>
      <c r="V214" s="18">
        <v>4</v>
      </c>
      <c r="W214" s="18"/>
      <c r="X214" s="18"/>
      <c r="Y214" s="18"/>
      <c r="Z214" s="18"/>
      <c r="AA214" s="18">
        <f t="shared" si="27"/>
        <v>4</v>
      </c>
      <c r="AB214" s="18">
        <v>6</v>
      </c>
      <c r="AC214" s="18">
        <v>1</v>
      </c>
      <c r="AD214" s="18">
        <v>1</v>
      </c>
      <c r="AE214" s="18"/>
      <c r="AF214" s="18"/>
      <c r="AG214" s="18">
        <f t="shared" si="28"/>
        <v>8</v>
      </c>
      <c r="AH214" s="18">
        <v>1</v>
      </c>
      <c r="AI214" s="18"/>
      <c r="AJ214" s="18"/>
      <c r="AK214" s="18"/>
      <c r="AL214" s="18"/>
      <c r="AM214" s="18">
        <f t="shared" si="29"/>
        <v>1</v>
      </c>
      <c r="AN214" s="18"/>
      <c r="AO214" s="18"/>
      <c r="AP214" s="18">
        <f t="shared" si="30"/>
        <v>0</v>
      </c>
      <c r="AQ214" s="32">
        <f t="shared" si="31"/>
        <v>104</v>
      </c>
    </row>
    <row r="215" spans="1:43" x14ac:dyDescent="0.35">
      <c r="A215" s="126" t="s">
        <v>696</v>
      </c>
      <c r="B215" s="126" t="s">
        <v>697</v>
      </c>
      <c r="C215" s="126" t="s">
        <v>1294</v>
      </c>
      <c r="D215" s="128">
        <v>1060</v>
      </c>
      <c r="E215" s="128">
        <v>197</v>
      </c>
      <c r="F215" s="128">
        <v>91</v>
      </c>
      <c r="G215" s="128">
        <v>23</v>
      </c>
      <c r="H215" s="128"/>
      <c r="I215" s="18">
        <f t="shared" si="24"/>
        <v>1371</v>
      </c>
      <c r="J215" s="128">
        <v>30</v>
      </c>
      <c r="K215" s="128"/>
      <c r="L215" s="128">
        <v>1</v>
      </c>
      <c r="M215" s="128"/>
      <c r="N215" s="128"/>
      <c r="O215" s="18">
        <f t="shared" si="25"/>
        <v>31</v>
      </c>
      <c r="P215" s="18">
        <v>17</v>
      </c>
      <c r="Q215" s="18">
        <v>3</v>
      </c>
      <c r="R215" s="18">
        <v>1</v>
      </c>
      <c r="S215" s="18"/>
      <c r="T215" s="18"/>
      <c r="U215" s="18">
        <f t="shared" si="26"/>
        <v>21</v>
      </c>
      <c r="V215" s="18">
        <v>36</v>
      </c>
      <c r="W215" s="18">
        <v>5</v>
      </c>
      <c r="X215" s="18">
        <v>3</v>
      </c>
      <c r="Y215" s="18"/>
      <c r="Z215" s="18"/>
      <c r="AA215" s="18">
        <f t="shared" si="27"/>
        <v>44</v>
      </c>
      <c r="AB215" s="18">
        <v>149</v>
      </c>
      <c r="AC215" s="18">
        <v>21</v>
      </c>
      <c r="AD215" s="18">
        <v>3</v>
      </c>
      <c r="AE215" s="18">
        <v>2</v>
      </c>
      <c r="AF215" s="18"/>
      <c r="AG215" s="18">
        <f t="shared" si="28"/>
        <v>175</v>
      </c>
      <c r="AH215" s="18">
        <v>31</v>
      </c>
      <c r="AI215" s="18">
        <v>1</v>
      </c>
      <c r="AJ215" s="18"/>
      <c r="AK215" s="18"/>
      <c r="AL215" s="18"/>
      <c r="AM215" s="18">
        <f t="shared" si="29"/>
        <v>32</v>
      </c>
      <c r="AN215" s="18"/>
      <c r="AO215" s="18"/>
      <c r="AP215" s="18">
        <f t="shared" si="30"/>
        <v>0</v>
      </c>
      <c r="AQ215" s="32">
        <f t="shared" si="31"/>
        <v>1674</v>
      </c>
    </row>
    <row r="216" spans="1:43" x14ac:dyDescent="0.35">
      <c r="A216" s="126" t="s">
        <v>698</v>
      </c>
      <c r="B216" s="126" t="s">
        <v>699</v>
      </c>
      <c r="C216" s="126" t="s">
        <v>1294</v>
      </c>
      <c r="D216" s="128">
        <v>19</v>
      </c>
      <c r="E216" s="128">
        <v>1</v>
      </c>
      <c r="F216" s="128"/>
      <c r="G216" s="128">
        <v>1</v>
      </c>
      <c r="H216" s="128"/>
      <c r="I216" s="18">
        <f t="shared" si="24"/>
        <v>21</v>
      </c>
      <c r="J216" s="128"/>
      <c r="K216" s="128"/>
      <c r="L216" s="128"/>
      <c r="M216" s="128"/>
      <c r="N216" s="128"/>
      <c r="O216" s="18">
        <f t="shared" si="25"/>
        <v>0</v>
      </c>
      <c r="P216" s="18"/>
      <c r="Q216" s="18"/>
      <c r="R216" s="18"/>
      <c r="S216" s="18"/>
      <c r="T216" s="18"/>
      <c r="U216" s="18">
        <f t="shared" si="26"/>
        <v>0</v>
      </c>
      <c r="V216" s="18"/>
      <c r="W216" s="18"/>
      <c r="X216" s="18"/>
      <c r="Y216" s="18"/>
      <c r="Z216" s="18"/>
      <c r="AA216" s="18">
        <f t="shared" si="27"/>
        <v>0</v>
      </c>
      <c r="AB216" s="18">
        <v>3</v>
      </c>
      <c r="AC216" s="18"/>
      <c r="AD216" s="18"/>
      <c r="AE216" s="18"/>
      <c r="AF216" s="18"/>
      <c r="AG216" s="18">
        <f t="shared" si="28"/>
        <v>3</v>
      </c>
      <c r="AH216" s="18">
        <v>1</v>
      </c>
      <c r="AI216" s="18"/>
      <c r="AJ216" s="18"/>
      <c r="AK216" s="18"/>
      <c r="AL216" s="18"/>
      <c r="AM216" s="18">
        <f t="shared" si="29"/>
        <v>1</v>
      </c>
      <c r="AN216" s="18"/>
      <c r="AO216" s="18"/>
      <c r="AP216" s="18">
        <f t="shared" si="30"/>
        <v>0</v>
      </c>
      <c r="AQ216" s="32">
        <f t="shared" si="31"/>
        <v>25</v>
      </c>
    </row>
    <row r="217" spans="1:43" x14ac:dyDescent="0.35">
      <c r="A217" s="126" t="s">
        <v>700</v>
      </c>
      <c r="B217" s="126" t="s">
        <v>701</v>
      </c>
      <c r="C217" s="126" t="s">
        <v>1294</v>
      </c>
      <c r="D217" s="128">
        <v>93</v>
      </c>
      <c r="E217" s="128">
        <v>13</v>
      </c>
      <c r="F217" s="128">
        <v>4</v>
      </c>
      <c r="G217" s="128"/>
      <c r="H217" s="128"/>
      <c r="I217" s="18">
        <f t="shared" si="24"/>
        <v>110</v>
      </c>
      <c r="J217" s="128">
        <v>5</v>
      </c>
      <c r="K217" s="128"/>
      <c r="L217" s="128"/>
      <c r="M217" s="128"/>
      <c r="N217" s="128"/>
      <c r="O217" s="18">
        <f t="shared" si="25"/>
        <v>5</v>
      </c>
      <c r="P217" s="18">
        <v>2</v>
      </c>
      <c r="Q217" s="18"/>
      <c r="R217" s="18"/>
      <c r="S217" s="18"/>
      <c r="T217" s="18"/>
      <c r="U217" s="18">
        <f t="shared" si="26"/>
        <v>2</v>
      </c>
      <c r="V217" s="18">
        <v>8</v>
      </c>
      <c r="W217" s="18">
        <v>1</v>
      </c>
      <c r="X217" s="18">
        <v>2</v>
      </c>
      <c r="Y217" s="18"/>
      <c r="Z217" s="18"/>
      <c r="AA217" s="18">
        <f t="shared" si="27"/>
        <v>11</v>
      </c>
      <c r="AB217" s="18">
        <v>17</v>
      </c>
      <c r="AC217" s="18">
        <v>7</v>
      </c>
      <c r="AD217" s="18"/>
      <c r="AE217" s="18"/>
      <c r="AF217" s="18"/>
      <c r="AG217" s="18">
        <f t="shared" si="28"/>
        <v>24</v>
      </c>
      <c r="AH217" s="18"/>
      <c r="AI217" s="18"/>
      <c r="AJ217" s="18"/>
      <c r="AK217" s="18"/>
      <c r="AL217" s="18"/>
      <c r="AM217" s="18">
        <f t="shared" si="29"/>
        <v>0</v>
      </c>
      <c r="AN217" s="18"/>
      <c r="AO217" s="18"/>
      <c r="AP217" s="18">
        <f t="shared" si="30"/>
        <v>0</v>
      </c>
      <c r="AQ217" s="32">
        <f t="shared" si="31"/>
        <v>152</v>
      </c>
    </row>
    <row r="218" spans="1:43" x14ac:dyDescent="0.35">
      <c r="A218" s="126" t="s">
        <v>702</v>
      </c>
      <c r="B218" s="126" t="s">
        <v>703</v>
      </c>
      <c r="C218" s="126" t="s">
        <v>1294</v>
      </c>
      <c r="D218" s="128">
        <v>573</v>
      </c>
      <c r="E218" s="128">
        <v>50</v>
      </c>
      <c r="F218" s="128">
        <v>16</v>
      </c>
      <c r="G218" s="128">
        <v>6</v>
      </c>
      <c r="H218" s="128"/>
      <c r="I218" s="18">
        <f t="shared" si="24"/>
        <v>645</v>
      </c>
      <c r="J218" s="128">
        <v>11</v>
      </c>
      <c r="K218" s="128"/>
      <c r="L218" s="128"/>
      <c r="M218" s="128"/>
      <c r="N218" s="128"/>
      <c r="O218" s="18">
        <f t="shared" si="25"/>
        <v>11</v>
      </c>
      <c r="P218" s="18">
        <v>8</v>
      </c>
      <c r="Q218" s="18">
        <v>3</v>
      </c>
      <c r="R218" s="18"/>
      <c r="S218" s="18"/>
      <c r="T218" s="18"/>
      <c r="U218" s="18">
        <f t="shared" si="26"/>
        <v>11</v>
      </c>
      <c r="V218" s="18">
        <v>17</v>
      </c>
      <c r="W218" s="18">
        <v>3</v>
      </c>
      <c r="X218" s="18"/>
      <c r="Y218" s="18"/>
      <c r="Z218" s="18"/>
      <c r="AA218" s="18">
        <f t="shared" si="27"/>
        <v>20</v>
      </c>
      <c r="AB218" s="18">
        <v>127</v>
      </c>
      <c r="AC218" s="18">
        <v>5</v>
      </c>
      <c r="AD218" s="18">
        <v>1</v>
      </c>
      <c r="AE218" s="18"/>
      <c r="AF218" s="18"/>
      <c r="AG218" s="18">
        <f t="shared" si="28"/>
        <v>133</v>
      </c>
      <c r="AH218" s="18">
        <v>11</v>
      </c>
      <c r="AI218" s="18"/>
      <c r="AJ218" s="18"/>
      <c r="AK218" s="18"/>
      <c r="AL218" s="18"/>
      <c r="AM218" s="18">
        <f t="shared" si="29"/>
        <v>11</v>
      </c>
      <c r="AN218" s="18"/>
      <c r="AO218" s="18"/>
      <c r="AP218" s="18">
        <f t="shared" si="30"/>
        <v>0</v>
      </c>
      <c r="AQ218" s="32">
        <f t="shared" si="31"/>
        <v>831</v>
      </c>
    </row>
    <row r="219" spans="1:43" x14ac:dyDescent="0.35">
      <c r="A219" s="126" t="s">
        <v>704</v>
      </c>
      <c r="B219" s="126" t="s">
        <v>705</v>
      </c>
      <c r="C219" s="126" t="s">
        <v>1294</v>
      </c>
      <c r="D219" s="128">
        <v>299</v>
      </c>
      <c r="E219" s="128">
        <v>21</v>
      </c>
      <c r="F219" s="128">
        <v>7</v>
      </c>
      <c r="G219" s="128">
        <v>1</v>
      </c>
      <c r="H219" s="128"/>
      <c r="I219" s="18">
        <f t="shared" si="24"/>
        <v>328</v>
      </c>
      <c r="J219" s="128">
        <v>2</v>
      </c>
      <c r="K219" s="128"/>
      <c r="L219" s="128"/>
      <c r="M219" s="128"/>
      <c r="N219" s="128"/>
      <c r="O219" s="18">
        <f t="shared" si="25"/>
        <v>2</v>
      </c>
      <c r="P219" s="18">
        <v>2</v>
      </c>
      <c r="Q219" s="18"/>
      <c r="R219" s="18"/>
      <c r="S219" s="18"/>
      <c r="T219" s="18"/>
      <c r="U219" s="18">
        <f t="shared" si="26"/>
        <v>2</v>
      </c>
      <c r="V219" s="18">
        <v>4</v>
      </c>
      <c r="W219" s="18"/>
      <c r="X219" s="18"/>
      <c r="Y219" s="18"/>
      <c r="Z219" s="18"/>
      <c r="AA219" s="18">
        <f t="shared" si="27"/>
        <v>4</v>
      </c>
      <c r="AB219" s="18">
        <v>65</v>
      </c>
      <c r="AC219" s="18">
        <v>3</v>
      </c>
      <c r="AD219" s="18"/>
      <c r="AE219" s="18"/>
      <c r="AF219" s="18"/>
      <c r="AG219" s="18">
        <f t="shared" si="28"/>
        <v>68</v>
      </c>
      <c r="AH219" s="18">
        <v>5</v>
      </c>
      <c r="AI219" s="18"/>
      <c r="AJ219" s="18"/>
      <c r="AK219" s="18"/>
      <c r="AL219" s="18"/>
      <c r="AM219" s="18">
        <f t="shared" si="29"/>
        <v>5</v>
      </c>
      <c r="AN219" s="18"/>
      <c r="AO219" s="18"/>
      <c r="AP219" s="18">
        <f t="shared" si="30"/>
        <v>0</v>
      </c>
      <c r="AQ219" s="32">
        <f t="shared" si="31"/>
        <v>409</v>
      </c>
    </row>
    <row r="220" spans="1:43" x14ac:dyDescent="0.35">
      <c r="A220" s="126" t="s">
        <v>706</v>
      </c>
      <c r="B220" s="126" t="s">
        <v>707</v>
      </c>
      <c r="C220" s="126" t="s">
        <v>1294</v>
      </c>
      <c r="D220" s="128">
        <v>129</v>
      </c>
      <c r="E220" s="128">
        <v>13</v>
      </c>
      <c r="F220" s="128">
        <v>2</v>
      </c>
      <c r="G220" s="128"/>
      <c r="H220" s="128"/>
      <c r="I220" s="18">
        <f t="shared" si="24"/>
        <v>144</v>
      </c>
      <c r="J220" s="128">
        <v>2</v>
      </c>
      <c r="K220" s="128"/>
      <c r="L220" s="128"/>
      <c r="M220" s="128"/>
      <c r="N220" s="128"/>
      <c r="O220" s="18">
        <f t="shared" si="25"/>
        <v>2</v>
      </c>
      <c r="P220" s="18">
        <v>1</v>
      </c>
      <c r="Q220" s="18"/>
      <c r="R220" s="18"/>
      <c r="S220" s="18"/>
      <c r="T220" s="18"/>
      <c r="U220" s="18">
        <f t="shared" si="26"/>
        <v>1</v>
      </c>
      <c r="V220" s="18"/>
      <c r="W220" s="18"/>
      <c r="X220" s="18"/>
      <c r="Y220" s="18"/>
      <c r="Z220" s="18"/>
      <c r="AA220" s="18">
        <f t="shared" si="27"/>
        <v>0</v>
      </c>
      <c r="AB220" s="18">
        <v>21</v>
      </c>
      <c r="AC220" s="18"/>
      <c r="AD220" s="18"/>
      <c r="AE220" s="18"/>
      <c r="AF220" s="18"/>
      <c r="AG220" s="18">
        <f t="shared" si="28"/>
        <v>21</v>
      </c>
      <c r="AH220" s="18">
        <v>2</v>
      </c>
      <c r="AI220" s="18"/>
      <c r="AJ220" s="18"/>
      <c r="AK220" s="18"/>
      <c r="AL220" s="18"/>
      <c r="AM220" s="18">
        <f t="shared" si="29"/>
        <v>2</v>
      </c>
      <c r="AN220" s="18"/>
      <c r="AO220" s="18"/>
      <c r="AP220" s="18">
        <f t="shared" si="30"/>
        <v>0</v>
      </c>
      <c r="AQ220" s="32">
        <f t="shared" si="31"/>
        <v>170</v>
      </c>
    </row>
    <row r="221" spans="1:43" x14ac:dyDescent="0.35">
      <c r="A221" s="126" t="s">
        <v>708</v>
      </c>
      <c r="B221" s="126" t="s">
        <v>709</v>
      </c>
      <c r="C221" s="126" t="s">
        <v>1294</v>
      </c>
      <c r="D221" s="128">
        <v>1104</v>
      </c>
      <c r="E221" s="128">
        <v>80</v>
      </c>
      <c r="F221" s="128">
        <v>8</v>
      </c>
      <c r="G221" s="128"/>
      <c r="H221" s="128"/>
      <c r="I221" s="18">
        <f t="shared" si="24"/>
        <v>1192</v>
      </c>
      <c r="J221" s="128">
        <v>14</v>
      </c>
      <c r="K221" s="128"/>
      <c r="L221" s="128"/>
      <c r="M221" s="128"/>
      <c r="N221" s="128"/>
      <c r="O221" s="18">
        <f t="shared" si="25"/>
        <v>14</v>
      </c>
      <c r="P221" s="18">
        <v>7</v>
      </c>
      <c r="Q221" s="18"/>
      <c r="R221" s="18"/>
      <c r="S221" s="18"/>
      <c r="T221" s="18"/>
      <c r="U221" s="18">
        <f t="shared" si="26"/>
        <v>7</v>
      </c>
      <c r="V221" s="18">
        <v>5</v>
      </c>
      <c r="W221" s="18"/>
      <c r="X221" s="18"/>
      <c r="Y221" s="18"/>
      <c r="Z221" s="18"/>
      <c r="AA221" s="18">
        <f t="shared" si="27"/>
        <v>5</v>
      </c>
      <c r="AB221" s="18">
        <v>203</v>
      </c>
      <c r="AC221" s="18">
        <v>13</v>
      </c>
      <c r="AD221" s="18">
        <v>1</v>
      </c>
      <c r="AE221" s="18"/>
      <c r="AF221" s="18"/>
      <c r="AG221" s="18">
        <f t="shared" si="28"/>
        <v>217</v>
      </c>
      <c r="AH221" s="18">
        <v>5</v>
      </c>
      <c r="AI221" s="18"/>
      <c r="AJ221" s="18"/>
      <c r="AK221" s="18"/>
      <c r="AL221" s="18"/>
      <c r="AM221" s="18">
        <f t="shared" si="29"/>
        <v>5</v>
      </c>
      <c r="AN221" s="18"/>
      <c r="AO221" s="18"/>
      <c r="AP221" s="18">
        <f t="shared" si="30"/>
        <v>0</v>
      </c>
      <c r="AQ221" s="32">
        <f t="shared" si="31"/>
        <v>1440</v>
      </c>
    </row>
    <row r="222" spans="1:43" x14ac:dyDescent="0.35">
      <c r="A222" s="126" t="s">
        <v>710</v>
      </c>
      <c r="B222" s="126" t="s">
        <v>711</v>
      </c>
      <c r="C222" s="126" t="s">
        <v>1294</v>
      </c>
      <c r="D222" s="128">
        <v>473</v>
      </c>
      <c r="E222" s="128">
        <v>56</v>
      </c>
      <c r="F222" s="128">
        <v>15</v>
      </c>
      <c r="G222" s="128">
        <v>2</v>
      </c>
      <c r="H222" s="128"/>
      <c r="I222" s="18">
        <f t="shared" si="24"/>
        <v>546</v>
      </c>
      <c r="J222" s="128">
        <v>6</v>
      </c>
      <c r="K222" s="128"/>
      <c r="L222" s="128"/>
      <c r="M222" s="128"/>
      <c r="N222" s="128"/>
      <c r="O222" s="18">
        <f t="shared" si="25"/>
        <v>6</v>
      </c>
      <c r="P222" s="18">
        <v>11</v>
      </c>
      <c r="Q222" s="18">
        <v>2</v>
      </c>
      <c r="R222" s="18"/>
      <c r="S222" s="18"/>
      <c r="T222" s="18"/>
      <c r="U222" s="18">
        <f t="shared" si="26"/>
        <v>13</v>
      </c>
      <c r="V222" s="18">
        <v>7</v>
      </c>
      <c r="W222" s="18"/>
      <c r="X222" s="18"/>
      <c r="Y222" s="18"/>
      <c r="Z222" s="18"/>
      <c r="AA222" s="18">
        <f t="shared" si="27"/>
        <v>7</v>
      </c>
      <c r="AB222" s="18">
        <v>75</v>
      </c>
      <c r="AC222" s="18">
        <v>2</v>
      </c>
      <c r="AD222" s="18">
        <v>2</v>
      </c>
      <c r="AE222" s="18"/>
      <c r="AF222" s="18"/>
      <c r="AG222" s="18">
        <f t="shared" si="28"/>
        <v>79</v>
      </c>
      <c r="AH222" s="18">
        <v>12</v>
      </c>
      <c r="AI222" s="18">
        <v>1</v>
      </c>
      <c r="AJ222" s="18"/>
      <c r="AK222" s="18"/>
      <c r="AL222" s="18"/>
      <c r="AM222" s="18">
        <f t="shared" si="29"/>
        <v>13</v>
      </c>
      <c r="AN222" s="18"/>
      <c r="AO222" s="18"/>
      <c r="AP222" s="18">
        <f t="shared" si="30"/>
        <v>0</v>
      </c>
      <c r="AQ222" s="32">
        <f t="shared" si="31"/>
        <v>664</v>
      </c>
    </row>
    <row r="223" spans="1:43" x14ac:dyDescent="0.35">
      <c r="A223" s="126" t="s">
        <v>712</v>
      </c>
      <c r="B223" s="126" t="s">
        <v>713</v>
      </c>
      <c r="C223" s="126" t="s">
        <v>1295</v>
      </c>
      <c r="D223" s="128">
        <v>74</v>
      </c>
      <c r="E223" s="128">
        <v>5</v>
      </c>
      <c r="F223" s="128">
        <v>4</v>
      </c>
      <c r="G223" s="128">
        <v>14</v>
      </c>
      <c r="H223" s="128"/>
      <c r="I223" s="18">
        <f t="shared" si="24"/>
        <v>97</v>
      </c>
      <c r="J223" s="128">
        <v>1</v>
      </c>
      <c r="K223" s="128">
        <v>1</v>
      </c>
      <c r="L223" s="128"/>
      <c r="M223" s="128"/>
      <c r="N223" s="128"/>
      <c r="O223" s="18">
        <f t="shared" si="25"/>
        <v>2</v>
      </c>
      <c r="P223" s="18"/>
      <c r="Q223" s="18"/>
      <c r="R223" s="18"/>
      <c r="S223" s="18"/>
      <c r="T223" s="18"/>
      <c r="U223" s="18">
        <f t="shared" si="26"/>
        <v>0</v>
      </c>
      <c r="V223" s="18"/>
      <c r="W223" s="18"/>
      <c r="X223" s="18"/>
      <c r="Y223" s="18"/>
      <c r="Z223" s="18"/>
      <c r="AA223" s="18">
        <f t="shared" si="27"/>
        <v>0</v>
      </c>
      <c r="AB223" s="18">
        <v>2</v>
      </c>
      <c r="AC223" s="18">
        <v>1</v>
      </c>
      <c r="AD223" s="18"/>
      <c r="AE223" s="18"/>
      <c r="AF223" s="18"/>
      <c r="AG223" s="18">
        <f t="shared" si="28"/>
        <v>3</v>
      </c>
      <c r="AH223" s="18"/>
      <c r="AI223" s="18"/>
      <c r="AJ223" s="18"/>
      <c r="AK223" s="18"/>
      <c r="AL223" s="18"/>
      <c r="AM223" s="18">
        <f t="shared" si="29"/>
        <v>0</v>
      </c>
      <c r="AN223" s="18"/>
      <c r="AO223" s="18"/>
      <c r="AP223" s="18">
        <f t="shared" si="30"/>
        <v>0</v>
      </c>
      <c r="AQ223" s="32">
        <f t="shared" si="31"/>
        <v>102</v>
      </c>
    </row>
    <row r="224" spans="1:43" x14ac:dyDescent="0.35">
      <c r="A224" s="126" t="s">
        <v>714</v>
      </c>
      <c r="B224" s="126" t="s">
        <v>715</v>
      </c>
      <c r="C224" s="126" t="s">
        <v>1295</v>
      </c>
      <c r="D224" s="128">
        <v>447</v>
      </c>
      <c r="E224" s="128">
        <v>9</v>
      </c>
      <c r="F224" s="128">
        <v>1</v>
      </c>
      <c r="G224" s="128"/>
      <c r="H224" s="128"/>
      <c r="I224" s="18">
        <f t="shared" si="24"/>
        <v>457</v>
      </c>
      <c r="J224" s="128">
        <v>5</v>
      </c>
      <c r="K224" s="128"/>
      <c r="L224" s="128"/>
      <c r="M224" s="128"/>
      <c r="N224" s="128"/>
      <c r="O224" s="18">
        <f t="shared" si="25"/>
        <v>5</v>
      </c>
      <c r="P224" s="18">
        <v>2</v>
      </c>
      <c r="Q224" s="18"/>
      <c r="R224" s="18"/>
      <c r="S224" s="18"/>
      <c r="T224" s="18"/>
      <c r="U224" s="18">
        <f t="shared" si="26"/>
        <v>2</v>
      </c>
      <c r="V224" s="18">
        <v>2</v>
      </c>
      <c r="W224" s="18"/>
      <c r="X224" s="18"/>
      <c r="Y224" s="18"/>
      <c r="Z224" s="18"/>
      <c r="AA224" s="18">
        <f t="shared" si="27"/>
        <v>2</v>
      </c>
      <c r="AB224" s="18">
        <v>20</v>
      </c>
      <c r="AC224" s="18"/>
      <c r="AD224" s="18"/>
      <c r="AE224" s="18"/>
      <c r="AF224" s="18"/>
      <c r="AG224" s="18">
        <f t="shared" si="28"/>
        <v>20</v>
      </c>
      <c r="AH224" s="18">
        <v>5</v>
      </c>
      <c r="AI224" s="18"/>
      <c r="AJ224" s="18"/>
      <c r="AK224" s="18"/>
      <c r="AL224" s="18"/>
      <c r="AM224" s="18">
        <f t="shared" si="29"/>
        <v>5</v>
      </c>
      <c r="AN224" s="18"/>
      <c r="AO224" s="18"/>
      <c r="AP224" s="18">
        <f t="shared" si="30"/>
        <v>0</v>
      </c>
      <c r="AQ224" s="32">
        <f t="shared" si="31"/>
        <v>491</v>
      </c>
    </row>
    <row r="225" spans="1:43" x14ac:dyDescent="0.35">
      <c r="A225" s="126" t="s">
        <v>716</v>
      </c>
      <c r="B225" s="126" t="s">
        <v>717</v>
      </c>
      <c r="C225" s="126" t="s">
        <v>1294</v>
      </c>
      <c r="D225" s="128">
        <v>1382</v>
      </c>
      <c r="E225" s="128">
        <v>32</v>
      </c>
      <c r="F225" s="128">
        <v>11</v>
      </c>
      <c r="G225" s="128">
        <v>1</v>
      </c>
      <c r="H225" s="128"/>
      <c r="I225" s="18">
        <f t="shared" si="24"/>
        <v>1426</v>
      </c>
      <c r="J225" s="128">
        <v>107</v>
      </c>
      <c r="K225" s="128"/>
      <c r="L225" s="128"/>
      <c r="M225" s="128"/>
      <c r="N225" s="128"/>
      <c r="O225" s="18">
        <f t="shared" si="25"/>
        <v>107</v>
      </c>
      <c r="P225" s="18">
        <v>89</v>
      </c>
      <c r="Q225" s="18">
        <v>1</v>
      </c>
      <c r="R225" s="18"/>
      <c r="S225" s="18"/>
      <c r="T225" s="18"/>
      <c r="U225" s="18">
        <f t="shared" si="26"/>
        <v>90</v>
      </c>
      <c r="V225" s="18">
        <v>91</v>
      </c>
      <c r="W225" s="18"/>
      <c r="X225" s="18"/>
      <c r="Y225" s="18"/>
      <c r="Z225" s="18"/>
      <c r="AA225" s="18">
        <f t="shared" si="27"/>
        <v>91</v>
      </c>
      <c r="AB225" s="18">
        <v>233</v>
      </c>
      <c r="AC225" s="18">
        <v>4</v>
      </c>
      <c r="AD225" s="18">
        <v>2</v>
      </c>
      <c r="AE225" s="18"/>
      <c r="AF225" s="18"/>
      <c r="AG225" s="18">
        <f t="shared" si="28"/>
        <v>239</v>
      </c>
      <c r="AH225" s="18">
        <v>42</v>
      </c>
      <c r="AI225" s="18"/>
      <c r="AJ225" s="18"/>
      <c r="AK225" s="18"/>
      <c r="AL225" s="18"/>
      <c r="AM225" s="18">
        <f t="shared" si="29"/>
        <v>42</v>
      </c>
      <c r="AN225" s="18"/>
      <c r="AO225" s="18"/>
      <c r="AP225" s="18">
        <f t="shared" si="30"/>
        <v>0</v>
      </c>
      <c r="AQ225" s="32">
        <f t="shared" si="31"/>
        <v>1995</v>
      </c>
    </row>
    <row r="226" spans="1:43" x14ac:dyDescent="0.35">
      <c r="A226" s="126" t="s">
        <v>718</v>
      </c>
      <c r="B226" s="126" t="s">
        <v>719</v>
      </c>
      <c r="C226" s="126" t="s">
        <v>1295</v>
      </c>
      <c r="D226" s="128">
        <v>1182</v>
      </c>
      <c r="E226" s="128">
        <v>161</v>
      </c>
      <c r="F226" s="128">
        <v>20</v>
      </c>
      <c r="G226" s="128">
        <v>3</v>
      </c>
      <c r="H226" s="128"/>
      <c r="I226" s="18">
        <f t="shared" si="24"/>
        <v>1366</v>
      </c>
      <c r="J226" s="128">
        <v>43</v>
      </c>
      <c r="K226" s="128"/>
      <c r="L226" s="128"/>
      <c r="M226" s="128"/>
      <c r="N226" s="128"/>
      <c r="O226" s="18">
        <f t="shared" si="25"/>
        <v>43</v>
      </c>
      <c r="P226" s="18">
        <v>50</v>
      </c>
      <c r="Q226" s="18">
        <v>3</v>
      </c>
      <c r="R226" s="18"/>
      <c r="S226" s="18"/>
      <c r="T226" s="18"/>
      <c r="U226" s="18">
        <f t="shared" si="26"/>
        <v>53</v>
      </c>
      <c r="V226" s="18">
        <v>50</v>
      </c>
      <c r="W226" s="18"/>
      <c r="X226" s="18"/>
      <c r="Y226" s="18"/>
      <c r="Z226" s="18"/>
      <c r="AA226" s="18">
        <f t="shared" si="27"/>
        <v>50</v>
      </c>
      <c r="AB226" s="18">
        <v>135</v>
      </c>
      <c r="AC226" s="18">
        <v>15</v>
      </c>
      <c r="AD226" s="18">
        <v>1</v>
      </c>
      <c r="AE226" s="18"/>
      <c r="AF226" s="18"/>
      <c r="AG226" s="18">
        <f t="shared" si="28"/>
        <v>151</v>
      </c>
      <c r="AH226" s="18">
        <v>36</v>
      </c>
      <c r="AI226" s="18"/>
      <c r="AJ226" s="18"/>
      <c r="AK226" s="18"/>
      <c r="AL226" s="18"/>
      <c r="AM226" s="18">
        <f t="shared" si="29"/>
        <v>36</v>
      </c>
      <c r="AN226" s="18"/>
      <c r="AO226" s="18"/>
      <c r="AP226" s="18">
        <f t="shared" si="30"/>
        <v>0</v>
      </c>
      <c r="AQ226" s="32">
        <f t="shared" si="31"/>
        <v>1699</v>
      </c>
    </row>
    <row r="227" spans="1:43" x14ac:dyDescent="0.35">
      <c r="A227" s="126" t="s">
        <v>720</v>
      </c>
      <c r="B227" s="126" t="s">
        <v>721</v>
      </c>
      <c r="C227" s="126" t="s">
        <v>1295</v>
      </c>
      <c r="D227" s="128">
        <v>470</v>
      </c>
      <c r="E227" s="128">
        <v>56</v>
      </c>
      <c r="F227" s="128">
        <v>9</v>
      </c>
      <c r="G227" s="128">
        <v>2</v>
      </c>
      <c r="H227" s="128"/>
      <c r="I227" s="18">
        <f t="shared" si="24"/>
        <v>537</v>
      </c>
      <c r="J227" s="128">
        <v>93</v>
      </c>
      <c r="K227" s="128">
        <v>1</v>
      </c>
      <c r="L227" s="128"/>
      <c r="M227" s="128"/>
      <c r="N227" s="128"/>
      <c r="O227" s="18">
        <f t="shared" si="25"/>
        <v>94</v>
      </c>
      <c r="P227" s="18">
        <v>34</v>
      </c>
      <c r="Q227" s="18">
        <v>2</v>
      </c>
      <c r="R227" s="18"/>
      <c r="S227" s="18"/>
      <c r="T227" s="18"/>
      <c r="U227" s="18">
        <f t="shared" si="26"/>
        <v>36</v>
      </c>
      <c r="V227" s="18">
        <v>30</v>
      </c>
      <c r="W227" s="18">
        <v>8</v>
      </c>
      <c r="X227" s="18"/>
      <c r="Y227" s="18"/>
      <c r="Z227" s="18"/>
      <c r="AA227" s="18">
        <f t="shared" si="27"/>
        <v>38</v>
      </c>
      <c r="AB227" s="18">
        <v>86</v>
      </c>
      <c r="AC227" s="18">
        <v>8</v>
      </c>
      <c r="AD227" s="18"/>
      <c r="AE227" s="18"/>
      <c r="AF227" s="18"/>
      <c r="AG227" s="18">
        <f t="shared" si="28"/>
        <v>94</v>
      </c>
      <c r="AH227" s="18">
        <v>19</v>
      </c>
      <c r="AI227" s="18"/>
      <c r="AJ227" s="18"/>
      <c r="AK227" s="18"/>
      <c r="AL227" s="18"/>
      <c r="AM227" s="18">
        <f t="shared" si="29"/>
        <v>19</v>
      </c>
      <c r="AN227" s="18"/>
      <c r="AO227" s="18"/>
      <c r="AP227" s="18">
        <f t="shared" si="30"/>
        <v>0</v>
      </c>
      <c r="AQ227" s="32">
        <f t="shared" si="31"/>
        <v>818</v>
      </c>
    </row>
    <row r="228" spans="1:43" x14ac:dyDescent="0.35">
      <c r="A228" s="126" t="s">
        <v>722</v>
      </c>
      <c r="B228" s="126" t="s">
        <v>723</v>
      </c>
      <c r="C228" s="126" t="s">
        <v>1294</v>
      </c>
      <c r="D228" s="128">
        <v>400</v>
      </c>
      <c r="E228" s="128">
        <v>6</v>
      </c>
      <c r="F228" s="128">
        <v>2</v>
      </c>
      <c r="G228" s="128"/>
      <c r="H228" s="128"/>
      <c r="I228" s="18">
        <f t="shared" si="24"/>
        <v>408</v>
      </c>
      <c r="J228" s="128">
        <v>102</v>
      </c>
      <c r="K228" s="128"/>
      <c r="L228" s="128"/>
      <c r="M228" s="128"/>
      <c r="N228" s="128"/>
      <c r="O228" s="18">
        <f t="shared" si="25"/>
        <v>102</v>
      </c>
      <c r="P228" s="18">
        <v>73</v>
      </c>
      <c r="Q228" s="18"/>
      <c r="R228" s="18"/>
      <c r="S228" s="18"/>
      <c r="T228" s="18"/>
      <c r="U228" s="18">
        <f t="shared" si="26"/>
        <v>73</v>
      </c>
      <c r="V228" s="18">
        <v>31</v>
      </c>
      <c r="W228" s="18"/>
      <c r="X228" s="18"/>
      <c r="Y228" s="18"/>
      <c r="Z228" s="18"/>
      <c r="AA228" s="18">
        <f t="shared" si="27"/>
        <v>31</v>
      </c>
      <c r="AB228" s="18">
        <v>98</v>
      </c>
      <c r="AC228" s="18"/>
      <c r="AD228" s="18"/>
      <c r="AE228" s="18"/>
      <c r="AF228" s="18"/>
      <c r="AG228" s="18">
        <f t="shared" si="28"/>
        <v>98</v>
      </c>
      <c r="AH228" s="18">
        <v>60</v>
      </c>
      <c r="AI228" s="18"/>
      <c r="AJ228" s="18"/>
      <c r="AK228" s="18"/>
      <c r="AL228" s="18"/>
      <c r="AM228" s="18">
        <f t="shared" si="29"/>
        <v>60</v>
      </c>
      <c r="AN228" s="18"/>
      <c r="AO228" s="18"/>
      <c r="AP228" s="18">
        <f t="shared" si="30"/>
        <v>0</v>
      </c>
      <c r="AQ228" s="32">
        <f t="shared" si="31"/>
        <v>772</v>
      </c>
    </row>
    <row r="229" spans="1:43" x14ac:dyDescent="0.35">
      <c r="A229" s="126" t="s">
        <v>724</v>
      </c>
      <c r="B229" s="126" t="s">
        <v>725</v>
      </c>
      <c r="C229" s="126" t="s">
        <v>1295</v>
      </c>
      <c r="D229" s="128">
        <v>233</v>
      </c>
      <c r="E229" s="128">
        <v>12</v>
      </c>
      <c r="F229" s="128">
        <v>4</v>
      </c>
      <c r="G229" s="128">
        <v>1</v>
      </c>
      <c r="H229" s="128"/>
      <c r="I229" s="18">
        <f t="shared" si="24"/>
        <v>250</v>
      </c>
      <c r="J229" s="128">
        <v>9</v>
      </c>
      <c r="K229" s="128">
        <v>1</v>
      </c>
      <c r="L229" s="128"/>
      <c r="M229" s="128"/>
      <c r="N229" s="128"/>
      <c r="O229" s="18">
        <f t="shared" si="25"/>
        <v>10</v>
      </c>
      <c r="P229" s="18">
        <v>5</v>
      </c>
      <c r="Q229" s="18"/>
      <c r="R229" s="18"/>
      <c r="S229" s="18"/>
      <c r="T229" s="18"/>
      <c r="U229" s="18">
        <f t="shared" si="26"/>
        <v>5</v>
      </c>
      <c r="V229" s="18">
        <v>1</v>
      </c>
      <c r="W229" s="18"/>
      <c r="X229" s="18"/>
      <c r="Y229" s="18"/>
      <c r="Z229" s="18"/>
      <c r="AA229" s="18">
        <f t="shared" si="27"/>
        <v>1</v>
      </c>
      <c r="AB229" s="18">
        <v>20</v>
      </c>
      <c r="AC229" s="18"/>
      <c r="AD229" s="18"/>
      <c r="AE229" s="18"/>
      <c r="AF229" s="18"/>
      <c r="AG229" s="18">
        <f t="shared" si="28"/>
        <v>20</v>
      </c>
      <c r="AH229" s="18">
        <v>4</v>
      </c>
      <c r="AI229" s="18"/>
      <c r="AJ229" s="18"/>
      <c r="AK229" s="18"/>
      <c r="AL229" s="18"/>
      <c r="AM229" s="18">
        <f t="shared" si="29"/>
        <v>4</v>
      </c>
      <c r="AN229" s="18"/>
      <c r="AO229" s="18"/>
      <c r="AP229" s="18">
        <f t="shared" si="30"/>
        <v>0</v>
      </c>
      <c r="AQ229" s="32">
        <f t="shared" si="31"/>
        <v>290</v>
      </c>
    </row>
    <row r="230" spans="1:43" x14ac:dyDescent="0.35">
      <c r="A230" s="126" t="s">
        <v>726</v>
      </c>
      <c r="B230" s="126" t="s">
        <v>1378</v>
      </c>
      <c r="C230" s="126" t="s">
        <v>1295</v>
      </c>
      <c r="D230" s="128">
        <v>229</v>
      </c>
      <c r="E230" s="128">
        <v>33</v>
      </c>
      <c r="F230" s="128">
        <v>3</v>
      </c>
      <c r="G230" s="128">
        <v>7</v>
      </c>
      <c r="H230" s="128"/>
      <c r="I230" s="18">
        <f t="shared" si="24"/>
        <v>272</v>
      </c>
      <c r="J230" s="128">
        <v>113</v>
      </c>
      <c r="K230" s="128">
        <v>9</v>
      </c>
      <c r="L230" s="128">
        <v>3</v>
      </c>
      <c r="M230" s="128"/>
      <c r="N230" s="128"/>
      <c r="O230" s="18">
        <f t="shared" si="25"/>
        <v>125</v>
      </c>
      <c r="P230" s="18">
        <v>40</v>
      </c>
      <c r="Q230" s="18">
        <v>6</v>
      </c>
      <c r="R230" s="18">
        <v>3</v>
      </c>
      <c r="S230" s="18"/>
      <c r="T230" s="18"/>
      <c r="U230" s="18">
        <f t="shared" si="26"/>
        <v>49</v>
      </c>
      <c r="V230" s="18">
        <v>15</v>
      </c>
      <c r="W230" s="18">
        <v>4</v>
      </c>
      <c r="X230" s="18">
        <v>1</v>
      </c>
      <c r="Y230" s="18">
        <v>1</v>
      </c>
      <c r="Z230" s="18"/>
      <c r="AA230" s="18">
        <f t="shared" si="27"/>
        <v>21</v>
      </c>
      <c r="AB230" s="18">
        <v>22</v>
      </c>
      <c r="AC230" s="18">
        <v>6</v>
      </c>
      <c r="AD230" s="18">
        <v>4</v>
      </c>
      <c r="AE230" s="18"/>
      <c r="AF230" s="18"/>
      <c r="AG230" s="18">
        <f t="shared" si="28"/>
        <v>32</v>
      </c>
      <c r="AH230" s="18">
        <v>17</v>
      </c>
      <c r="AI230" s="18">
        <v>1</v>
      </c>
      <c r="AJ230" s="18">
        <v>1</v>
      </c>
      <c r="AK230" s="18"/>
      <c r="AL230" s="18"/>
      <c r="AM230" s="18">
        <f t="shared" si="29"/>
        <v>19</v>
      </c>
      <c r="AN230" s="18"/>
      <c r="AO230" s="18"/>
      <c r="AP230" s="18">
        <f t="shared" si="30"/>
        <v>0</v>
      </c>
      <c r="AQ230" s="32">
        <f t="shared" si="31"/>
        <v>518</v>
      </c>
    </row>
    <row r="231" spans="1:43" x14ac:dyDescent="0.35">
      <c r="A231" s="126" t="s">
        <v>727</v>
      </c>
      <c r="B231" s="126" t="s">
        <v>728</v>
      </c>
      <c r="C231" s="126" t="s">
        <v>1295</v>
      </c>
      <c r="D231" s="128">
        <v>514</v>
      </c>
      <c r="E231" s="128">
        <v>79</v>
      </c>
      <c r="F231" s="128">
        <v>13</v>
      </c>
      <c r="G231" s="128">
        <v>3</v>
      </c>
      <c r="H231" s="128"/>
      <c r="I231" s="18">
        <f t="shared" si="24"/>
        <v>609</v>
      </c>
      <c r="J231" s="128">
        <v>40</v>
      </c>
      <c r="K231" s="128">
        <v>5</v>
      </c>
      <c r="L231" s="128"/>
      <c r="M231" s="128">
        <v>1</v>
      </c>
      <c r="N231" s="128"/>
      <c r="O231" s="18">
        <f t="shared" si="25"/>
        <v>46</v>
      </c>
      <c r="P231" s="18">
        <v>23</v>
      </c>
      <c r="Q231" s="18">
        <v>3</v>
      </c>
      <c r="R231" s="18">
        <v>2</v>
      </c>
      <c r="S231" s="18"/>
      <c r="T231" s="18"/>
      <c r="U231" s="18">
        <f t="shared" si="26"/>
        <v>28</v>
      </c>
      <c r="V231" s="18">
        <v>24</v>
      </c>
      <c r="W231" s="18">
        <v>4</v>
      </c>
      <c r="X231" s="18">
        <v>1</v>
      </c>
      <c r="Y231" s="18"/>
      <c r="Z231" s="18"/>
      <c r="AA231" s="18">
        <f t="shared" si="27"/>
        <v>29</v>
      </c>
      <c r="AB231" s="18">
        <v>48</v>
      </c>
      <c r="AC231" s="18">
        <v>11</v>
      </c>
      <c r="AD231" s="18">
        <v>2</v>
      </c>
      <c r="AE231" s="18"/>
      <c r="AF231" s="18"/>
      <c r="AG231" s="18">
        <f t="shared" si="28"/>
        <v>61</v>
      </c>
      <c r="AH231" s="18">
        <v>15</v>
      </c>
      <c r="AI231" s="18">
        <v>1</v>
      </c>
      <c r="AJ231" s="18"/>
      <c r="AK231" s="18"/>
      <c r="AL231" s="18"/>
      <c r="AM231" s="18">
        <f t="shared" si="29"/>
        <v>16</v>
      </c>
      <c r="AN231" s="18"/>
      <c r="AO231" s="18"/>
      <c r="AP231" s="18">
        <f t="shared" si="30"/>
        <v>0</v>
      </c>
      <c r="AQ231" s="32">
        <f t="shared" si="31"/>
        <v>789</v>
      </c>
    </row>
    <row r="232" spans="1:43" x14ac:dyDescent="0.35">
      <c r="A232" s="126" t="s">
        <v>729</v>
      </c>
      <c r="B232" s="126" t="s">
        <v>730</v>
      </c>
      <c r="C232" s="126" t="s">
        <v>1295</v>
      </c>
      <c r="D232" s="128">
        <v>124</v>
      </c>
      <c r="E232" s="128">
        <v>8</v>
      </c>
      <c r="F232" s="128">
        <v>4</v>
      </c>
      <c r="G232" s="128">
        <v>5</v>
      </c>
      <c r="H232" s="128"/>
      <c r="I232" s="18">
        <f t="shared" si="24"/>
        <v>141</v>
      </c>
      <c r="J232" s="128">
        <v>14</v>
      </c>
      <c r="K232" s="128"/>
      <c r="L232" s="128"/>
      <c r="M232" s="128"/>
      <c r="N232" s="128"/>
      <c r="O232" s="18">
        <f t="shared" si="25"/>
        <v>14</v>
      </c>
      <c r="P232" s="18">
        <v>4</v>
      </c>
      <c r="Q232" s="18">
        <v>1</v>
      </c>
      <c r="R232" s="18"/>
      <c r="S232" s="18"/>
      <c r="T232" s="18"/>
      <c r="U232" s="18">
        <f t="shared" si="26"/>
        <v>5</v>
      </c>
      <c r="V232" s="18">
        <v>4</v>
      </c>
      <c r="W232" s="18"/>
      <c r="X232" s="18"/>
      <c r="Y232" s="18"/>
      <c r="Z232" s="18"/>
      <c r="AA232" s="18">
        <f t="shared" si="27"/>
        <v>4</v>
      </c>
      <c r="AB232" s="18">
        <v>13</v>
      </c>
      <c r="AC232" s="18">
        <v>3</v>
      </c>
      <c r="AD232" s="18"/>
      <c r="AE232" s="18"/>
      <c r="AF232" s="18"/>
      <c r="AG232" s="18">
        <f t="shared" si="28"/>
        <v>16</v>
      </c>
      <c r="AH232" s="18">
        <v>7</v>
      </c>
      <c r="AI232" s="18">
        <v>1</v>
      </c>
      <c r="AJ232" s="18"/>
      <c r="AK232" s="18"/>
      <c r="AL232" s="18"/>
      <c r="AM232" s="18">
        <f t="shared" si="29"/>
        <v>8</v>
      </c>
      <c r="AN232" s="18"/>
      <c r="AO232" s="18"/>
      <c r="AP232" s="18">
        <f t="shared" si="30"/>
        <v>0</v>
      </c>
      <c r="AQ232" s="32">
        <f t="shared" si="31"/>
        <v>188</v>
      </c>
    </row>
    <row r="233" spans="1:43" x14ac:dyDescent="0.35">
      <c r="A233" s="126" t="s">
        <v>731</v>
      </c>
      <c r="B233" s="126" t="s">
        <v>732</v>
      </c>
      <c r="C233" s="126" t="s">
        <v>1295</v>
      </c>
      <c r="D233" s="128">
        <v>233</v>
      </c>
      <c r="E233" s="128">
        <v>51</v>
      </c>
      <c r="F233" s="128">
        <v>6</v>
      </c>
      <c r="G233" s="128">
        <v>2</v>
      </c>
      <c r="H233" s="128"/>
      <c r="I233" s="18">
        <f t="shared" si="24"/>
        <v>292</v>
      </c>
      <c r="J233" s="128">
        <v>1</v>
      </c>
      <c r="K233" s="128"/>
      <c r="L233" s="128"/>
      <c r="M233" s="128"/>
      <c r="N233" s="128"/>
      <c r="O233" s="18">
        <f t="shared" si="25"/>
        <v>1</v>
      </c>
      <c r="P233" s="18">
        <v>1</v>
      </c>
      <c r="Q233" s="18"/>
      <c r="R233" s="18"/>
      <c r="S233" s="18"/>
      <c r="T233" s="18"/>
      <c r="U233" s="18">
        <f t="shared" si="26"/>
        <v>1</v>
      </c>
      <c r="V233" s="18">
        <v>1</v>
      </c>
      <c r="W233" s="18"/>
      <c r="X233" s="18"/>
      <c r="Y233" s="18"/>
      <c r="Z233" s="18"/>
      <c r="AA233" s="18">
        <f t="shared" si="27"/>
        <v>1</v>
      </c>
      <c r="AB233" s="18">
        <v>7</v>
      </c>
      <c r="AC233" s="18">
        <v>2</v>
      </c>
      <c r="AD233" s="18">
        <v>1</v>
      </c>
      <c r="AE233" s="18"/>
      <c r="AF233" s="18"/>
      <c r="AG233" s="18">
        <f t="shared" si="28"/>
        <v>10</v>
      </c>
      <c r="AH233" s="18">
        <v>1</v>
      </c>
      <c r="AI233" s="18"/>
      <c r="AJ233" s="18"/>
      <c r="AK233" s="18"/>
      <c r="AL233" s="18"/>
      <c r="AM233" s="18">
        <f t="shared" si="29"/>
        <v>1</v>
      </c>
      <c r="AN233" s="18"/>
      <c r="AO233" s="18"/>
      <c r="AP233" s="18">
        <f t="shared" si="30"/>
        <v>0</v>
      </c>
      <c r="AQ233" s="32">
        <f t="shared" si="31"/>
        <v>306</v>
      </c>
    </row>
    <row r="234" spans="1:43" x14ac:dyDescent="0.35">
      <c r="A234" s="126" t="s">
        <v>733</v>
      </c>
      <c r="B234" s="126" t="s">
        <v>734</v>
      </c>
      <c r="C234" s="126" t="s">
        <v>1295</v>
      </c>
      <c r="D234" s="128">
        <v>390</v>
      </c>
      <c r="E234" s="128">
        <v>17</v>
      </c>
      <c r="F234" s="128">
        <v>2</v>
      </c>
      <c r="G234" s="128"/>
      <c r="H234" s="128"/>
      <c r="I234" s="18">
        <f t="shared" si="24"/>
        <v>409</v>
      </c>
      <c r="J234" s="128">
        <v>3</v>
      </c>
      <c r="K234" s="128"/>
      <c r="L234" s="128"/>
      <c r="M234" s="128"/>
      <c r="N234" s="128"/>
      <c r="O234" s="18">
        <f t="shared" si="25"/>
        <v>3</v>
      </c>
      <c r="P234" s="18">
        <v>4</v>
      </c>
      <c r="Q234" s="18"/>
      <c r="R234" s="18"/>
      <c r="S234" s="18"/>
      <c r="T234" s="18"/>
      <c r="U234" s="18">
        <f t="shared" si="26"/>
        <v>4</v>
      </c>
      <c r="V234" s="18"/>
      <c r="W234" s="18"/>
      <c r="X234" s="18"/>
      <c r="Y234" s="18"/>
      <c r="Z234" s="18"/>
      <c r="AA234" s="18">
        <f t="shared" si="27"/>
        <v>0</v>
      </c>
      <c r="AB234" s="18">
        <v>30</v>
      </c>
      <c r="AC234" s="18"/>
      <c r="AD234" s="18"/>
      <c r="AE234" s="18"/>
      <c r="AF234" s="18"/>
      <c r="AG234" s="18">
        <f t="shared" si="28"/>
        <v>30</v>
      </c>
      <c r="AH234" s="18">
        <v>2</v>
      </c>
      <c r="AI234" s="18">
        <v>1</v>
      </c>
      <c r="AJ234" s="18"/>
      <c r="AK234" s="18"/>
      <c r="AL234" s="18"/>
      <c r="AM234" s="18">
        <f t="shared" si="29"/>
        <v>3</v>
      </c>
      <c r="AN234" s="18"/>
      <c r="AO234" s="18"/>
      <c r="AP234" s="18">
        <f t="shared" si="30"/>
        <v>0</v>
      </c>
      <c r="AQ234" s="32">
        <f t="shared" si="31"/>
        <v>449</v>
      </c>
    </row>
    <row r="235" spans="1:43" x14ac:dyDescent="0.35">
      <c r="A235" s="126" t="s">
        <v>735</v>
      </c>
      <c r="B235" s="126" t="s">
        <v>736</v>
      </c>
      <c r="C235" s="126" t="s">
        <v>1295</v>
      </c>
      <c r="D235" s="128">
        <v>81</v>
      </c>
      <c r="E235" s="128">
        <v>8</v>
      </c>
      <c r="F235" s="128">
        <v>5</v>
      </c>
      <c r="G235" s="128"/>
      <c r="H235" s="128"/>
      <c r="I235" s="18">
        <f t="shared" si="24"/>
        <v>94</v>
      </c>
      <c r="J235" s="128"/>
      <c r="K235" s="128"/>
      <c r="L235" s="128"/>
      <c r="M235" s="128"/>
      <c r="N235" s="128"/>
      <c r="O235" s="18">
        <f t="shared" si="25"/>
        <v>0</v>
      </c>
      <c r="P235" s="18"/>
      <c r="Q235" s="18"/>
      <c r="R235" s="18"/>
      <c r="S235" s="18"/>
      <c r="T235" s="18"/>
      <c r="U235" s="18">
        <f t="shared" si="26"/>
        <v>0</v>
      </c>
      <c r="V235" s="18"/>
      <c r="W235" s="18"/>
      <c r="X235" s="18"/>
      <c r="Y235" s="18"/>
      <c r="Z235" s="18"/>
      <c r="AA235" s="18">
        <f t="shared" si="27"/>
        <v>0</v>
      </c>
      <c r="AB235" s="18">
        <v>3</v>
      </c>
      <c r="AC235" s="18"/>
      <c r="AD235" s="18"/>
      <c r="AE235" s="18"/>
      <c r="AF235" s="18"/>
      <c r="AG235" s="18">
        <f t="shared" si="28"/>
        <v>3</v>
      </c>
      <c r="AH235" s="18"/>
      <c r="AI235" s="18"/>
      <c r="AJ235" s="18"/>
      <c r="AK235" s="18"/>
      <c r="AL235" s="18"/>
      <c r="AM235" s="18">
        <f t="shared" si="29"/>
        <v>0</v>
      </c>
      <c r="AN235" s="18"/>
      <c r="AO235" s="18"/>
      <c r="AP235" s="18">
        <f t="shared" si="30"/>
        <v>0</v>
      </c>
      <c r="AQ235" s="32">
        <f t="shared" si="31"/>
        <v>97</v>
      </c>
    </row>
    <row r="236" spans="1:43" x14ac:dyDescent="0.35">
      <c r="A236" s="126" t="s">
        <v>737</v>
      </c>
      <c r="B236" s="126" t="s">
        <v>738</v>
      </c>
      <c r="C236" s="126" t="s">
        <v>1295</v>
      </c>
      <c r="D236" s="128">
        <v>76</v>
      </c>
      <c r="E236" s="128">
        <v>10</v>
      </c>
      <c r="F236" s="128"/>
      <c r="G236" s="128">
        <v>1</v>
      </c>
      <c r="H236" s="128"/>
      <c r="I236" s="18">
        <f t="shared" si="24"/>
        <v>87</v>
      </c>
      <c r="J236" s="128"/>
      <c r="K236" s="128"/>
      <c r="L236" s="128"/>
      <c r="M236" s="128"/>
      <c r="N236" s="128"/>
      <c r="O236" s="18">
        <f t="shared" si="25"/>
        <v>0</v>
      </c>
      <c r="P236" s="18">
        <v>2</v>
      </c>
      <c r="Q236" s="18"/>
      <c r="R236" s="18"/>
      <c r="S236" s="18"/>
      <c r="T236" s="18"/>
      <c r="U236" s="18">
        <f t="shared" si="26"/>
        <v>2</v>
      </c>
      <c r="V236" s="18">
        <v>2</v>
      </c>
      <c r="W236" s="18"/>
      <c r="X236" s="18"/>
      <c r="Y236" s="18"/>
      <c r="Z236" s="18"/>
      <c r="AA236" s="18">
        <f t="shared" si="27"/>
        <v>2</v>
      </c>
      <c r="AB236" s="18">
        <v>10</v>
      </c>
      <c r="AC236" s="18"/>
      <c r="AD236" s="18"/>
      <c r="AE236" s="18">
        <v>1</v>
      </c>
      <c r="AF236" s="18"/>
      <c r="AG236" s="18">
        <f t="shared" si="28"/>
        <v>11</v>
      </c>
      <c r="AH236" s="18"/>
      <c r="AI236" s="18"/>
      <c r="AJ236" s="18"/>
      <c r="AK236" s="18"/>
      <c r="AL236" s="18"/>
      <c r="AM236" s="18">
        <f t="shared" si="29"/>
        <v>0</v>
      </c>
      <c r="AN236" s="18"/>
      <c r="AO236" s="18"/>
      <c r="AP236" s="18">
        <f t="shared" si="30"/>
        <v>0</v>
      </c>
      <c r="AQ236" s="32">
        <f t="shared" si="31"/>
        <v>102</v>
      </c>
    </row>
    <row r="237" spans="1:43" x14ac:dyDescent="0.35">
      <c r="A237" s="126" t="s">
        <v>739</v>
      </c>
      <c r="B237" s="126" t="s">
        <v>740</v>
      </c>
      <c r="C237" s="126" t="s">
        <v>1295</v>
      </c>
      <c r="D237" s="128">
        <v>566</v>
      </c>
      <c r="E237" s="128">
        <v>96</v>
      </c>
      <c r="F237" s="128">
        <v>27</v>
      </c>
      <c r="G237" s="128">
        <v>3</v>
      </c>
      <c r="H237" s="128"/>
      <c r="I237" s="18">
        <f t="shared" si="24"/>
        <v>692</v>
      </c>
      <c r="J237" s="128">
        <v>6</v>
      </c>
      <c r="K237" s="128"/>
      <c r="L237" s="128"/>
      <c r="M237" s="128"/>
      <c r="N237" s="128"/>
      <c r="O237" s="18">
        <f t="shared" si="25"/>
        <v>6</v>
      </c>
      <c r="P237" s="18">
        <v>6</v>
      </c>
      <c r="Q237" s="18"/>
      <c r="R237" s="18"/>
      <c r="S237" s="18"/>
      <c r="T237" s="18"/>
      <c r="U237" s="18">
        <f t="shared" si="26"/>
        <v>6</v>
      </c>
      <c r="V237" s="18">
        <v>9</v>
      </c>
      <c r="W237" s="18"/>
      <c r="X237" s="18"/>
      <c r="Y237" s="18"/>
      <c r="Z237" s="18"/>
      <c r="AA237" s="18">
        <f t="shared" si="27"/>
        <v>9</v>
      </c>
      <c r="AB237" s="18">
        <v>35</v>
      </c>
      <c r="AC237" s="18">
        <v>2</v>
      </c>
      <c r="AD237" s="18"/>
      <c r="AE237" s="18"/>
      <c r="AF237" s="18"/>
      <c r="AG237" s="18">
        <f t="shared" si="28"/>
        <v>37</v>
      </c>
      <c r="AH237" s="18">
        <v>1</v>
      </c>
      <c r="AI237" s="18"/>
      <c r="AJ237" s="18"/>
      <c r="AK237" s="18"/>
      <c r="AL237" s="18"/>
      <c r="AM237" s="18">
        <f t="shared" si="29"/>
        <v>1</v>
      </c>
      <c r="AN237" s="18"/>
      <c r="AO237" s="18"/>
      <c r="AP237" s="18">
        <f t="shared" si="30"/>
        <v>0</v>
      </c>
      <c r="AQ237" s="32">
        <f t="shared" si="31"/>
        <v>751</v>
      </c>
    </row>
    <row r="238" spans="1:43" x14ac:dyDescent="0.35">
      <c r="A238" s="126" t="s">
        <v>741</v>
      </c>
      <c r="B238" s="126" t="s">
        <v>742</v>
      </c>
      <c r="C238" s="126" t="s">
        <v>1295</v>
      </c>
      <c r="D238" s="128">
        <v>199</v>
      </c>
      <c r="E238" s="128">
        <v>27</v>
      </c>
      <c r="F238" s="128">
        <v>4</v>
      </c>
      <c r="G238" s="128"/>
      <c r="H238" s="128"/>
      <c r="I238" s="18">
        <f t="shared" si="24"/>
        <v>230</v>
      </c>
      <c r="J238" s="128"/>
      <c r="K238" s="128"/>
      <c r="L238" s="128"/>
      <c r="M238" s="128"/>
      <c r="N238" s="128"/>
      <c r="O238" s="18">
        <f t="shared" si="25"/>
        <v>0</v>
      </c>
      <c r="P238" s="18"/>
      <c r="Q238" s="18"/>
      <c r="R238" s="18"/>
      <c r="S238" s="18"/>
      <c r="T238" s="18"/>
      <c r="U238" s="18">
        <f t="shared" si="26"/>
        <v>0</v>
      </c>
      <c r="V238" s="18">
        <v>3</v>
      </c>
      <c r="W238" s="18"/>
      <c r="X238" s="18"/>
      <c r="Y238" s="18"/>
      <c r="Z238" s="18"/>
      <c r="AA238" s="18">
        <f t="shared" si="27"/>
        <v>3</v>
      </c>
      <c r="AB238" s="18">
        <v>11</v>
      </c>
      <c r="AC238" s="18">
        <v>1</v>
      </c>
      <c r="AD238" s="18"/>
      <c r="AE238" s="18"/>
      <c r="AF238" s="18"/>
      <c r="AG238" s="18">
        <f t="shared" si="28"/>
        <v>12</v>
      </c>
      <c r="AH238" s="18"/>
      <c r="AI238" s="18"/>
      <c r="AJ238" s="18"/>
      <c r="AK238" s="18"/>
      <c r="AL238" s="18"/>
      <c r="AM238" s="18">
        <f t="shared" si="29"/>
        <v>0</v>
      </c>
      <c r="AN238" s="18"/>
      <c r="AO238" s="18"/>
      <c r="AP238" s="18">
        <f t="shared" si="30"/>
        <v>0</v>
      </c>
      <c r="AQ238" s="32">
        <f t="shared" si="31"/>
        <v>245</v>
      </c>
    </row>
    <row r="239" spans="1:43" x14ac:dyDescent="0.35">
      <c r="A239" s="126" t="s">
        <v>743</v>
      </c>
      <c r="B239" s="126" t="s">
        <v>744</v>
      </c>
      <c r="C239" s="126" t="s">
        <v>1295</v>
      </c>
      <c r="D239" s="128">
        <v>83</v>
      </c>
      <c r="E239" s="128">
        <v>13</v>
      </c>
      <c r="F239" s="128">
        <v>5</v>
      </c>
      <c r="G239" s="128"/>
      <c r="H239" s="128"/>
      <c r="I239" s="18">
        <f t="shared" si="24"/>
        <v>101</v>
      </c>
      <c r="J239" s="128">
        <v>1</v>
      </c>
      <c r="K239" s="128"/>
      <c r="L239" s="128"/>
      <c r="M239" s="128"/>
      <c r="N239" s="128"/>
      <c r="O239" s="18">
        <f t="shared" si="25"/>
        <v>1</v>
      </c>
      <c r="P239" s="18">
        <v>1</v>
      </c>
      <c r="Q239" s="18"/>
      <c r="R239" s="18"/>
      <c r="S239" s="18"/>
      <c r="T239" s="18"/>
      <c r="U239" s="18">
        <f t="shared" si="26"/>
        <v>1</v>
      </c>
      <c r="V239" s="18">
        <v>4</v>
      </c>
      <c r="W239" s="18"/>
      <c r="X239" s="18"/>
      <c r="Y239" s="18"/>
      <c r="Z239" s="18"/>
      <c r="AA239" s="18">
        <f t="shared" si="27"/>
        <v>4</v>
      </c>
      <c r="AB239" s="18">
        <v>3</v>
      </c>
      <c r="AC239" s="18">
        <v>1</v>
      </c>
      <c r="AD239" s="18"/>
      <c r="AE239" s="18"/>
      <c r="AF239" s="18"/>
      <c r="AG239" s="18">
        <f t="shared" si="28"/>
        <v>4</v>
      </c>
      <c r="AH239" s="18"/>
      <c r="AI239" s="18"/>
      <c r="AJ239" s="18"/>
      <c r="AK239" s="18"/>
      <c r="AL239" s="18"/>
      <c r="AM239" s="18">
        <f t="shared" si="29"/>
        <v>0</v>
      </c>
      <c r="AN239" s="18"/>
      <c r="AO239" s="18"/>
      <c r="AP239" s="18">
        <f t="shared" si="30"/>
        <v>0</v>
      </c>
      <c r="AQ239" s="32">
        <f t="shared" si="31"/>
        <v>111</v>
      </c>
    </row>
    <row r="240" spans="1:43" x14ac:dyDescent="0.35">
      <c r="A240" s="126" t="s">
        <v>745</v>
      </c>
      <c r="B240" s="126" t="s">
        <v>746</v>
      </c>
      <c r="C240" s="126" t="s">
        <v>1295</v>
      </c>
      <c r="D240" s="128">
        <v>186</v>
      </c>
      <c r="E240" s="128">
        <v>40</v>
      </c>
      <c r="F240" s="128">
        <v>5</v>
      </c>
      <c r="G240" s="128"/>
      <c r="H240" s="128"/>
      <c r="I240" s="18">
        <f t="shared" si="24"/>
        <v>231</v>
      </c>
      <c r="J240" s="128">
        <v>2</v>
      </c>
      <c r="K240" s="128"/>
      <c r="L240" s="128"/>
      <c r="M240" s="128"/>
      <c r="N240" s="128"/>
      <c r="O240" s="18">
        <f t="shared" si="25"/>
        <v>2</v>
      </c>
      <c r="P240" s="18">
        <v>2</v>
      </c>
      <c r="Q240" s="18"/>
      <c r="R240" s="18">
        <v>1</v>
      </c>
      <c r="S240" s="18"/>
      <c r="T240" s="18"/>
      <c r="U240" s="18">
        <f t="shared" si="26"/>
        <v>3</v>
      </c>
      <c r="V240" s="18">
        <v>4</v>
      </c>
      <c r="W240" s="18"/>
      <c r="X240" s="18"/>
      <c r="Y240" s="18"/>
      <c r="Z240" s="18"/>
      <c r="AA240" s="18">
        <f t="shared" si="27"/>
        <v>4</v>
      </c>
      <c r="AB240" s="18">
        <v>18</v>
      </c>
      <c r="AC240" s="18">
        <v>2</v>
      </c>
      <c r="AD240" s="18"/>
      <c r="AE240" s="18"/>
      <c r="AF240" s="18"/>
      <c r="AG240" s="18">
        <f t="shared" si="28"/>
        <v>20</v>
      </c>
      <c r="AH240" s="18"/>
      <c r="AI240" s="18"/>
      <c r="AJ240" s="18"/>
      <c r="AK240" s="18"/>
      <c r="AL240" s="18"/>
      <c r="AM240" s="18">
        <f t="shared" si="29"/>
        <v>0</v>
      </c>
      <c r="AN240" s="18"/>
      <c r="AO240" s="18"/>
      <c r="AP240" s="18">
        <f t="shared" si="30"/>
        <v>0</v>
      </c>
      <c r="AQ240" s="32">
        <f t="shared" si="31"/>
        <v>260</v>
      </c>
    </row>
    <row r="241" spans="1:43" x14ac:dyDescent="0.35">
      <c r="A241" s="126" t="s">
        <v>747</v>
      </c>
      <c r="B241" s="126" t="s">
        <v>748</v>
      </c>
      <c r="C241" s="126" t="s">
        <v>1295</v>
      </c>
      <c r="D241" s="128">
        <v>50</v>
      </c>
      <c r="E241" s="128">
        <v>8</v>
      </c>
      <c r="F241" s="128">
        <v>1</v>
      </c>
      <c r="G241" s="128"/>
      <c r="H241" s="128"/>
      <c r="I241" s="18">
        <f t="shared" si="24"/>
        <v>59</v>
      </c>
      <c r="J241" s="128">
        <v>4</v>
      </c>
      <c r="K241" s="128"/>
      <c r="L241" s="128"/>
      <c r="M241" s="128"/>
      <c r="N241" s="128"/>
      <c r="O241" s="18">
        <f t="shared" si="25"/>
        <v>4</v>
      </c>
      <c r="P241" s="18">
        <v>10</v>
      </c>
      <c r="Q241" s="18">
        <v>1</v>
      </c>
      <c r="R241" s="18"/>
      <c r="S241" s="18"/>
      <c r="T241" s="18"/>
      <c r="U241" s="18">
        <f t="shared" si="26"/>
        <v>11</v>
      </c>
      <c r="V241" s="18">
        <v>8</v>
      </c>
      <c r="W241" s="18"/>
      <c r="X241" s="18"/>
      <c r="Y241" s="18"/>
      <c r="Z241" s="18"/>
      <c r="AA241" s="18">
        <f t="shared" si="27"/>
        <v>8</v>
      </c>
      <c r="AB241" s="18">
        <v>4</v>
      </c>
      <c r="AC241" s="18"/>
      <c r="AD241" s="18"/>
      <c r="AE241" s="18"/>
      <c r="AF241" s="18"/>
      <c r="AG241" s="18">
        <f t="shared" si="28"/>
        <v>4</v>
      </c>
      <c r="AH241" s="18">
        <v>2</v>
      </c>
      <c r="AI241" s="18">
        <v>1</v>
      </c>
      <c r="AJ241" s="18"/>
      <c r="AK241" s="18"/>
      <c r="AL241" s="18"/>
      <c r="AM241" s="18">
        <f t="shared" si="29"/>
        <v>3</v>
      </c>
      <c r="AN241" s="18"/>
      <c r="AO241" s="18"/>
      <c r="AP241" s="18">
        <f t="shared" si="30"/>
        <v>0</v>
      </c>
      <c r="AQ241" s="32">
        <f t="shared" si="31"/>
        <v>89</v>
      </c>
    </row>
    <row r="242" spans="1:43" x14ac:dyDescent="0.35">
      <c r="A242" s="126" t="s">
        <v>749</v>
      </c>
      <c r="B242" s="126" t="s">
        <v>750</v>
      </c>
      <c r="C242" s="126" t="s">
        <v>1295</v>
      </c>
      <c r="D242" s="128">
        <v>359</v>
      </c>
      <c r="E242" s="128">
        <v>103</v>
      </c>
      <c r="F242" s="128">
        <v>6</v>
      </c>
      <c r="G242" s="128">
        <v>3</v>
      </c>
      <c r="H242" s="128"/>
      <c r="I242" s="18">
        <f t="shared" si="24"/>
        <v>471</v>
      </c>
      <c r="J242" s="128">
        <v>2</v>
      </c>
      <c r="K242" s="128"/>
      <c r="L242" s="128"/>
      <c r="M242" s="128"/>
      <c r="N242" s="128"/>
      <c r="O242" s="18">
        <f t="shared" si="25"/>
        <v>2</v>
      </c>
      <c r="P242" s="18"/>
      <c r="Q242" s="18"/>
      <c r="R242" s="18"/>
      <c r="S242" s="18"/>
      <c r="T242" s="18"/>
      <c r="U242" s="18">
        <f t="shared" si="26"/>
        <v>0</v>
      </c>
      <c r="V242" s="18">
        <v>11</v>
      </c>
      <c r="W242" s="18">
        <v>2</v>
      </c>
      <c r="X242" s="18"/>
      <c r="Y242" s="18"/>
      <c r="Z242" s="18"/>
      <c r="AA242" s="18">
        <f t="shared" si="27"/>
        <v>13</v>
      </c>
      <c r="AB242" s="18">
        <v>24</v>
      </c>
      <c r="AC242" s="18">
        <v>4</v>
      </c>
      <c r="AD242" s="18">
        <v>1</v>
      </c>
      <c r="AE242" s="18">
        <v>1</v>
      </c>
      <c r="AF242" s="18"/>
      <c r="AG242" s="18">
        <f t="shared" si="28"/>
        <v>30</v>
      </c>
      <c r="AH242" s="18">
        <v>2</v>
      </c>
      <c r="AI242" s="18"/>
      <c r="AJ242" s="18"/>
      <c r="AK242" s="18"/>
      <c r="AL242" s="18"/>
      <c r="AM242" s="18">
        <f t="shared" si="29"/>
        <v>2</v>
      </c>
      <c r="AN242" s="18"/>
      <c r="AO242" s="18"/>
      <c r="AP242" s="18">
        <f t="shared" si="30"/>
        <v>0</v>
      </c>
      <c r="AQ242" s="32">
        <f t="shared" si="31"/>
        <v>518</v>
      </c>
    </row>
    <row r="243" spans="1:43" x14ac:dyDescent="0.35">
      <c r="A243" s="126" t="s">
        <v>751</v>
      </c>
      <c r="B243" s="126" t="s">
        <v>752</v>
      </c>
      <c r="C243" s="126" t="s">
        <v>1295</v>
      </c>
      <c r="D243" s="128">
        <v>49</v>
      </c>
      <c r="E243" s="128">
        <v>9</v>
      </c>
      <c r="F243" s="128">
        <v>2</v>
      </c>
      <c r="G243" s="128">
        <v>2</v>
      </c>
      <c r="H243" s="128"/>
      <c r="I243" s="18">
        <f t="shared" si="24"/>
        <v>62</v>
      </c>
      <c r="J243" s="128">
        <v>66</v>
      </c>
      <c r="K243" s="128">
        <v>9</v>
      </c>
      <c r="L243" s="128">
        <v>1</v>
      </c>
      <c r="M243" s="128"/>
      <c r="N243" s="128"/>
      <c r="O243" s="18">
        <f t="shared" si="25"/>
        <v>76</v>
      </c>
      <c r="P243" s="18">
        <v>6</v>
      </c>
      <c r="Q243" s="18"/>
      <c r="R243" s="18">
        <v>1</v>
      </c>
      <c r="S243" s="18"/>
      <c r="T243" s="18"/>
      <c r="U243" s="18">
        <f t="shared" si="26"/>
        <v>7</v>
      </c>
      <c r="V243" s="18">
        <v>7</v>
      </c>
      <c r="W243" s="18">
        <v>1</v>
      </c>
      <c r="X243" s="18"/>
      <c r="Y243" s="18"/>
      <c r="Z243" s="18"/>
      <c r="AA243" s="18">
        <f t="shared" si="27"/>
        <v>8</v>
      </c>
      <c r="AB243" s="18">
        <v>10</v>
      </c>
      <c r="AC243" s="18">
        <v>4</v>
      </c>
      <c r="AD243" s="18">
        <v>1</v>
      </c>
      <c r="AE243" s="18">
        <v>1</v>
      </c>
      <c r="AF243" s="18"/>
      <c r="AG243" s="18">
        <f t="shared" si="28"/>
        <v>16</v>
      </c>
      <c r="AH243" s="18">
        <v>3</v>
      </c>
      <c r="AI243" s="18"/>
      <c r="AJ243" s="18"/>
      <c r="AK243" s="18"/>
      <c r="AL243" s="18"/>
      <c r="AM243" s="18">
        <f t="shared" si="29"/>
        <v>3</v>
      </c>
      <c r="AN243" s="18"/>
      <c r="AO243" s="18"/>
      <c r="AP243" s="18">
        <f t="shared" si="30"/>
        <v>0</v>
      </c>
      <c r="AQ243" s="32">
        <f t="shared" si="31"/>
        <v>172</v>
      </c>
    </row>
    <row r="244" spans="1:43" x14ac:dyDescent="0.35">
      <c r="A244" s="126" t="s">
        <v>753</v>
      </c>
      <c r="B244" s="126" t="s">
        <v>754</v>
      </c>
      <c r="C244" s="126" t="s">
        <v>1295</v>
      </c>
      <c r="D244" s="128">
        <v>165</v>
      </c>
      <c r="E244" s="128">
        <v>20</v>
      </c>
      <c r="F244" s="128">
        <v>23</v>
      </c>
      <c r="G244" s="128">
        <v>13</v>
      </c>
      <c r="H244" s="128"/>
      <c r="I244" s="18">
        <f t="shared" si="24"/>
        <v>221</v>
      </c>
      <c r="J244" s="128">
        <v>5</v>
      </c>
      <c r="K244" s="128"/>
      <c r="L244" s="128"/>
      <c r="M244" s="128"/>
      <c r="N244" s="128"/>
      <c r="O244" s="18">
        <f t="shared" si="25"/>
        <v>5</v>
      </c>
      <c r="P244" s="18">
        <v>2</v>
      </c>
      <c r="Q244" s="18">
        <v>1</v>
      </c>
      <c r="R244" s="18"/>
      <c r="S244" s="18"/>
      <c r="T244" s="18"/>
      <c r="U244" s="18">
        <f t="shared" si="26"/>
        <v>3</v>
      </c>
      <c r="V244" s="18">
        <v>93</v>
      </c>
      <c r="W244" s="18">
        <v>10</v>
      </c>
      <c r="X244" s="18">
        <v>13</v>
      </c>
      <c r="Y244" s="18">
        <v>2</v>
      </c>
      <c r="Z244" s="18"/>
      <c r="AA244" s="18">
        <f t="shared" si="27"/>
        <v>118</v>
      </c>
      <c r="AB244" s="18">
        <v>14</v>
      </c>
      <c r="AC244" s="18">
        <v>1</v>
      </c>
      <c r="AD244" s="18">
        <v>1</v>
      </c>
      <c r="AE244" s="18"/>
      <c r="AF244" s="18"/>
      <c r="AG244" s="18">
        <f t="shared" si="28"/>
        <v>16</v>
      </c>
      <c r="AH244" s="18">
        <v>9</v>
      </c>
      <c r="AI244" s="18"/>
      <c r="AJ244" s="18"/>
      <c r="AK244" s="18"/>
      <c r="AL244" s="18"/>
      <c r="AM244" s="18">
        <f t="shared" si="29"/>
        <v>9</v>
      </c>
      <c r="AN244" s="18"/>
      <c r="AO244" s="18"/>
      <c r="AP244" s="18">
        <f t="shared" si="30"/>
        <v>0</v>
      </c>
      <c r="AQ244" s="32">
        <f t="shared" si="31"/>
        <v>372</v>
      </c>
    </row>
    <row r="245" spans="1:43" x14ac:dyDescent="0.35">
      <c r="A245" s="126" t="s">
        <v>755</v>
      </c>
      <c r="B245" s="126" t="s">
        <v>756</v>
      </c>
      <c r="C245" s="126" t="s">
        <v>1295</v>
      </c>
      <c r="D245" s="128">
        <v>499</v>
      </c>
      <c r="E245" s="128">
        <v>118</v>
      </c>
      <c r="F245" s="128">
        <v>20</v>
      </c>
      <c r="G245" s="128">
        <v>4</v>
      </c>
      <c r="H245" s="128"/>
      <c r="I245" s="18">
        <f t="shared" si="24"/>
        <v>641</v>
      </c>
      <c r="J245" s="128">
        <v>22</v>
      </c>
      <c r="K245" s="128">
        <v>7</v>
      </c>
      <c r="L245" s="128">
        <v>1</v>
      </c>
      <c r="M245" s="128"/>
      <c r="N245" s="128"/>
      <c r="O245" s="18">
        <f t="shared" si="25"/>
        <v>30</v>
      </c>
      <c r="P245" s="18">
        <v>11</v>
      </c>
      <c r="Q245" s="18">
        <v>6</v>
      </c>
      <c r="R245" s="18">
        <v>1</v>
      </c>
      <c r="S245" s="18"/>
      <c r="T245" s="18"/>
      <c r="U245" s="18">
        <f t="shared" si="26"/>
        <v>18</v>
      </c>
      <c r="V245" s="18">
        <v>23</v>
      </c>
      <c r="W245" s="18">
        <v>2</v>
      </c>
      <c r="X245" s="18">
        <v>2</v>
      </c>
      <c r="Y245" s="18"/>
      <c r="Z245" s="18"/>
      <c r="AA245" s="18">
        <f t="shared" si="27"/>
        <v>27</v>
      </c>
      <c r="AB245" s="18">
        <v>59</v>
      </c>
      <c r="AC245" s="18">
        <v>7</v>
      </c>
      <c r="AD245" s="18">
        <v>3</v>
      </c>
      <c r="AE245" s="18">
        <v>1</v>
      </c>
      <c r="AF245" s="18"/>
      <c r="AG245" s="18">
        <f t="shared" si="28"/>
        <v>70</v>
      </c>
      <c r="AH245" s="18">
        <v>23</v>
      </c>
      <c r="AI245" s="18">
        <v>3</v>
      </c>
      <c r="AJ245" s="18"/>
      <c r="AK245" s="18"/>
      <c r="AL245" s="18"/>
      <c r="AM245" s="18">
        <f t="shared" si="29"/>
        <v>26</v>
      </c>
      <c r="AN245" s="18"/>
      <c r="AO245" s="18"/>
      <c r="AP245" s="18">
        <f t="shared" si="30"/>
        <v>0</v>
      </c>
      <c r="AQ245" s="32">
        <f t="shared" si="31"/>
        <v>812</v>
      </c>
    </row>
    <row r="246" spans="1:43" x14ac:dyDescent="0.35">
      <c r="A246" s="126" t="s">
        <v>757</v>
      </c>
      <c r="B246" s="126" t="s">
        <v>758</v>
      </c>
      <c r="C246" s="126" t="s">
        <v>1295</v>
      </c>
      <c r="D246" s="128">
        <v>120</v>
      </c>
      <c r="E246" s="128">
        <v>23</v>
      </c>
      <c r="F246" s="128">
        <v>10</v>
      </c>
      <c r="G246" s="128">
        <v>3</v>
      </c>
      <c r="H246" s="128"/>
      <c r="I246" s="18">
        <f t="shared" si="24"/>
        <v>156</v>
      </c>
      <c r="J246" s="128">
        <v>13</v>
      </c>
      <c r="K246" s="128">
        <v>3</v>
      </c>
      <c r="L246" s="128"/>
      <c r="M246" s="128"/>
      <c r="N246" s="128"/>
      <c r="O246" s="18">
        <f t="shared" si="25"/>
        <v>16</v>
      </c>
      <c r="P246" s="18">
        <v>5</v>
      </c>
      <c r="Q246" s="18">
        <v>4</v>
      </c>
      <c r="R246" s="18">
        <v>2</v>
      </c>
      <c r="S246" s="18"/>
      <c r="T246" s="18"/>
      <c r="U246" s="18">
        <f t="shared" si="26"/>
        <v>11</v>
      </c>
      <c r="V246" s="18">
        <v>3</v>
      </c>
      <c r="W246" s="18">
        <v>1</v>
      </c>
      <c r="X246" s="18"/>
      <c r="Y246" s="18">
        <v>1</v>
      </c>
      <c r="Z246" s="18"/>
      <c r="AA246" s="18">
        <f t="shared" si="27"/>
        <v>5</v>
      </c>
      <c r="AB246" s="18">
        <v>15</v>
      </c>
      <c r="AC246" s="18">
        <v>2</v>
      </c>
      <c r="AD246" s="18"/>
      <c r="AE246" s="18"/>
      <c r="AF246" s="18"/>
      <c r="AG246" s="18">
        <f t="shared" si="28"/>
        <v>17</v>
      </c>
      <c r="AH246" s="18">
        <v>11</v>
      </c>
      <c r="AI246" s="18"/>
      <c r="AJ246" s="18"/>
      <c r="AK246" s="18"/>
      <c r="AL246" s="18"/>
      <c r="AM246" s="18">
        <f t="shared" si="29"/>
        <v>11</v>
      </c>
      <c r="AN246" s="18"/>
      <c r="AO246" s="18"/>
      <c r="AP246" s="18">
        <f t="shared" si="30"/>
        <v>0</v>
      </c>
      <c r="AQ246" s="32">
        <f t="shared" si="31"/>
        <v>216</v>
      </c>
    </row>
    <row r="247" spans="1:43" x14ac:dyDescent="0.35">
      <c r="A247" s="126" t="s">
        <v>759</v>
      </c>
      <c r="B247" s="126" t="s">
        <v>760</v>
      </c>
      <c r="C247" s="126" t="s">
        <v>1295</v>
      </c>
      <c r="D247" s="128">
        <v>139</v>
      </c>
      <c r="E247" s="128">
        <v>8</v>
      </c>
      <c r="F247" s="128">
        <v>3</v>
      </c>
      <c r="G247" s="128">
        <v>1</v>
      </c>
      <c r="H247" s="128"/>
      <c r="I247" s="18">
        <f t="shared" si="24"/>
        <v>151</v>
      </c>
      <c r="J247" s="128">
        <v>5</v>
      </c>
      <c r="K247" s="128"/>
      <c r="L247" s="128"/>
      <c r="M247" s="128"/>
      <c r="N247" s="128"/>
      <c r="O247" s="18">
        <f t="shared" si="25"/>
        <v>5</v>
      </c>
      <c r="P247" s="18">
        <v>2</v>
      </c>
      <c r="Q247" s="18"/>
      <c r="R247" s="18"/>
      <c r="S247" s="18"/>
      <c r="T247" s="18"/>
      <c r="U247" s="18">
        <f t="shared" si="26"/>
        <v>2</v>
      </c>
      <c r="V247" s="18">
        <v>4</v>
      </c>
      <c r="W247" s="18">
        <v>1</v>
      </c>
      <c r="X247" s="18">
        <v>1</v>
      </c>
      <c r="Y247" s="18"/>
      <c r="Z247" s="18"/>
      <c r="AA247" s="18">
        <f t="shared" si="27"/>
        <v>6</v>
      </c>
      <c r="AB247" s="18">
        <v>26</v>
      </c>
      <c r="AC247" s="18">
        <v>2</v>
      </c>
      <c r="AD247" s="18"/>
      <c r="AE247" s="18"/>
      <c r="AF247" s="18"/>
      <c r="AG247" s="18">
        <f t="shared" si="28"/>
        <v>28</v>
      </c>
      <c r="AH247" s="18">
        <v>3</v>
      </c>
      <c r="AI247" s="18"/>
      <c r="AJ247" s="18"/>
      <c r="AK247" s="18"/>
      <c r="AL247" s="18"/>
      <c r="AM247" s="18">
        <f t="shared" si="29"/>
        <v>3</v>
      </c>
      <c r="AN247" s="18"/>
      <c r="AO247" s="18"/>
      <c r="AP247" s="18">
        <f t="shared" si="30"/>
        <v>0</v>
      </c>
      <c r="AQ247" s="32">
        <f t="shared" si="31"/>
        <v>195</v>
      </c>
    </row>
    <row r="248" spans="1:43" x14ac:dyDescent="0.35">
      <c r="A248" s="126" t="s">
        <v>761</v>
      </c>
      <c r="B248" s="126" t="s">
        <v>762</v>
      </c>
      <c r="C248" s="126" t="s">
        <v>1295</v>
      </c>
      <c r="D248" s="128">
        <v>342</v>
      </c>
      <c r="E248" s="128">
        <v>40</v>
      </c>
      <c r="F248" s="128">
        <v>5</v>
      </c>
      <c r="G248" s="128">
        <v>3</v>
      </c>
      <c r="H248" s="128"/>
      <c r="I248" s="18">
        <f t="shared" si="24"/>
        <v>390</v>
      </c>
      <c r="J248" s="128">
        <v>2</v>
      </c>
      <c r="K248" s="128"/>
      <c r="L248" s="128"/>
      <c r="M248" s="128"/>
      <c r="N248" s="128"/>
      <c r="O248" s="18">
        <f t="shared" si="25"/>
        <v>2</v>
      </c>
      <c r="P248" s="18">
        <v>4</v>
      </c>
      <c r="Q248" s="18"/>
      <c r="R248" s="18"/>
      <c r="S248" s="18"/>
      <c r="T248" s="18"/>
      <c r="U248" s="18">
        <f t="shared" si="26"/>
        <v>4</v>
      </c>
      <c r="V248" s="18">
        <v>5</v>
      </c>
      <c r="W248" s="18"/>
      <c r="X248" s="18"/>
      <c r="Y248" s="18"/>
      <c r="Z248" s="18"/>
      <c r="AA248" s="18">
        <f t="shared" si="27"/>
        <v>5</v>
      </c>
      <c r="AB248" s="18">
        <v>25</v>
      </c>
      <c r="AC248" s="18">
        <v>4</v>
      </c>
      <c r="AD248" s="18">
        <v>1</v>
      </c>
      <c r="AE248" s="18"/>
      <c r="AF248" s="18"/>
      <c r="AG248" s="18">
        <f t="shared" si="28"/>
        <v>30</v>
      </c>
      <c r="AH248" s="18"/>
      <c r="AI248" s="18"/>
      <c r="AJ248" s="18">
        <v>1</v>
      </c>
      <c r="AK248" s="18"/>
      <c r="AL248" s="18"/>
      <c r="AM248" s="18">
        <f t="shared" si="29"/>
        <v>1</v>
      </c>
      <c r="AN248" s="18"/>
      <c r="AO248" s="18"/>
      <c r="AP248" s="18">
        <f t="shared" si="30"/>
        <v>0</v>
      </c>
      <c r="AQ248" s="32">
        <f t="shared" si="31"/>
        <v>432</v>
      </c>
    </row>
    <row r="249" spans="1:43" x14ac:dyDescent="0.35">
      <c r="A249" s="126" t="s">
        <v>763</v>
      </c>
      <c r="B249" s="126" t="s">
        <v>764</v>
      </c>
      <c r="C249" s="126" t="s">
        <v>1295</v>
      </c>
      <c r="D249" s="128">
        <v>696</v>
      </c>
      <c r="E249" s="128">
        <v>120</v>
      </c>
      <c r="F249" s="128">
        <v>18</v>
      </c>
      <c r="G249" s="128">
        <v>7</v>
      </c>
      <c r="H249" s="128"/>
      <c r="I249" s="18">
        <f t="shared" si="24"/>
        <v>841</v>
      </c>
      <c r="J249" s="128">
        <v>4</v>
      </c>
      <c r="K249" s="128"/>
      <c r="L249" s="128">
        <v>1</v>
      </c>
      <c r="M249" s="128"/>
      <c r="N249" s="128"/>
      <c r="O249" s="18">
        <f t="shared" si="25"/>
        <v>5</v>
      </c>
      <c r="P249" s="18">
        <v>5</v>
      </c>
      <c r="Q249" s="18">
        <v>3</v>
      </c>
      <c r="R249" s="18"/>
      <c r="S249" s="18"/>
      <c r="T249" s="18"/>
      <c r="U249" s="18">
        <f t="shared" si="26"/>
        <v>8</v>
      </c>
      <c r="V249" s="18">
        <v>9</v>
      </c>
      <c r="W249" s="18">
        <v>1</v>
      </c>
      <c r="X249" s="18"/>
      <c r="Y249" s="18"/>
      <c r="Z249" s="18"/>
      <c r="AA249" s="18">
        <f t="shared" si="27"/>
        <v>10</v>
      </c>
      <c r="AB249" s="18">
        <v>53</v>
      </c>
      <c r="AC249" s="18">
        <v>4</v>
      </c>
      <c r="AD249" s="18">
        <v>3</v>
      </c>
      <c r="AE249" s="18"/>
      <c r="AF249" s="18"/>
      <c r="AG249" s="18">
        <f t="shared" si="28"/>
        <v>60</v>
      </c>
      <c r="AH249" s="18">
        <v>4</v>
      </c>
      <c r="AI249" s="18"/>
      <c r="AJ249" s="18"/>
      <c r="AK249" s="18"/>
      <c r="AL249" s="18"/>
      <c r="AM249" s="18">
        <f t="shared" si="29"/>
        <v>4</v>
      </c>
      <c r="AN249" s="18"/>
      <c r="AO249" s="18"/>
      <c r="AP249" s="18">
        <f t="shared" si="30"/>
        <v>0</v>
      </c>
      <c r="AQ249" s="32">
        <f t="shared" si="31"/>
        <v>928</v>
      </c>
    </row>
    <row r="250" spans="1:43" x14ac:dyDescent="0.35">
      <c r="A250" s="126" t="s">
        <v>765</v>
      </c>
      <c r="B250" s="126" t="s">
        <v>1229</v>
      </c>
      <c r="C250" s="126" t="s">
        <v>1295</v>
      </c>
      <c r="D250" s="128">
        <v>4821</v>
      </c>
      <c r="E250" s="128">
        <v>93</v>
      </c>
      <c r="F250" s="128">
        <v>9</v>
      </c>
      <c r="G250" s="128">
        <v>2</v>
      </c>
      <c r="H250" s="128"/>
      <c r="I250" s="18">
        <f t="shared" si="24"/>
        <v>4925</v>
      </c>
      <c r="J250" s="128">
        <v>1092</v>
      </c>
      <c r="K250" s="128">
        <v>17</v>
      </c>
      <c r="L250" s="128">
        <v>2</v>
      </c>
      <c r="M250" s="128"/>
      <c r="N250" s="128"/>
      <c r="O250" s="18">
        <f t="shared" si="25"/>
        <v>1111</v>
      </c>
      <c r="P250" s="18">
        <v>633</v>
      </c>
      <c r="Q250" s="18">
        <v>19</v>
      </c>
      <c r="R250" s="18">
        <v>1</v>
      </c>
      <c r="S250" s="18"/>
      <c r="T250" s="18"/>
      <c r="U250" s="18">
        <f t="shared" si="26"/>
        <v>653</v>
      </c>
      <c r="V250" s="18">
        <v>273</v>
      </c>
      <c r="W250" s="18">
        <v>4</v>
      </c>
      <c r="X250" s="18"/>
      <c r="Y250" s="18"/>
      <c r="Z250" s="18"/>
      <c r="AA250" s="18">
        <f t="shared" si="27"/>
        <v>277</v>
      </c>
      <c r="AB250" s="18">
        <v>1481</v>
      </c>
      <c r="AC250" s="18">
        <v>12</v>
      </c>
      <c r="AD250" s="18">
        <v>2</v>
      </c>
      <c r="AE250" s="18">
        <v>1</v>
      </c>
      <c r="AF250" s="18"/>
      <c r="AG250" s="18">
        <f t="shared" si="28"/>
        <v>1496</v>
      </c>
      <c r="AH250" s="18">
        <v>514</v>
      </c>
      <c r="AI250" s="18">
        <v>5</v>
      </c>
      <c r="AJ250" s="18"/>
      <c r="AK250" s="18"/>
      <c r="AL250" s="18"/>
      <c r="AM250" s="18">
        <f t="shared" si="29"/>
        <v>519</v>
      </c>
      <c r="AN250" s="18"/>
      <c r="AO250" s="18"/>
      <c r="AP250" s="18">
        <f>+AO250+AN250</f>
        <v>0</v>
      </c>
      <c r="AQ250" s="32">
        <f t="shared" si="31"/>
        <v>8981</v>
      </c>
    </row>
    <row r="251" spans="1:43" x14ac:dyDescent="0.35">
      <c r="A251" s="126" t="s">
        <v>766</v>
      </c>
      <c r="B251" s="126" t="s">
        <v>1230</v>
      </c>
      <c r="C251" s="126" t="s">
        <v>1295</v>
      </c>
      <c r="D251" s="128">
        <v>2279</v>
      </c>
      <c r="E251" s="128">
        <v>45</v>
      </c>
      <c r="F251" s="128">
        <v>1</v>
      </c>
      <c r="G251" s="128">
        <v>1</v>
      </c>
      <c r="H251" s="128"/>
      <c r="I251" s="18">
        <f t="shared" si="24"/>
        <v>2326</v>
      </c>
      <c r="J251" s="128">
        <v>359</v>
      </c>
      <c r="K251" s="128">
        <v>3</v>
      </c>
      <c r="L251" s="128"/>
      <c r="M251" s="128"/>
      <c r="N251" s="128"/>
      <c r="O251" s="18">
        <f t="shared" si="25"/>
        <v>362</v>
      </c>
      <c r="P251" s="18">
        <v>304</v>
      </c>
      <c r="Q251" s="18"/>
      <c r="R251" s="18"/>
      <c r="S251" s="18"/>
      <c r="T251" s="18"/>
      <c r="U251" s="18">
        <f t="shared" si="26"/>
        <v>304</v>
      </c>
      <c r="V251" s="18">
        <v>104</v>
      </c>
      <c r="W251" s="18"/>
      <c r="X251" s="18"/>
      <c r="Y251" s="18"/>
      <c r="Z251" s="18"/>
      <c r="AA251" s="18">
        <f t="shared" si="27"/>
        <v>104</v>
      </c>
      <c r="AB251" s="18">
        <v>514</v>
      </c>
      <c r="AC251" s="18"/>
      <c r="AD251" s="18"/>
      <c r="AE251" s="18"/>
      <c r="AF251" s="18"/>
      <c r="AG251" s="18">
        <f t="shared" si="28"/>
        <v>514</v>
      </c>
      <c r="AH251" s="18">
        <v>240</v>
      </c>
      <c r="AI251" s="18"/>
      <c r="AJ251" s="18"/>
      <c r="AK251" s="18"/>
      <c r="AL251" s="18"/>
      <c r="AM251" s="18">
        <f t="shared" si="29"/>
        <v>240</v>
      </c>
      <c r="AN251" s="18"/>
      <c r="AO251" s="18"/>
      <c r="AP251" s="18">
        <f t="shared" ref="AP251:AP314" si="32">+AO251+AN251</f>
        <v>0</v>
      </c>
      <c r="AQ251" s="32">
        <f t="shared" si="31"/>
        <v>3850</v>
      </c>
    </row>
    <row r="252" spans="1:43" x14ac:dyDescent="0.35">
      <c r="A252" s="126" t="s">
        <v>767</v>
      </c>
      <c r="B252" s="126" t="s">
        <v>768</v>
      </c>
      <c r="C252" s="126" t="s">
        <v>1295</v>
      </c>
      <c r="D252" s="128">
        <v>532</v>
      </c>
      <c r="E252" s="128">
        <v>15</v>
      </c>
      <c r="F252" s="128"/>
      <c r="G252" s="128"/>
      <c r="H252" s="128"/>
      <c r="I252" s="18">
        <f t="shared" si="24"/>
        <v>547</v>
      </c>
      <c r="J252" s="128">
        <v>130</v>
      </c>
      <c r="K252" s="128">
        <v>2</v>
      </c>
      <c r="L252" s="128"/>
      <c r="M252" s="128"/>
      <c r="N252" s="128"/>
      <c r="O252" s="18">
        <f t="shared" si="25"/>
        <v>132</v>
      </c>
      <c r="P252" s="18">
        <v>80</v>
      </c>
      <c r="Q252" s="18">
        <v>3</v>
      </c>
      <c r="R252" s="18">
        <v>2</v>
      </c>
      <c r="S252" s="18"/>
      <c r="T252" s="18"/>
      <c r="U252" s="18">
        <f t="shared" si="26"/>
        <v>85</v>
      </c>
      <c r="V252" s="18">
        <v>25</v>
      </c>
      <c r="W252" s="18">
        <v>2</v>
      </c>
      <c r="X252" s="18"/>
      <c r="Y252" s="18"/>
      <c r="Z252" s="18"/>
      <c r="AA252" s="18">
        <f t="shared" si="27"/>
        <v>27</v>
      </c>
      <c r="AB252" s="18">
        <v>171</v>
      </c>
      <c r="AC252" s="18">
        <v>7</v>
      </c>
      <c r="AD252" s="18"/>
      <c r="AE252" s="18"/>
      <c r="AF252" s="18"/>
      <c r="AG252" s="18">
        <f t="shared" si="28"/>
        <v>178</v>
      </c>
      <c r="AH252" s="18">
        <v>71</v>
      </c>
      <c r="AI252" s="18"/>
      <c r="AJ252" s="18"/>
      <c r="AK252" s="18"/>
      <c r="AL252" s="18"/>
      <c r="AM252" s="18">
        <f t="shared" si="29"/>
        <v>71</v>
      </c>
      <c r="AN252" s="18"/>
      <c r="AO252" s="18"/>
      <c r="AP252" s="18">
        <f t="shared" si="32"/>
        <v>0</v>
      </c>
      <c r="AQ252" s="32">
        <f t="shared" si="31"/>
        <v>1040</v>
      </c>
    </row>
    <row r="253" spans="1:43" x14ac:dyDescent="0.35">
      <c r="A253" s="126" t="s">
        <v>769</v>
      </c>
      <c r="B253" s="126" t="s">
        <v>770</v>
      </c>
      <c r="C253" s="126" t="s">
        <v>1295</v>
      </c>
      <c r="D253" s="128">
        <v>203</v>
      </c>
      <c r="E253" s="128">
        <v>44</v>
      </c>
      <c r="F253" s="128">
        <v>2</v>
      </c>
      <c r="G253" s="128">
        <v>1</v>
      </c>
      <c r="H253" s="128"/>
      <c r="I253" s="18">
        <f t="shared" si="24"/>
        <v>250</v>
      </c>
      <c r="J253" s="128">
        <v>12</v>
      </c>
      <c r="K253" s="128">
        <v>1</v>
      </c>
      <c r="L253" s="128"/>
      <c r="M253" s="128"/>
      <c r="N253" s="128"/>
      <c r="O253" s="18">
        <f t="shared" si="25"/>
        <v>13</v>
      </c>
      <c r="P253" s="18">
        <v>14</v>
      </c>
      <c r="Q253" s="18">
        <v>3</v>
      </c>
      <c r="R253" s="18"/>
      <c r="S253" s="18"/>
      <c r="T253" s="18"/>
      <c r="U253" s="18">
        <f t="shared" si="26"/>
        <v>17</v>
      </c>
      <c r="V253" s="18">
        <v>9</v>
      </c>
      <c r="W253" s="18"/>
      <c r="X253" s="18"/>
      <c r="Y253" s="18"/>
      <c r="Z253" s="18"/>
      <c r="AA253" s="18">
        <f t="shared" si="27"/>
        <v>9</v>
      </c>
      <c r="AB253" s="18">
        <v>45</v>
      </c>
      <c r="AC253" s="18">
        <v>8</v>
      </c>
      <c r="AD253" s="18"/>
      <c r="AE253" s="18"/>
      <c r="AF253" s="18"/>
      <c r="AG253" s="18">
        <f t="shared" si="28"/>
        <v>53</v>
      </c>
      <c r="AH253" s="18">
        <v>7</v>
      </c>
      <c r="AI253" s="18"/>
      <c r="AJ253" s="18"/>
      <c r="AK253" s="18"/>
      <c r="AL253" s="18"/>
      <c r="AM253" s="18">
        <f t="shared" si="29"/>
        <v>7</v>
      </c>
      <c r="AN253" s="18"/>
      <c r="AO253" s="18"/>
      <c r="AP253" s="18">
        <f t="shared" si="32"/>
        <v>0</v>
      </c>
      <c r="AQ253" s="32">
        <f t="shared" si="31"/>
        <v>349</v>
      </c>
    </row>
    <row r="254" spans="1:43" x14ac:dyDescent="0.35">
      <c r="A254" s="126" t="s">
        <v>771</v>
      </c>
      <c r="B254" s="126" t="s">
        <v>772</v>
      </c>
      <c r="C254" s="126" t="s">
        <v>1295</v>
      </c>
      <c r="D254" s="128">
        <v>715</v>
      </c>
      <c r="E254" s="128">
        <v>56</v>
      </c>
      <c r="F254" s="128">
        <v>8</v>
      </c>
      <c r="G254" s="128">
        <v>1</v>
      </c>
      <c r="H254" s="128"/>
      <c r="I254" s="18">
        <f t="shared" si="24"/>
        <v>780</v>
      </c>
      <c r="J254" s="128">
        <v>201</v>
      </c>
      <c r="K254" s="128">
        <v>1</v>
      </c>
      <c r="L254" s="128"/>
      <c r="M254" s="128"/>
      <c r="N254" s="128"/>
      <c r="O254" s="18">
        <f t="shared" si="25"/>
        <v>202</v>
      </c>
      <c r="P254" s="18">
        <v>80</v>
      </c>
      <c r="Q254" s="18">
        <v>3</v>
      </c>
      <c r="R254" s="18"/>
      <c r="S254" s="18"/>
      <c r="T254" s="18"/>
      <c r="U254" s="18">
        <f t="shared" si="26"/>
        <v>83</v>
      </c>
      <c r="V254" s="18">
        <v>78</v>
      </c>
      <c r="W254" s="18"/>
      <c r="X254" s="18">
        <v>1</v>
      </c>
      <c r="Y254" s="18"/>
      <c r="Z254" s="18"/>
      <c r="AA254" s="18">
        <f t="shared" si="27"/>
        <v>79</v>
      </c>
      <c r="AB254" s="18">
        <v>179</v>
      </c>
      <c r="AC254" s="18">
        <v>11</v>
      </c>
      <c r="AD254" s="18"/>
      <c r="AE254" s="18"/>
      <c r="AF254" s="18"/>
      <c r="AG254" s="18">
        <f t="shared" si="28"/>
        <v>190</v>
      </c>
      <c r="AH254" s="18">
        <v>102</v>
      </c>
      <c r="AI254" s="18">
        <v>1</v>
      </c>
      <c r="AJ254" s="18"/>
      <c r="AK254" s="18"/>
      <c r="AL254" s="18"/>
      <c r="AM254" s="18">
        <f t="shared" si="29"/>
        <v>103</v>
      </c>
      <c r="AN254" s="18"/>
      <c r="AO254" s="18"/>
      <c r="AP254" s="18">
        <f t="shared" si="32"/>
        <v>0</v>
      </c>
      <c r="AQ254" s="32">
        <f t="shared" si="31"/>
        <v>1437</v>
      </c>
    </row>
    <row r="255" spans="1:43" x14ac:dyDescent="0.35">
      <c r="A255" s="126" t="s">
        <v>773</v>
      </c>
      <c r="B255" s="126" t="s">
        <v>774</v>
      </c>
      <c r="C255" s="126" t="s">
        <v>1295</v>
      </c>
      <c r="D255" s="128">
        <v>789</v>
      </c>
      <c r="E255" s="128">
        <v>2</v>
      </c>
      <c r="F255" s="128"/>
      <c r="G255" s="128"/>
      <c r="H255" s="128"/>
      <c r="I255" s="18">
        <f t="shared" si="24"/>
        <v>791</v>
      </c>
      <c r="J255" s="128">
        <v>115</v>
      </c>
      <c r="K255" s="128"/>
      <c r="L255" s="128"/>
      <c r="M255" s="128"/>
      <c r="N255" s="128"/>
      <c r="O255" s="18">
        <f t="shared" si="25"/>
        <v>115</v>
      </c>
      <c r="P255" s="18">
        <v>63</v>
      </c>
      <c r="Q255" s="18">
        <v>1</v>
      </c>
      <c r="R255" s="18"/>
      <c r="S255" s="18"/>
      <c r="T255" s="18"/>
      <c r="U255" s="18">
        <f t="shared" si="26"/>
        <v>64</v>
      </c>
      <c r="V255" s="18">
        <v>41</v>
      </c>
      <c r="W255" s="18">
        <v>1</v>
      </c>
      <c r="X255" s="18"/>
      <c r="Y255" s="18"/>
      <c r="Z255" s="18"/>
      <c r="AA255" s="18">
        <f t="shared" si="27"/>
        <v>42</v>
      </c>
      <c r="AB255" s="18">
        <v>236</v>
      </c>
      <c r="AC255" s="18">
        <v>2</v>
      </c>
      <c r="AD255" s="18"/>
      <c r="AE255" s="18"/>
      <c r="AF255" s="18"/>
      <c r="AG255" s="18">
        <f t="shared" si="28"/>
        <v>238</v>
      </c>
      <c r="AH255" s="18">
        <v>86</v>
      </c>
      <c r="AI255" s="18">
        <v>1</v>
      </c>
      <c r="AJ255" s="18"/>
      <c r="AK255" s="18"/>
      <c r="AL255" s="18"/>
      <c r="AM255" s="18">
        <f t="shared" si="29"/>
        <v>87</v>
      </c>
      <c r="AN255" s="18"/>
      <c r="AO255" s="18"/>
      <c r="AP255" s="18">
        <f t="shared" si="32"/>
        <v>0</v>
      </c>
      <c r="AQ255" s="32">
        <f t="shared" si="31"/>
        <v>1337</v>
      </c>
    </row>
    <row r="256" spans="1:43" x14ac:dyDescent="0.35">
      <c r="A256" s="126" t="s">
        <v>775</v>
      </c>
      <c r="B256" s="126" t="s">
        <v>776</v>
      </c>
      <c r="C256" s="126" t="s">
        <v>1295</v>
      </c>
      <c r="D256" s="128">
        <v>640</v>
      </c>
      <c r="E256" s="128">
        <v>25</v>
      </c>
      <c r="F256" s="128">
        <v>3</v>
      </c>
      <c r="G256" s="128"/>
      <c r="H256" s="128"/>
      <c r="I256" s="18">
        <f t="shared" si="24"/>
        <v>668</v>
      </c>
      <c r="J256" s="128">
        <v>98</v>
      </c>
      <c r="K256" s="128">
        <v>1</v>
      </c>
      <c r="L256" s="128"/>
      <c r="M256" s="128"/>
      <c r="N256" s="128"/>
      <c r="O256" s="18">
        <f t="shared" si="25"/>
        <v>99</v>
      </c>
      <c r="P256" s="18">
        <v>33</v>
      </c>
      <c r="Q256" s="18">
        <v>2</v>
      </c>
      <c r="R256" s="18"/>
      <c r="S256" s="18"/>
      <c r="T256" s="18"/>
      <c r="U256" s="18">
        <f t="shared" si="26"/>
        <v>35</v>
      </c>
      <c r="V256" s="18">
        <v>18</v>
      </c>
      <c r="W256" s="18">
        <v>1</v>
      </c>
      <c r="X256" s="18"/>
      <c r="Y256" s="18"/>
      <c r="Z256" s="18"/>
      <c r="AA256" s="18">
        <f t="shared" si="27"/>
        <v>19</v>
      </c>
      <c r="AB256" s="18">
        <v>121</v>
      </c>
      <c r="AC256" s="18">
        <v>5</v>
      </c>
      <c r="AD256" s="18"/>
      <c r="AE256" s="18"/>
      <c r="AF256" s="18"/>
      <c r="AG256" s="18">
        <f t="shared" si="28"/>
        <v>126</v>
      </c>
      <c r="AH256" s="18">
        <v>83</v>
      </c>
      <c r="AI256" s="18">
        <v>1</v>
      </c>
      <c r="AJ256" s="18"/>
      <c r="AK256" s="18"/>
      <c r="AL256" s="18"/>
      <c r="AM256" s="18">
        <f t="shared" si="29"/>
        <v>84</v>
      </c>
      <c r="AN256" s="18"/>
      <c r="AO256" s="18"/>
      <c r="AP256" s="18">
        <f t="shared" si="32"/>
        <v>0</v>
      </c>
      <c r="AQ256" s="32">
        <f t="shared" si="31"/>
        <v>1031</v>
      </c>
    </row>
    <row r="257" spans="1:43" x14ac:dyDescent="0.35">
      <c r="A257" s="126" t="s">
        <v>777</v>
      </c>
      <c r="B257" s="126" t="s">
        <v>778</v>
      </c>
      <c r="C257" s="126" t="s">
        <v>1295</v>
      </c>
      <c r="D257" s="128">
        <v>55</v>
      </c>
      <c r="E257" s="128">
        <v>48</v>
      </c>
      <c r="F257" s="128">
        <v>26</v>
      </c>
      <c r="G257" s="128">
        <v>4</v>
      </c>
      <c r="H257" s="128"/>
      <c r="I257" s="18">
        <f t="shared" si="24"/>
        <v>133</v>
      </c>
      <c r="J257" s="128">
        <v>23</v>
      </c>
      <c r="K257" s="128">
        <v>14</v>
      </c>
      <c r="L257" s="128"/>
      <c r="M257" s="128"/>
      <c r="N257" s="128"/>
      <c r="O257" s="18">
        <f t="shared" si="25"/>
        <v>37</v>
      </c>
      <c r="P257" s="18">
        <v>21</v>
      </c>
      <c r="Q257" s="18">
        <v>7</v>
      </c>
      <c r="R257" s="18"/>
      <c r="S257" s="18"/>
      <c r="T257" s="18"/>
      <c r="U257" s="18">
        <f t="shared" si="26"/>
        <v>28</v>
      </c>
      <c r="V257" s="18">
        <v>18</v>
      </c>
      <c r="W257" s="18">
        <v>4</v>
      </c>
      <c r="X257" s="18">
        <v>1</v>
      </c>
      <c r="Y257" s="18"/>
      <c r="Z257" s="18"/>
      <c r="AA257" s="18">
        <f t="shared" si="27"/>
        <v>23</v>
      </c>
      <c r="AB257" s="18">
        <v>9</v>
      </c>
      <c r="AC257" s="18">
        <v>13</v>
      </c>
      <c r="AD257" s="18">
        <v>4</v>
      </c>
      <c r="AE257" s="18"/>
      <c r="AF257" s="18"/>
      <c r="AG257" s="18">
        <f t="shared" si="28"/>
        <v>26</v>
      </c>
      <c r="AH257" s="18">
        <v>27</v>
      </c>
      <c r="AI257" s="18">
        <v>6</v>
      </c>
      <c r="AJ257" s="18"/>
      <c r="AK257" s="18"/>
      <c r="AL257" s="18"/>
      <c r="AM257" s="18">
        <f t="shared" si="29"/>
        <v>33</v>
      </c>
      <c r="AN257" s="18"/>
      <c r="AO257" s="18"/>
      <c r="AP257" s="18">
        <f t="shared" si="32"/>
        <v>0</v>
      </c>
      <c r="AQ257" s="32">
        <f t="shared" si="31"/>
        <v>280</v>
      </c>
    </row>
    <row r="258" spans="1:43" x14ac:dyDescent="0.35">
      <c r="A258" s="126" t="s">
        <v>779</v>
      </c>
      <c r="B258" s="126" t="s">
        <v>780</v>
      </c>
      <c r="C258" s="126" t="s">
        <v>1295</v>
      </c>
      <c r="D258" s="128">
        <v>161</v>
      </c>
      <c r="E258" s="128">
        <v>14</v>
      </c>
      <c r="F258" s="128">
        <v>3</v>
      </c>
      <c r="G258" s="128"/>
      <c r="H258" s="128"/>
      <c r="I258" s="18">
        <f t="shared" si="24"/>
        <v>178</v>
      </c>
      <c r="J258" s="128">
        <v>9</v>
      </c>
      <c r="K258" s="128"/>
      <c r="L258" s="128"/>
      <c r="M258" s="128"/>
      <c r="N258" s="128"/>
      <c r="O258" s="18">
        <f t="shared" si="25"/>
        <v>9</v>
      </c>
      <c r="P258" s="18">
        <v>11</v>
      </c>
      <c r="Q258" s="18"/>
      <c r="R258" s="18"/>
      <c r="S258" s="18"/>
      <c r="T258" s="18"/>
      <c r="U258" s="18">
        <f t="shared" si="26"/>
        <v>11</v>
      </c>
      <c r="V258" s="18">
        <v>19</v>
      </c>
      <c r="W258" s="18">
        <v>2</v>
      </c>
      <c r="X258" s="18"/>
      <c r="Y258" s="18"/>
      <c r="Z258" s="18"/>
      <c r="AA258" s="18">
        <f t="shared" si="27"/>
        <v>21</v>
      </c>
      <c r="AB258" s="18">
        <v>23</v>
      </c>
      <c r="AC258" s="18">
        <v>1</v>
      </c>
      <c r="AD258" s="18"/>
      <c r="AE258" s="18"/>
      <c r="AF258" s="18"/>
      <c r="AG258" s="18">
        <f t="shared" si="28"/>
        <v>24</v>
      </c>
      <c r="AH258" s="18">
        <v>2</v>
      </c>
      <c r="AI258" s="18"/>
      <c r="AJ258" s="18"/>
      <c r="AK258" s="18"/>
      <c r="AL258" s="18"/>
      <c r="AM258" s="18">
        <f t="shared" si="29"/>
        <v>2</v>
      </c>
      <c r="AN258" s="18"/>
      <c r="AO258" s="18"/>
      <c r="AP258" s="18">
        <f t="shared" si="32"/>
        <v>0</v>
      </c>
      <c r="AQ258" s="32">
        <f t="shared" si="31"/>
        <v>245</v>
      </c>
    </row>
    <row r="259" spans="1:43" x14ac:dyDescent="0.35">
      <c r="A259" s="126" t="s">
        <v>781</v>
      </c>
      <c r="B259" s="126" t="s">
        <v>782</v>
      </c>
      <c r="C259" s="126" t="s">
        <v>1295</v>
      </c>
      <c r="D259" s="128">
        <v>1235</v>
      </c>
      <c r="E259" s="128">
        <v>57</v>
      </c>
      <c r="F259" s="128">
        <v>9</v>
      </c>
      <c r="G259" s="128"/>
      <c r="H259" s="128"/>
      <c r="I259" s="18">
        <f t="shared" si="24"/>
        <v>1301</v>
      </c>
      <c r="J259" s="128">
        <v>103</v>
      </c>
      <c r="K259" s="128"/>
      <c r="L259" s="128"/>
      <c r="M259" s="128"/>
      <c r="N259" s="128"/>
      <c r="O259" s="18">
        <f t="shared" si="25"/>
        <v>103</v>
      </c>
      <c r="P259" s="18">
        <v>77</v>
      </c>
      <c r="Q259" s="18"/>
      <c r="R259" s="18"/>
      <c r="S259" s="18"/>
      <c r="T259" s="18"/>
      <c r="U259" s="18">
        <f t="shared" si="26"/>
        <v>77</v>
      </c>
      <c r="V259" s="18">
        <v>61</v>
      </c>
      <c r="W259" s="18"/>
      <c r="X259" s="18"/>
      <c r="Y259" s="18"/>
      <c r="Z259" s="18"/>
      <c r="AA259" s="18">
        <f t="shared" si="27"/>
        <v>61</v>
      </c>
      <c r="AB259" s="18">
        <v>162</v>
      </c>
      <c r="AC259" s="18">
        <v>2</v>
      </c>
      <c r="AD259" s="18"/>
      <c r="AE259" s="18"/>
      <c r="AF259" s="18"/>
      <c r="AG259" s="18">
        <f t="shared" si="28"/>
        <v>164</v>
      </c>
      <c r="AH259" s="18">
        <v>42</v>
      </c>
      <c r="AI259" s="18"/>
      <c r="AJ259" s="18"/>
      <c r="AK259" s="18"/>
      <c r="AL259" s="18"/>
      <c r="AM259" s="18">
        <f t="shared" si="29"/>
        <v>42</v>
      </c>
      <c r="AN259" s="18"/>
      <c r="AO259" s="18"/>
      <c r="AP259" s="18">
        <f t="shared" si="32"/>
        <v>0</v>
      </c>
      <c r="AQ259" s="32">
        <f t="shared" si="31"/>
        <v>1748</v>
      </c>
    </row>
    <row r="260" spans="1:43" x14ac:dyDescent="0.35">
      <c r="A260" s="126" t="s">
        <v>783</v>
      </c>
      <c r="B260" s="126" t="s">
        <v>784</v>
      </c>
      <c r="C260" s="126" t="s">
        <v>1295</v>
      </c>
      <c r="D260" s="128">
        <v>101</v>
      </c>
      <c r="E260" s="128">
        <v>6</v>
      </c>
      <c r="F260" s="128">
        <v>1</v>
      </c>
      <c r="G260" s="128"/>
      <c r="H260" s="128"/>
      <c r="I260" s="18">
        <f t="shared" si="24"/>
        <v>108</v>
      </c>
      <c r="J260" s="128">
        <v>1</v>
      </c>
      <c r="K260" s="128"/>
      <c r="L260" s="128"/>
      <c r="M260" s="128"/>
      <c r="N260" s="128"/>
      <c r="O260" s="18">
        <f t="shared" si="25"/>
        <v>1</v>
      </c>
      <c r="P260" s="18">
        <v>2</v>
      </c>
      <c r="Q260" s="18"/>
      <c r="R260" s="18"/>
      <c r="S260" s="18"/>
      <c r="T260" s="18"/>
      <c r="U260" s="18">
        <f t="shared" si="26"/>
        <v>2</v>
      </c>
      <c r="V260" s="18">
        <v>4</v>
      </c>
      <c r="W260" s="18"/>
      <c r="X260" s="18"/>
      <c r="Y260" s="18"/>
      <c r="Z260" s="18"/>
      <c r="AA260" s="18">
        <f t="shared" si="27"/>
        <v>4</v>
      </c>
      <c r="AB260" s="18">
        <v>5</v>
      </c>
      <c r="AC260" s="18"/>
      <c r="AD260" s="18"/>
      <c r="AE260" s="18"/>
      <c r="AF260" s="18"/>
      <c r="AG260" s="18">
        <f t="shared" si="28"/>
        <v>5</v>
      </c>
      <c r="AH260" s="18"/>
      <c r="AI260" s="18"/>
      <c r="AJ260" s="18"/>
      <c r="AK260" s="18"/>
      <c r="AL260" s="18"/>
      <c r="AM260" s="18">
        <f t="shared" si="29"/>
        <v>0</v>
      </c>
      <c r="AN260" s="18"/>
      <c r="AO260" s="18"/>
      <c r="AP260" s="18">
        <f t="shared" si="32"/>
        <v>0</v>
      </c>
      <c r="AQ260" s="32">
        <f t="shared" si="31"/>
        <v>120</v>
      </c>
    </row>
    <row r="261" spans="1:43" x14ac:dyDescent="0.35">
      <c r="A261" s="126" t="s">
        <v>785</v>
      </c>
      <c r="B261" s="126" t="s">
        <v>786</v>
      </c>
      <c r="C261" s="126" t="s">
        <v>1295</v>
      </c>
      <c r="D261" s="128">
        <v>390</v>
      </c>
      <c r="E261" s="128">
        <v>33</v>
      </c>
      <c r="F261" s="128"/>
      <c r="G261" s="128"/>
      <c r="H261" s="128"/>
      <c r="I261" s="18">
        <f t="shared" si="24"/>
        <v>423</v>
      </c>
      <c r="J261" s="128">
        <v>15</v>
      </c>
      <c r="K261" s="128"/>
      <c r="L261" s="128"/>
      <c r="M261" s="128"/>
      <c r="N261" s="128"/>
      <c r="O261" s="18">
        <f t="shared" si="25"/>
        <v>15</v>
      </c>
      <c r="P261" s="18">
        <v>7</v>
      </c>
      <c r="Q261" s="18"/>
      <c r="R261" s="18"/>
      <c r="S261" s="18"/>
      <c r="T261" s="18"/>
      <c r="U261" s="18">
        <f t="shared" si="26"/>
        <v>7</v>
      </c>
      <c r="V261" s="18">
        <v>13</v>
      </c>
      <c r="W261" s="18"/>
      <c r="X261" s="18"/>
      <c r="Y261" s="18"/>
      <c r="Z261" s="18"/>
      <c r="AA261" s="18">
        <f t="shared" si="27"/>
        <v>13</v>
      </c>
      <c r="AB261" s="18">
        <v>48</v>
      </c>
      <c r="AC261" s="18">
        <v>1</v>
      </c>
      <c r="AD261" s="18"/>
      <c r="AE261" s="18"/>
      <c r="AF261" s="18"/>
      <c r="AG261" s="18">
        <f t="shared" si="28"/>
        <v>49</v>
      </c>
      <c r="AH261" s="18">
        <v>3</v>
      </c>
      <c r="AI261" s="18"/>
      <c r="AJ261" s="18"/>
      <c r="AK261" s="18"/>
      <c r="AL261" s="18"/>
      <c r="AM261" s="18">
        <f t="shared" si="29"/>
        <v>3</v>
      </c>
      <c r="AN261" s="18"/>
      <c r="AO261" s="18"/>
      <c r="AP261" s="18">
        <f t="shared" si="32"/>
        <v>0</v>
      </c>
      <c r="AQ261" s="32">
        <f t="shared" si="31"/>
        <v>510</v>
      </c>
    </row>
    <row r="262" spans="1:43" x14ac:dyDescent="0.35">
      <c r="A262" s="126" t="s">
        <v>787</v>
      </c>
      <c r="B262" s="126" t="s">
        <v>788</v>
      </c>
      <c r="C262" s="126" t="s">
        <v>1295</v>
      </c>
      <c r="D262" s="128">
        <v>1416</v>
      </c>
      <c r="E262" s="128">
        <v>119</v>
      </c>
      <c r="F262" s="128">
        <v>12</v>
      </c>
      <c r="G262" s="128">
        <v>1</v>
      </c>
      <c r="H262" s="128"/>
      <c r="I262" s="18">
        <f t="shared" ref="I262:I325" si="33">+SUM(D262:H262)</f>
        <v>1548</v>
      </c>
      <c r="J262" s="128">
        <v>147</v>
      </c>
      <c r="K262" s="128">
        <v>9</v>
      </c>
      <c r="L262" s="128"/>
      <c r="M262" s="128"/>
      <c r="N262" s="128"/>
      <c r="O262" s="18">
        <f t="shared" ref="O262:O325" si="34">+SUM(J262:N262)</f>
        <v>156</v>
      </c>
      <c r="P262" s="18">
        <v>101</v>
      </c>
      <c r="Q262" s="18">
        <v>6</v>
      </c>
      <c r="R262" s="18"/>
      <c r="S262" s="18"/>
      <c r="T262" s="18"/>
      <c r="U262" s="18">
        <f t="shared" ref="U262:U325" si="35">+SUM(P262:T262)</f>
        <v>107</v>
      </c>
      <c r="V262" s="18">
        <v>79</v>
      </c>
      <c r="W262" s="18">
        <v>3</v>
      </c>
      <c r="X262" s="18"/>
      <c r="Y262" s="18"/>
      <c r="Z262" s="18"/>
      <c r="AA262" s="18">
        <f t="shared" ref="AA262:AA325" si="36">+SUM(V262:Z262)</f>
        <v>82</v>
      </c>
      <c r="AB262" s="18">
        <v>339</v>
      </c>
      <c r="AC262" s="18">
        <v>11</v>
      </c>
      <c r="AD262" s="18"/>
      <c r="AE262" s="18"/>
      <c r="AF262" s="18"/>
      <c r="AG262" s="18">
        <f t="shared" ref="AG262:AG325" si="37">+SUM(AB262:AF262)</f>
        <v>350</v>
      </c>
      <c r="AH262" s="18">
        <v>100</v>
      </c>
      <c r="AI262" s="18">
        <v>6</v>
      </c>
      <c r="AJ262" s="18"/>
      <c r="AK262" s="18"/>
      <c r="AL262" s="18"/>
      <c r="AM262" s="18">
        <f t="shared" ref="AM262:AM325" si="38">+SUM(AH262:AL262)</f>
        <v>106</v>
      </c>
      <c r="AN262" s="18"/>
      <c r="AO262" s="18"/>
      <c r="AP262" s="18">
        <f t="shared" si="32"/>
        <v>0</v>
      </c>
      <c r="AQ262" s="32">
        <f t="shared" ref="AQ262:AQ325" si="39">+AP262+AM262+AG262+AA262+U262+O262+I262</f>
        <v>2349</v>
      </c>
    </row>
    <row r="263" spans="1:43" x14ac:dyDescent="0.35">
      <c r="A263" s="126" t="s">
        <v>789</v>
      </c>
      <c r="B263" s="126" t="s">
        <v>1231</v>
      </c>
      <c r="C263" s="126" t="s">
        <v>1295</v>
      </c>
      <c r="D263" s="128">
        <v>39</v>
      </c>
      <c r="E263" s="128">
        <v>1</v>
      </c>
      <c r="F263" s="128"/>
      <c r="G263" s="128"/>
      <c r="H263" s="128"/>
      <c r="I263" s="18">
        <f t="shared" si="33"/>
        <v>40</v>
      </c>
      <c r="J263" s="128"/>
      <c r="K263" s="128"/>
      <c r="L263" s="128"/>
      <c r="M263" s="128"/>
      <c r="N263" s="128"/>
      <c r="O263" s="18">
        <f t="shared" si="34"/>
        <v>0</v>
      </c>
      <c r="P263" s="18"/>
      <c r="Q263" s="18"/>
      <c r="R263" s="18"/>
      <c r="S263" s="18"/>
      <c r="T263" s="18"/>
      <c r="U263" s="18">
        <f t="shared" si="35"/>
        <v>0</v>
      </c>
      <c r="V263" s="18"/>
      <c r="W263" s="18"/>
      <c r="X263" s="18"/>
      <c r="Y263" s="18"/>
      <c r="Z263" s="18"/>
      <c r="AA263" s="18">
        <f t="shared" si="36"/>
        <v>0</v>
      </c>
      <c r="AB263" s="18">
        <v>3</v>
      </c>
      <c r="AC263" s="18"/>
      <c r="AD263" s="18"/>
      <c r="AE263" s="18"/>
      <c r="AF263" s="18"/>
      <c r="AG263" s="18">
        <f t="shared" si="37"/>
        <v>3</v>
      </c>
      <c r="AH263" s="18"/>
      <c r="AI263" s="18"/>
      <c r="AJ263" s="18"/>
      <c r="AK263" s="18"/>
      <c r="AL263" s="18"/>
      <c r="AM263" s="18">
        <f t="shared" si="38"/>
        <v>0</v>
      </c>
      <c r="AN263" s="18"/>
      <c r="AO263" s="18"/>
      <c r="AP263" s="18">
        <f t="shared" si="32"/>
        <v>0</v>
      </c>
      <c r="AQ263" s="32">
        <f t="shared" si="39"/>
        <v>43</v>
      </c>
    </row>
    <row r="264" spans="1:43" x14ac:dyDescent="0.35">
      <c r="A264" s="126" t="s">
        <v>790</v>
      </c>
      <c r="B264" s="126" t="s">
        <v>1232</v>
      </c>
      <c r="C264" s="126" t="s">
        <v>1295</v>
      </c>
      <c r="D264" s="128">
        <v>311</v>
      </c>
      <c r="E264" s="128">
        <v>17</v>
      </c>
      <c r="F264" s="128">
        <v>4</v>
      </c>
      <c r="G264" s="128">
        <v>2</v>
      </c>
      <c r="H264" s="128"/>
      <c r="I264" s="18">
        <f t="shared" si="33"/>
        <v>334</v>
      </c>
      <c r="J264" s="128">
        <v>45</v>
      </c>
      <c r="K264" s="128"/>
      <c r="L264" s="128"/>
      <c r="M264" s="128"/>
      <c r="N264" s="128"/>
      <c r="O264" s="18">
        <f t="shared" si="34"/>
        <v>45</v>
      </c>
      <c r="P264" s="18">
        <v>20</v>
      </c>
      <c r="Q264" s="18"/>
      <c r="R264" s="18">
        <v>1</v>
      </c>
      <c r="S264" s="18"/>
      <c r="T264" s="18"/>
      <c r="U264" s="18">
        <f t="shared" si="35"/>
        <v>21</v>
      </c>
      <c r="V264" s="18">
        <v>35</v>
      </c>
      <c r="W264" s="18">
        <v>1</v>
      </c>
      <c r="X264" s="18"/>
      <c r="Y264" s="18"/>
      <c r="Z264" s="18"/>
      <c r="AA264" s="18">
        <f t="shared" si="36"/>
        <v>36</v>
      </c>
      <c r="AB264" s="18">
        <v>62</v>
      </c>
      <c r="AC264" s="18"/>
      <c r="AD264" s="18">
        <v>1</v>
      </c>
      <c r="AE264" s="18"/>
      <c r="AF264" s="18"/>
      <c r="AG264" s="18">
        <f t="shared" si="37"/>
        <v>63</v>
      </c>
      <c r="AH264" s="18">
        <v>20</v>
      </c>
      <c r="AI264" s="18"/>
      <c r="AJ264" s="18"/>
      <c r="AK264" s="18"/>
      <c r="AL264" s="18"/>
      <c r="AM264" s="18">
        <f t="shared" si="38"/>
        <v>20</v>
      </c>
      <c r="AN264" s="18"/>
      <c r="AO264" s="18"/>
      <c r="AP264" s="18">
        <f t="shared" si="32"/>
        <v>0</v>
      </c>
      <c r="AQ264" s="32">
        <f t="shared" si="39"/>
        <v>519</v>
      </c>
    </row>
    <row r="265" spans="1:43" x14ac:dyDescent="0.35">
      <c r="A265" s="126" t="s">
        <v>791</v>
      </c>
      <c r="B265" s="126" t="s">
        <v>1233</v>
      </c>
      <c r="C265" s="126" t="s">
        <v>1295</v>
      </c>
      <c r="D265" s="128">
        <v>385</v>
      </c>
      <c r="E265" s="128">
        <v>15</v>
      </c>
      <c r="F265" s="128">
        <v>1</v>
      </c>
      <c r="G265" s="128"/>
      <c r="H265" s="128"/>
      <c r="I265" s="18">
        <f t="shared" si="33"/>
        <v>401</v>
      </c>
      <c r="J265" s="128">
        <v>23</v>
      </c>
      <c r="K265" s="128"/>
      <c r="L265" s="128"/>
      <c r="M265" s="128"/>
      <c r="N265" s="128"/>
      <c r="O265" s="18">
        <f t="shared" si="34"/>
        <v>23</v>
      </c>
      <c r="P265" s="18">
        <v>20</v>
      </c>
      <c r="Q265" s="18"/>
      <c r="R265" s="18"/>
      <c r="S265" s="18"/>
      <c r="T265" s="18"/>
      <c r="U265" s="18">
        <f t="shared" si="35"/>
        <v>20</v>
      </c>
      <c r="V265" s="18">
        <v>14</v>
      </c>
      <c r="W265" s="18"/>
      <c r="X265" s="18"/>
      <c r="Y265" s="18"/>
      <c r="Z265" s="18"/>
      <c r="AA265" s="18">
        <f t="shared" si="36"/>
        <v>14</v>
      </c>
      <c r="AB265" s="18">
        <v>53</v>
      </c>
      <c r="AC265" s="18">
        <v>1</v>
      </c>
      <c r="AD265" s="18"/>
      <c r="AE265" s="18"/>
      <c r="AF265" s="18"/>
      <c r="AG265" s="18">
        <f t="shared" si="37"/>
        <v>54</v>
      </c>
      <c r="AH265" s="18">
        <v>5</v>
      </c>
      <c r="AI265" s="18"/>
      <c r="AJ265" s="18"/>
      <c r="AK265" s="18"/>
      <c r="AL265" s="18"/>
      <c r="AM265" s="18">
        <f t="shared" si="38"/>
        <v>5</v>
      </c>
      <c r="AN265" s="18"/>
      <c r="AO265" s="18"/>
      <c r="AP265" s="18">
        <f t="shared" si="32"/>
        <v>0</v>
      </c>
      <c r="AQ265" s="32">
        <f t="shared" si="39"/>
        <v>517</v>
      </c>
    </row>
    <row r="266" spans="1:43" x14ac:dyDescent="0.35">
      <c r="A266" s="126" t="s">
        <v>792</v>
      </c>
      <c r="B266" s="126" t="s">
        <v>793</v>
      </c>
      <c r="C266" s="126" t="s">
        <v>1295</v>
      </c>
      <c r="D266" s="128">
        <v>1057</v>
      </c>
      <c r="E266" s="128">
        <v>30</v>
      </c>
      <c r="F266" s="128"/>
      <c r="G266" s="128"/>
      <c r="H266" s="128"/>
      <c r="I266" s="18">
        <f t="shared" si="33"/>
        <v>1087</v>
      </c>
      <c r="J266" s="128">
        <v>141</v>
      </c>
      <c r="K266" s="128">
        <v>2</v>
      </c>
      <c r="L266" s="128"/>
      <c r="M266" s="128"/>
      <c r="N266" s="128"/>
      <c r="O266" s="18">
        <f t="shared" si="34"/>
        <v>143</v>
      </c>
      <c r="P266" s="18">
        <v>86</v>
      </c>
      <c r="Q266" s="18">
        <v>1</v>
      </c>
      <c r="R266" s="18"/>
      <c r="S266" s="18"/>
      <c r="T266" s="18"/>
      <c r="U266" s="18">
        <f t="shared" si="35"/>
        <v>87</v>
      </c>
      <c r="V266" s="18">
        <v>17</v>
      </c>
      <c r="W266" s="18"/>
      <c r="X266" s="18"/>
      <c r="Y266" s="18"/>
      <c r="Z266" s="18"/>
      <c r="AA266" s="18">
        <f t="shared" si="36"/>
        <v>17</v>
      </c>
      <c r="AB266" s="18">
        <v>229</v>
      </c>
      <c r="AC266" s="18">
        <v>1</v>
      </c>
      <c r="AD266" s="18">
        <v>1</v>
      </c>
      <c r="AE266" s="18"/>
      <c r="AF266" s="18"/>
      <c r="AG266" s="18">
        <f t="shared" si="37"/>
        <v>231</v>
      </c>
      <c r="AH266" s="18">
        <v>89</v>
      </c>
      <c r="AI266" s="18">
        <v>1</v>
      </c>
      <c r="AJ266" s="18"/>
      <c r="AK266" s="18"/>
      <c r="AL266" s="18"/>
      <c r="AM266" s="18">
        <f t="shared" si="38"/>
        <v>90</v>
      </c>
      <c r="AN266" s="18"/>
      <c r="AO266" s="18"/>
      <c r="AP266" s="18">
        <f t="shared" si="32"/>
        <v>0</v>
      </c>
      <c r="AQ266" s="32">
        <f t="shared" si="39"/>
        <v>1655</v>
      </c>
    </row>
    <row r="267" spans="1:43" x14ac:dyDescent="0.35">
      <c r="A267" s="126" t="s">
        <v>794</v>
      </c>
      <c r="B267" s="126" t="s">
        <v>795</v>
      </c>
      <c r="C267" s="126" t="s">
        <v>1295</v>
      </c>
      <c r="D267" s="128">
        <v>929</v>
      </c>
      <c r="E267" s="128">
        <v>30</v>
      </c>
      <c r="F267" s="128"/>
      <c r="G267" s="128"/>
      <c r="H267" s="128"/>
      <c r="I267" s="18">
        <f t="shared" si="33"/>
        <v>959</v>
      </c>
      <c r="J267" s="128">
        <v>109</v>
      </c>
      <c r="K267" s="128"/>
      <c r="L267" s="128"/>
      <c r="M267" s="128"/>
      <c r="N267" s="128"/>
      <c r="O267" s="18">
        <f t="shared" si="34"/>
        <v>109</v>
      </c>
      <c r="P267" s="18">
        <v>96</v>
      </c>
      <c r="Q267" s="18"/>
      <c r="R267" s="18"/>
      <c r="S267" s="18"/>
      <c r="T267" s="18"/>
      <c r="U267" s="18">
        <f t="shared" si="35"/>
        <v>96</v>
      </c>
      <c r="V267" s="18">
        <v>58</v>
      </c>
      <c r="W267" s="18"/>
      <c r="X267" s="18"/>
      <c r="Y267" s="18"/>
      <c r="Z267" s="18"/>
      <c r="AA267" s="18">
        <f t="shared" si="36"/>
        <v>58</v>
      </c>
      <c r="AB267" s="18">
        <v>218</v>
      </c>
      <c r="AC267" s="18"/>
      <c r="AD267" s="18"/>
      <c r="AE267" s="18"/>
      <c r="AF267" s="18"/>
      <c r="AG267" s="18">
        <f t="shared" si="37"/>
        <v>218</v>
      </c>
      <c r="AH267" s="18">
        <v>68</v>
      </c>
      <c r="AI267" s="18"/>
      <c r="AJ267" s="18"/>
      <c r="AK267" s="18"/>
      <c r="AL267" s="18"/>
      <c r="AM267" s="18">
        <f t="shared" si="38"/>
        <v>68</v>
      </c>
      <c r="AN267" s="18">
        <v>1</v>
      </c>
      <c r="AO267" s="18"/>
      <c r="AP267" s="18">
        <f t="shared" si="32"/>
        <v>1</v>
      </c>
      <c r="AQ267" s="32">
        <f t="shared" si="39"/>
        <v>1509</v>
      </c>
    </row>
    <row r="268" spans="1:43" x14ac:dyDescent="0.35">
      <c r="A268" s="126" t="s">
        <v>796</v>
      </c>
      <c r="B268" s="126" t="s">
        <v>1234</v>
      </c>
      <c r="C268" s="126" t="s">
        <v>1295</v>
      </c>
      <c r="D268" s="128">
        <v>184</v>
      </c>
      <c r="E268" s="128">
        <v>13</v>
      </c>
      <c r="F268" s="128"/>
      <c r="G268" s="128"/>
      <c r="H268" s="128"/>
      <c r="I268" s="18">
        <f t="shared" si="33"/>
        <v>197</v>
      </c>
      <c r="J268" s="128">
        <v>17</v>
      </c>
      <c r="K268" s="128"/>
      <c r="L268" s="128"/>
      <c r="M268" s="128"/>
      <c r="N268" s="128"/>
      <c r="O268" s="18">
        <f t="shared" si="34"/>
        <v>17</v>
      </c>
      <c r="P268" s="18">
        <v>12</v>
      </c>
      <c r="Q268" s="18"/>
      <c r="R268" s="18"/>
      <c r="S268" s="18"/>
      <c r="T268" s="18"/>
      <c r="U268" s="18">
        <f t="shared" si="35"/>
        <v>12</v>
      </c>
      <c r="V268" s="18">
        <v>10</v>
      </c>
      <c r="W268" s="18"/>
      <c r="X268" s="18"/>
      <c r="Y268" s="18"/>
      <c r="Z268" s="18"/>
      <c r="AA268" s="18">
        <f t="shared" si="36"/>
        <v>10</v>
      </c>
      <c r="AB268" s="18">
        <v>17</v>
      </c>
      <c r="AC268" s="18"/>
      <c r="AD268" s="18"/>
      <c r="AE268" s="18"/>
      <c r="AF268" s="18"/>
      <c r="AG268" s="18">
        <f t="shared" si="37"/>
        <v>17</v>
      </c>
      <c r="AH268" s="18">
        <v>2</v>
      </c>
      <c r="AI268" s="18"/>
      <c r="AJ268" s="18"/>
      <c r="AK268" s="18"/>
      <c r="AL268" s="18"/>
      <c r="AM268" s="18">
        <f t="shared" si="38"/>
        <v>2</v>
      </c>
      <c r="AN268" s="18"/>
      <c r="AO268" s="18"/>
      <c r="AP268" s="18">
        <f t="shared" si="32"/>
        <v>0</v>
      </c>
      <c r="AQ268" s="32">
        <f t="shared" si="39"/>
        <v>255</v>
      </c>
    </row>
    <row r="269" spans="1:43" x14ac:dyDescent="0.35">
      <c r="A269" s="126" t="s">
        <v>797</v>
      </c>
      <c r="B269" s="126" t="s">
        <v>798</v>
      </c>
      <c r="C269" s="126" t="s">
        <v>1295</v>
      </c>
      <c r="D269" s="128">
        <v>117</v>
      </c>
      <c r="E269" s="128">
        <v>3</v>
      </c>
      <c r="F269" s="128"/>
      <c r="G269" s="128"/>
      <c r="H269" s="128"/>
      <c r="I269" s="18">
        <f t="shared" si="33"/>
        <v>120</v>
      </c>
      <c r="J269" s="128">
        <v>11</v>
      </c>
      <c r="K269" s="128"/>
      <c r="L269" s="128"/>
      <c r="M269" s="128"/>
      <c r="N269" s="128"/>
      <c r="O269" s="18">
        <f t="shared" si="34"/>
        <v>11</v>
      </c>
      <c r="P269" s="18">
        <v>5</v>
      </c>
      <c r="Q269" s="18"/>
      <c r="R269" s="18"/>
      <c r="S269" s="18"/>
      <c r="T269" s="18"/>
      <c r="U269" s="18">
        <f t="shared" si="35"/>
        <v>5</v>
      </c>
      <c r="V269" s="18">
        <v>7</v>
      </c>
      <c r="W269" s="18"/>
      <c r="X269" s="18"/>
      <c r="Y269" s="18"/>
      <c r="Z269" s="18"/>
      <c r="AA269" s="18">
        <f t="shared" si="36"/>
        <v>7</v>
      </c>
      <c r="AB269" s="18">
        <v>20</v>
      </c>
      <c r="AC269" s="18"/>
      <c r="AD269" s="18"/>
      <c r="AE269" s="18"/>
      <c r="AF269" s="18"/>
      <c r="AG269" s="18">
        <f t="shared" si="37"/>
        <v>20</v>
      </c>
      <c r="AH269" s="18"/>
      <c r="AI269" s="18"/>
      <c r="AJ269" s="18"/>
      <c r="AK269" s="18"/>
      <c r="AL269" s="18"/>
      <c r="AM269" s="18">
        <f t="shared" si="38"/>
        <v>0</v>
      </c>
      <c r="AN269" s="18"/>
      <c r="AO269" s="18"/>
      <c r="AP269" s="18">
        <f t="shared" si="32"/>
        <v>0</v>
      </c>
      <c r="AQ269" s="32">
        <f t="shared" si="39"/>
        <v>163</v>
      </c>
    </row>
    <row r="270" spans="1:43" x14ac:dyDescent="0.35">
      <c r="A270" s="126" t="s">
        <v>799</v>
      </c>
      <c r="B270" s="126" t="s">
        <v>800</v>
      </c>
      <c r="C270" s="126" t="s">
        <v>1295</v>
      </c>
      <c r="D270" s="128">
        <v>3179</v>
      </c>
      <c r="E270" s="128">
        <v>66</v>
      </c>
      <c r="F270" s="128">
        <v>9</v>
      </c>
      <c r="G270" s="128">
        <v>4</v>
      </c>
      <c r="H270" s="128"/>
      <c r="I270" s="18">
        <f t="shared" si="33"/>
        <v>3258</v>
      </c>
      <c r="J270" s="128">
        <v>446</v>
      </c>
      <c r="K270" s="128"/>
      <c r="L270" s="128"/>
      <c r="M270" s="128"/>
      <c r="N270" s="128"/>
      <c r="O270" s="18">
        <f t="shared" si="34"/>
        <v>446</v>
      </c>
      <c r="P270" s="18">
        <v>329</v>
      </c>
      <c r="Q270" s="18"/>
      <c r="R270" s="18"/>
      <c r="S270" s="18"/>
      <c r="T270" s="18"/>
      <c r="U270" s="18">
        <f t="shared" si="35"/>
        <v>329</v>
      </c>
      <c r="V270" s="18">
        <v>195</v>
      </c>
      <c r="W270" s="18"/>
      <c r="X270" s="18"/>
      <c r="Y270" s="18"/>
      <c r="Z270" s="18"/>
      <c r="AA270" s="18">
        <f t="shared" si="36"/>
        <v>195</v>
      </c>
      <c r="AB270" s="18">
        <v>501</v>
      </c>
      <c r="AC270" s="18"/>
      <c r="AD270" s="18">
        <v>1</v>
      </c>
      <c r="AE270" s="18"/>
      <c r="AF270" s="18"/>
      <c r="AG270" s="18">
        <f t="shared" si="37"/>
        <v>502</v>
      </c>
      <c r="AH270" s="18">
        <v>174</v>
      </c>
      <c r="AI270" s="18"/>
      <c r="AJ270" s="18"/>
      <c r="AK270" s="18"/>
      <c r="AL270" s="18"/>
      <c r="AM270" s="18">
        <f t="shared" si="38"/>
        <v>174</v>
      </c>
      <c r="AN270" s="18"/>
      <c r="AO270" s="18"/>
      <c r="AP270" s="18">
        <f t="shared" si="32"/>
        <v>0</v>
      </c>
      <c r="AQ270" s="32">
        <f t="shared" si="39"/>
        <v>4904</v>
      </c>
    </row>
    <row r="271" spans="1:43" x14ac:dyDescent="0.35">
      <c r="A271" s="126" t="s">
        <v>801</v>
      </c>
      <c r="B271" s="126" t="s">
        <v>1235</v>
      </c>
      <c r="C271" s="126" t="s">
        <v>1295</v>
      </c>
      <c r="D271" s="128">
        <v>608</v>
      </c>
      <c r="E271" s="128">
        <v>22</v>
      </c>
      <c r="F271" s="128">
        <v>2</v>
      </c>
      <c r="G271" s="128">
        <v>1</v>
      </c>
      <c r="H271" s="128"/>
      <c r="I271" s="18">
        <f t="shared" si="33"/>
        <v>633</v>
      </c>
      <c r="J271" s="128">
        <v>54</v>
      </c>
      <c r="K271" s="128"/>
      <c r="L271" s="128"/>
      <c r="M271" s="128"/>
      <c r="N271" s="128"/>
      <c r="O271" s="18">
        <f t="shared" si="34"/>
        <v>54</v>
      </c>
      <c r="P271" s="18">
        <v>28</v>
      </c>
      <c r="Q271" s="18"/>
      <c r="R271" s="18"/>
      <c r="S271" s="18"/>
      <c r="T271" s="18"/>
      <c r="U271" s="18">
        <f t="shared" si="35"/>
        <v>28</v>
      </c>
      <c r="V271" s="18">
        <v>42</v>
      </c>
      <c r="W271" s="18"/>
      <c r="X271" s="18"/>
      <c r="Y271" s="18"/>
      <c r="Z271" s="18"/>
      <c r="AA271" s="18">
        <f t="shared" si="36"/>
        <v>42</v>
      </c>
      <c r="AB271" s="18">
        <v>83</v>
      </c>
      <c r="AC271" s="18">
        <v>2</v>
      </c>
      <c r="AD271" s="18"/>
      <c r="AE271" s="18"/>
      <c r="AF271" s="18"/>
      <c r="AG271" s="18">
        <f t="shared" si="37"/>
        <v>85</v>
      </c>
      <c r="AH271" s="18">
        <v>15</v>
      </c>
      <c r="AI271" s="18"/>
      <c r="AJ271" s="18"/>
      <c r="AK271" s="18"/>
      <c r="AL271" s="18"/>
      <c r="AM271" s="18">
        <f t="shared" si="38"/>
        <v>15</v>
      </c>
      <c r="AN271" s="18"/>
      <c r="AO271" s="18"/>
      <c r="AP271" s="18">
        <f t="shared" si="32"/>
        <v>0</v>
      </c>
      <c r="AQ271" s="32">
        <f t="shared" si="39"/>
        <v>857</v>
      </c>
    </row>
    <row r="272" spans="1:43" x14ac:dyDescent="0.35">
      <c r="A272" s="126" t="s">
        <v>802</v>
      </c>
      <c r="B272" s="126" t="s">
        <v>803</v>
      </c>
      <c r="C272" s="126" t="s">
        <v>1295</v>
      </c>
      <c r="D272" s="128">
        <v>2376</v>
      </c>
      <c r="E272" s="128">
        <v>82</v>
      </c>
      <c r="F272" s="128">
        <v>6</v>
      </c>
      <c r="G272" s="128">
        <v>6</v>
      </c>
      <c r="H272" s="128"/>
      <c r="I272" s="18">
        <f t="shared" si="33"/>
        <v>2470</v>
      </c>
      <c r="J272" s="128">
        <v>217</v>
      </c>
      <c r="K272" s="128">
        <v>2</v>
      </c>
      <c r="L272" s="128"/>
      <c r="M272" s="128"/>
      <c r="N272" s="128"/>
      <c r="O272" s="18">
        <f t="shared" si="34"/>
        <v>219</v>
      </c>
      <c r="P272" s="18">
        <v>164</v>
      </c>
      <c r="Q272" s="18">
        <v>3</v>
      </c>
      <c r="R272" s="18"/>
      <c r="S272" s="18"/>
      <c r="T272" s="18"/>
      <c r="U272" s="18">
        <f t="shared" si="35"/>
        <v>167</v>
      </c>
      <c r="V272" s="18">
        <v>164</v>
      </c>
      <c r="W272" s="18">
        <v>1</v>
      </c>
      <c r="X272" s="18"/>
      <c r="Y272" s="18"/>
      <c r="Z272" s="18"/>
      <c r="AA272" s="18">
        <f t="shared" si="36"/>
        <v>165</v>
      </c>
      <c r="AB272" s="18">
        <v>491</v>
      </c>
      <c r="AC272" s="18">
        <v>9</v>
      </c>
      <c r="AD272" s="18"/>
      <c r="AE272" s="18"/>
      <c r="AF272" s="18"/>
      <c r="AG272" s="18">
        <f t="shared" si="37"/>
        <v>500</v>
      </c>
      <c r="AH272" s="18">
        <v>119</v>
      </c>
      <c r="AI272" s="18">
        <v>1</v>
      </c>
      <c r="AJ272" s="18"/>
      <c r="AK272" s="18"/>
      <c r="AL272" s="18"/>
      <c r="AM272" s="18">
        <f t="shared" si="38"/>
        <v>120</v>
      </c>
      <c r="AN272" s="18"/>
      <c r="AO272" s="18"/>
      <c r="AP272" s="18">
        <f t="shared" si="32"/>
        <v>0</v>
      </c>
      <c r="AQ272" s="32">
        <f t="shared" si="39"/>
        <v>3641</v>
      </c>
    </row>
    <row r="273" spans="1:43" x14ac:dyDescent="0.35">
      <c r="A273" s="126" t="s">
        <v>804</v>
      </c>
      <c r="B273" s="126" t="s">
        <v>805</v>
      </c>
      <c r="C273" s="126" t="s">
        <v>1295</v>
      </c>
      <c r="D273" s="128">
        <v>1245</v>
      </c>
      <c r="E273" s="128">
        <v>54</v>
      </c>
      <c r="F273" s="128">
        <v>6</v>
      </c>
      <c r="G273" s="128"/>
      <c r="H273" s="128"/>
      <c r="I273" s="18">
        <f t="shared" si="33"/>
        <v>1305</v>
      </c>
      <c r="J273" s="128">
        <v>55</v>
      </c>
      <c r="K273" s="128"/>
      <c r="L273" s="128"/>
      <c r="M273" s="128"/>
      <c r="N273" s="128"/>
      <c r="O273" s="18">
        <f t="shared" si="34"/>
        <v>55</v>
      </c>
      <c r="P273" s="18">
        <v>39</v>
      </c>
      <c r="Q273" s="18"/>
      <c r="R273" s="18">
        <v>1</v>
      </c>
      <c r="S273" s="18"/>
      <c r="T273" s="18"/>
      <c r="U273" s="18">
        <f t="shared" si="35"/>
        <v>40</v>
      </c>
      <c r="V273" s="18">
        <v>21</v>
      </c>
      <c r="W273" s="18"/>
      <c r="X273" s="18"/>
      <c r="Y273" s="18"/>
      <c r="Z273" s="18"/>
      <c r="AA273" s="18">
        <f t="shared" si="36"/>
        <v>21</v>
      </c>
      <c r="AB273" s="18">
        <v>110</v>
      </c>
      <c r="AC273" s="18">
        <v>1</v>
      </c>
      <c r="AD273" s="18"/>
      <c r="AE273" s="18"/>
      <c r="AF273" s="18"/>
      <c r="AG273" s="18">
        <f t="shared" si="37"/>
        <v>111</v>
      </c>
      <c r="AH273" s="18">
        <v>11</v>
      </c>
      <c r="AI273" s="18"/>
      <c r="AJ273" s="18"/>
      <c r="AK273" s="18"/>
      <c r="AL273" s="18"/>
      <c r="AM273" s="18">
        <f t="shared" si="38"/>
        <v>11</v>
      </c>
      <c r="AN273" s="18"/>
      <c r="AO273" s="18"/>
      <c r="AP273" s="18">
        <f t="shared" si="32"/>
        <v>0</v>
      </c>
      <c r="AQ273" s="32">
        <f t="shared" si="39"/>
        <v>1543</v>
      </c>
    </row>
    <row r="274" spans="1:43" x14ac:dyDescent="0.35">
      <c r="A274" s="126" t="s">
        <v>806</v>
      </c>
      <c r="B274" s="126" t="s">
        <v>807</v>
      </c>
      <c r="C274" s="126" t="s">
        <v>1295</v>
      </c>
      <c r="D274" s="128">
        <v>223</v>
      </c>
      <c r="E274" s="128">
        <v>3</v>
      </c>
      <c r="F274" s="128"/>
      <c r="G274" s="128"/>
      <c r="H274" s="128"/>
      <c r="I274" s="18">
        <f t="shared" si="33"/>
        <v>226</v>
      </c>
      <c r="J274" s="128">
        <v>32</v>
      </c>
      <c r="K274" s="128"/>
      <c r="L274" s="128"/>
      <c r="M274" s="128"/>
      <c r="N274" s="128"/>
      <c r="O274" s="18">
        <f t="shared" si="34"/>
        <v>32</v>
      </c>
      <c r="P274" s="18">
        <v>13</v>
      </c>
      <c r="Q274" s="18"/>
      <c r="R274" s="18"/>
      <c r="S274" s="18"/>
      <c r="T274" s="18"/>
      <c r="U274" s="18">
        <f t="shared" si="35"/>
        <v>13</v>
      </c>
      <c r="V274" s="18">
        <v>22</v>
      </c>
      <c r="W274" s="18"/>
      <c r="X274" s="18"/>
      <c r="Y274" s="18"/>
      <c r="Z274" s="18"/>
      <c r="AA274" s="18">
        <f t="shared" si="36"/>
        <v>22</v>
      </c>
      <c r="AB274" s="18">
        <v>22</v>
      </c>
      <c r="AC274" s="18">
        <v>1</v>
      </c>
      <c r="AD274" s="18"/>
      <c r="AE274" s="18"/>
      <c r="AF274" s="18"/>
      <c r="AG274" s="18">
        <f t="shared" si="37"/>
        <v>23</v>
      </c>
      <c r="AH274" s="18">
        <v>24</v>
      </c>
      <c r="AI274" s="18"/>
      <c r="AJ274" s="18"/>
      <c r="AK274" s="18"/>
      <c r="AL274" s="18"/>
      <c r="AM274" s="18">
        <f t="shared" si="38"/>
        <v>24</v>
      </c>
      <c r="AN274" s="18"/>
      <c r="AO274" s="18"/>
      <c r="AP274" s="18">
        <f t="shared" si="32"/>
        <v>0</v>
      </c>
      <c r="AQ274" s="32">
        <f t="shared" si="39"/>
        <v>340</v>
      </c>
    </row>
    <row r="275" spans="1:43" x14ac:dyDescent="0.35">
      <c r="A275" s="126" t="s">
        <v>808</v>
      </c>
      <c r="B275" s="126" t="s">
        <v>809</v>
      </c>
      <c r="C275" s="126" t="s">
        <v>1295</v>
      </c>
      <c r="D275" s="128">
        <v>59</v>
      </c>
      <c r="E275" s="128"/>
      <c r="F275" s="128"/>
      <c r="G275" s="128"/>
      <c r="H275" s="128"/>
      <c r="I275" s="18">
        <f t="shared" si="33"/>
        <v>59</v>
      </c>
      <c r="J275" s="128">
        <v>4</v>
      </c>
      <c r="K275" s="128"/>
      <c r="L275" s="128"/>
      <c r="M275" s="128"/>
      <c r="N275" s="128"/>
      <c r="O275" s="18">
        <f t="shared" si="34"/>
        <v>4</v>
      </c>
      <c r="P275" s="18">
        <v>2</v>
      </c>
      <c r="Q275" s="18"/>
      <c r="R275" s="18"/>
      <c r="S275" s="18"/>
      <c r="T275" s="18"/>
      <c r="U275" s="18">
        <f t="shared" si="35"/>
        <v>2</v>
      </c>
      <c r="V275" s="18">
        <v>3</v>
      </c>
      <c r="W275" s="18"/>
      <c r="X275" s="18"/>
      <c r="Y275" s="18"/>
      <c r="Z275" s="18"/>
      <c r="AA275" s="18">
        <f t="shared" si="36"/>
        <v>3</v>
      </c>
      <c r="AB275" s="18">
        <v>6</v>
      </c>
      <c r="AC275" s="18"/>
      <c r="AD275" s="18"/>
      <c r="AE275" s="18"/>
      <c r="AF275" s="18"/>
      <c r="AG275" s="18">
        <f t="shared" si="37"/>
        <v>6</v>
      </c>
      <c r="AH275" s="18">
        <v>4</v>
      </c>
      <c r="AI275" s="18"/>
      <c r="AJ275" s="18"/>
      <c r="AK275" s="18"/>
      <c r="AL275" s="18"/>
      <c r="AM275" s="18">
        <f t="shared" si="38"/>
        <v>4</v>
      </c>
      <c r="AN275" s="18"/>
      <c r="AO275" s="18"/>
      <c r="AP275" s="18">
        <f t="shared" si="32"/>
        <v>0</v>
      </c>
      <c r="AQ275" s="32">
        <f t="shared" si="39"/>
        <v>78</v>
      </c>
    </row>
    <row r="276" spans="1:43" x14ac:dyDescent="0.35">
      <c r="A276" s="126" t="s">
        <v>810</v>
      </c>
      <c r="B276" s="126" t="s">
        <v>811</v>
      </c>
      <c r="C276" s="126" t="s">
        <v>1295</v>
      </c>
      <c r="D276" s="128">
        <v>149</v>
      </c>
      <c r="E276" s="128">
        <v>2</v>
      </c>
      <c r="F276" s="128"/>
      <c r="G276" s="128"/>
      <c r="H276" s="128"/>
      <c r="I276" s="18">
        <f t="shared" si="33"/>
        <v>151</v>
      </c>
      <c r="J276" s="128">
        <v>9</v>
      </c>
      <c r="K276" s="128"/>
      <c r="L276" s="128"/>
      <c r="M276" s="128"/>
      <c r="N276" s="128"/>
      <c r="O276" s="18">
        <f t="shared" si="34"/>
        <v>9</v>
      </c>
      <c r="P276" s="18">
        <v>2</v>
      </c>
      <c r="Q276" s="18"/>
      <c r="R276" s="18"/>
      <c r="S276" s="18"/>
      <c r="T276" s="18"/>
      <c r="U276" s="18">
        <f t="shared" si="35"/>
        <v>2</v>
      </c>
      <c r="V276" s="18">
        <v>7</v>
      </c>
      <c r="W276" s="18"/>
      <c r="X276" s="18"/>
      <c r="Y276" s="18"/>
      <c r="Z276" s="18"/>
      <c r="AA276" s="18">
        <f t="shared" si="36"/>
        <v>7</v>
      </c>
      <c r="AB276" s="18">
        <v>22</v>
      </c>
      <c r="AC276" s="18"/>
      <c r="AD276" s="18"/>
      <c r="AE276" s="18"/>
      <c r="AF276" s="18"/>
      <c r="AG276" s="18">
        <f t="shared" si="37"/>
        <v>22</v>
      </c>
      <c r="AH276" s="18">
        <v>2</v>
      </c>
      <c r="AI276" s="18"/>
      <c r="AJ276" s="18"/>
      <c r="AK276" s="18"/>
      <c r="AL276" s="18"/>
      <c r="AM276" s="18">
        <f t="shared" si="38"/>
        <v>2</v>
      </c>
      <c r="AN276" s="18"/>
      <c r="AO276" s="18"/>
      <c r="AP276" s="18">
        <f t="shared" si="32"/>
        <v>0</v>
      </c>
      <c r="AQ276" s="32">
        <f t="shared" si="39"/>
        <v>193</v>
      </c>
    </row>
    <row r="277" spans="1:43" x14ac:dyDescent="0.35">
      <c r="A277" s="126" t="s">
        <v>812</v>
      </c>
      <c r="B277" s="126" t="s">
        <v>813</v>
      </c>
      <c r="C277" s="126" t="s">
        <v>1295</v>
      </c>
      <c r="D277" s="128">
        <v>35</v>
      </c>
      <c r="E277" s="128"/>
      <c r="F277" s="128"/>
      <c r="G277" s="128"/>
      <c r="H277" s="128"/>
      <c r="I277" s="18">
        <f t="shared" si="33"/>
        <v>35</v>
      </c>
      <c r="J277" s="128">
        <v>4</v>
      </c>
      <c r="K277" s="128"/>
      <c r="L277" s="128"/>
      <c r="M277" s="128"/>
      <c r="N277" s="128"/>
      <c r="O277" s="18">
        <f t="shared" si="34"/>
        <v>4</v>
      </c>
      <c r="P277" s="18"/>
      <c r="Q277" s="18"/>
      <c r="R277" s="18"/>
      <c r="S277" s="18"/>
      <c r="T277" s="18"/>
      <c r="U277" s="18">
        <f t="shared" si="35"/>
        <v>0</v>
      </c>
      <c r="V277" s="18">
        <v>2</v>
      </c>
      <c r="W277" s="18"/>
      <c r="X277" s="18"/>
      <c r="Y277" s="18"/>
      <c r="Z277" s="18"/>
      <c r="AA277" s="18">
        <f t="shared" si="36"/>
        <v>2</v>
      </c>
      <c r="AB277" s="18">
        <v>5</v>
      </c>
      <c r="AC277" s="18"/>
      <c r="AD277" s="18"/>
      <c r="AE277" s="18"/>
      <c r="AF277" s="18"/>
      <c r="AG277" s="18">
        <f t="shared" si="37"/>
        <v>5</v>
      </c>
      <c r="AH277" s="18">
        <v>1</v>
      </c>
      <c r="AI277" s="18"/>
      <c r="AJ277" s="18"/>
      <c r="AK277" s="18"/>
      <c r="AL277" s="18"/>
      <c r="AM277" s="18">
        <f t="shared" si="38"/>
        <v>1</v>
      </c>
      <c r="AN277" s="18"/>
      <c r="AO277" s="18"/>
      <c r="AP277" s="18">
        <f t="shared" si="32"/>
        <v>0</v>
      </c>
      <c r="AQ277" s="32">
        <f t="shared" si="39"/>
        <v>47</v>
      </c>
    </row>
    <row r="278" spans="1:43" x14ac:dyDescent="0.35">
      <c r="A278" s="126" t="s">
        <v>814</v>
      </c>
      <c r="B278" s="126" t="s">
        <v>1236</v>
      </c>
      <c r="C278" s="126" t="s">
        <v>1295</v>
      </c>
      <c r="D278" s="128">
        <v>1220</v>
      </c>
      <c r="E278" s="128">
        <v>22</v>
      </c>
      <c r="F278" s="128">
        <v>3</v>
      </c>
      <c r="G278" s="128"/>
      <c r="H278" s="128"/>
      <c r="I278" s="18">
        <f t="shared" si="33"/>
        <v>1245</v>
      </c>
      <c r="J278" s="128">
        <v>10</v>
      </c>
      <c r="K278" s="128"/>
      <c r="L278" s="128"/>
      <c r="M278" s="128"/>
      <c r="N278" s="128"/>
      <c r="O278" s="18">
        <f t="shared" si="34"/>
        <v>10</v>
      </c>
      <c r="P278" s="18">
        <v>1</v>
      </c>
      <c r="Q278" s="18"/>
      <c r="R278" s="18"/>
      <c r="S278" s="18"/>
      <c r="T278" s="18"/>
      <c r="U278" s="18">
        <f t="shared" si="35"/>
        <v>1</v>
      </c>
      <c r="V278" s="18">
        <v>9</v>
      </c>
      <c r="W278" s="18"/>
      <c r="X278" s="18"/>
      <c r="Y278" s="18"/>
      <c r="Z278" s="18"/>
      <c r="AA278" s="18">
        <f t="shared" si="36"/>
        <v>9</v>
      </c>
      <c r="AB278" s="18">
        <v>185</v>
      </c>
      <c r="AC278" s="18">
        <v>1</v>
      </c>
      <c r="AD278" s="18"/>
      <c r="AE278" s="18"/>
      <c r="AF278" s="18"/>
      <c r="AG278" s="18">
        <f t="shared" si="37"/>
        <v>186</v>
      </c>
      <c r="AH278" s="18">
        <v>5</v>
      </c>
      <c r="AI278" s="18">
        <v>1</v>
      </c>
      <c r="AJ278" s="18"/>
      <c r="AK278" s="18"/>
      <c r="AL278" s="18"/>
      <c r="AM278" s="18">
        <f t="shared" si="38"/>
        <v>6</v>
      </c>
      <c r="AN278" s="18"/>
      <c r="AO278" s="18"/>
      <c r="AP278" s="18">
        <f t="shared" si="32"/>
        <v>0</v>
      </c>
      <c r="AQ278" s="32">
        <f t="shared" si="39"/>
        <v>1457</v>
      </c>
    </row>
    <row r="279" spans="1:43" x14ac:dyDescent="0.35">
      <c r="A279" s="126" t="s">
        <v>815</v>
      </c>
      <c r="B279" s="126" t="s">
        <v>816</v>
      </c>
      <c r="C279" s="126" t="s">
        <v>1295</v>
      </c>
      <c r="D279" s="128">
        <v>29</v>
      </c>
      <c r="E279" s="128"/>
      <c r="F279" s="128"/>
      <c r="G279" s="128"/>
      <c r="H279" s="128"/>
      <c r="I279" s="18">
        <f t="shared" si="33"/>
        <v>29</v>
      </c>
      <c r="J279" s="128">
        <v>1</v>
      </c>
      <c r="K279" s="128"/>
      <c r="L279" s="128"/>
      <c r="M279" s="128"/>
      <c r="N279" s="128"/>
      <c r="O279" s="18">
        <f t="shared" si="34"/>
        <v>1</v>
      </c>
      <c r="P279" s="18">
        <v>1</v>
      </c>
      <c r="Q279" s="18"/>
      <c r="R279" s="18"/>
      <c r="S279" s="18"/>
      <c r="T279" s="18"/>
      <c r="U279" s="18">
        <f t="shared" si="35"/>
        <v>1</v>
      </c>
      <c r="V279" s="18"/>
      <c r="W279" s="18"/>
      <c r="X279" s="18"/>
      <c r="Y279" s="18"/>
      <c r="Z279" s="18"/>
      <c r="AA279" s="18">
        <f t="shared" si="36"/>
        <v>0</v>
      </c>
      <c r="AB279" s="18">
        <v>2</v>
      </c>
      <c r="AC279" s="18"/>
      <c r="AD279" s="18"/>
      <c r="AE279" s="18"/>
      <c r="AF279" s="18"/>
      <c r="AG279" s="18">
        <f t="shared" si="37"/>
        <v>2</v>
      </c>
      <c r="AH279" s="18"/>
      <c r="AI279" s="18"/>
      <c r="AJ279" s="18"/>
      <c r="AK279" s="18"/>
      <c r="AL279" s="18"/>
      <c r="AM279" s="18">
        <f t="shared" si="38"/>
        <v>0</v>
      </c>
      <c r="AN279" s="18"/>
      <c r="AO279" s="18"/>
      <c r="AP279" s="18">
        <f t="shared" si="32"/>
        <v>0</v>
      </c>
      <c r="AQ279" s="32">
        <f t="shared" si="39"/>
        <v>33</v>
      </c>
    </row>
    <row r="280" spans="1:43" x14ac:dyDescent="0.35">
      <c r="A280" s="126" t="s">
        <v>817</v>
      </c>
      <c r="B280" s="126" t="s">
        <v>1237</v>
      </c>
      <c r="C280" s="126" t="s">
        <v>1295</v>
      </c>
      <c r="D280" s="128">
        <v>818</v>
      </c>
      <c r="E280" s="128">
        <v>23</v>
      </c>
      <c r="F280" s="128"/>
      <c r="G280" s="128">
        <v>1</v>
      </c>
      <c r="H280" s="128"/>
      <c r="I280" s="18">
        <f t="shared" si="33"/>
        <v>842</v>
      </c>
      <c r="J280" s="128">
        <v>17</v>
      </c>
      <c r="K280" s="128">
        <v>1</v>
      </c>
      <c r="L280" s="128"/>
      <c r="M280" s="128"/>
      <c r="N280" s="128"/>
      <c r="O280" s="18">
        <f t="shared" si="34"/>
        <v>18</v>
      </c>
      <c r="P280" s="18">
        <v>17</v>
      </c>
      <c r="Q280" s="18"/>
      <c r="R280" s="18"/>
      <c r="S280" s="18"/>
      <c r="T280" s="18"/>
      <c r="U280" s="18">
        <f t="shared" si="35"/>
        <v>17</v>
      </c>
      <c r="V280" s="18">
        <v>31</v>
      </c>
      <c r="W280" s="18"/>
      <c r="X280" s="18"/>
      <c r="Y280" s="18"/>
      <c r="Z280" s="18"/>
      <c r="AA280" s="18">
        <f t="shared" si="36"/>
        <v>31</v>
      </c>
      <c r="AB280" s="18">
        <v>132</v>
      </c>
      <c r="AC280" s="18">
        <v>2</v>
      </c>
      <c r="AD280" s="18"/>
      <c r="AE280" s="18"/>
      <c r="AF280" s="18"/>
      <c r="AG280" s="18">
        <f t="shared" si="37"/>
        <v>134</v>
      </c>
      <c r="AH280" s="18">
        <v>10</v>
      </c>
      <c r="AI280" s="18">
        <v>1</v>
      </c>
      <c r="AJ280" s="18"/>
      <c r="AK280" s="18"/>
      <c r="AL280" s="18"/>
      <c r="AM280" s="18">
        <f t="shared" si="38"/>
        <v>11</v>
      </c>
      <c r="AN280" s="18"/>
      <c r="AO280" s="18"/>
      <c r="AP280" s="18">
        <f t="shared" si="32"/>
        <v>0</v>
      </c>
      <c r="AQ280" s="32">
        <f t="shared" si="39"/>
        <v>1053</v>
      </c>
    </row>
    <row r="281" spans="1:43" x14ac:dyDescent="0.35">
      <c r="A281" s="126" t="s">
        <v>818</v>
      </c>
      <c r="B281" s="126" t="s">
        <v>819</v>
      </c>
      <c r="C281" s="126" t="s">
        <v>1294</v>
      </c>
      <c r="D281" s="128">
        <v>1</v>
      </c>
      <c r="E281" s="128"/>
      <c r="F281" s="128"/>
      <c r="G281" s="128"/>
      <c r="H281" s="128"/>
      <c r="I281" s="18">
        <f t="shared" si="33"/>
        <v>1</v>
      </c>
      <c r="J281" s="128"/>
      <c r="K281" s="128"/>
      <c r="L281" s="128"/>
      <c r="M281" s="128"/>
      <c r="N281" s="128"/>
      <c r="O281" s="18">
        <f t="shared" si="34"/>
        <v>0</v>
      </c>
      <c r="P281" s="18"/>
      <c r="Q281" s="18"/>
      <c r="R281" s="18"/>
      <c r="S281" s="18"/>
      <c r="T281" s="18"/>
      <c r="U281" s="18">
        <f t="shared" si="35"/>
        <v>0</v>
      </c>
      <c r="V281" s="18"/>
      <c r="W281" s="18"/>
      <c r="X281" s="18"/>
      <c r="Y281" s="18"/>
      <c r="Z281" s="18"/>
      <c r="AA281" s="18">
        <f t="shared" si="36"/>
        <v>0</v>
      </c>
      <c r="AB281" s="18"/>
      <c r="AC281" s="18"/>
      <c r="AD281" s="18"/>
      <c r="AE281" s="18">
        <v>1</v>
      </c>
      <c r="AF281" s="18"/>
      <c r="AG281" s="18">
        <f t="shared" si="37"/>
        <v>1</v>
      </c>
      <c r="AH281" s="18"/>
      <c r="AI281" s="18"/>
      <c r="AJ281" s="18"/>
      <c r="AK281" s="18"/>
      <c r="AL281" s="18"/>
      <c r="AM281" s="18">
        <f t="shared" si="38"/>
        <v>0</v>
      </c>
      <c r="AN281" s="18"/>
      <c r="AO281" s="18"/>
      <c r="AP281" s="18">
        <f t="shared" si="32"/>
        <v>0</v>
      </c>
      <c r="AQ281" s="32">
        <f t="shared" si="39"/>
        <v>2</v>
      </c>
    </row>
    <row r="282" spans="1:43" x14ac:dyDescent="0.35">
      <c r="A282" s="126" t="s">
        <v>820</v>
      </c>
      <c r="B282" s="126" t="s">
        <v>1238</v>
      </c>
      <c r="C282" s="126" t="s">
        <v>1294</v>
      </c>
      <c r="D282" s="128">
        <v>4</v>
      </c>
      <c r="E282" s="128"/>
      <c r="F282" s="128"/>
      <c r="G282" s="128"/>
      <c r="H282" s="128"/>
      <c r="I282" s="18">
        <f t="shared" si="33"/>
        <v>4</v>
      </c>
      <c r="J282" s="128"/>
      <c r="K282" s="128"/>
      <c r="L282" s="128"/>
      <c r="M282" s="128"/>
      <c r="N282" s="128"/>
      <c r="O282" s="18">
        <f t="shared" si="34"/>
        <v>0</v>
      </c>
      <c r="P282" s="18"/>
      <c r="Q282" s="18"/>
      <c r="R282" s="18"/>
      <c r="S282" s="18"/>
      <c r="T282" s="18"/>
      <c r="U282" s="18">
        <f t="shared" si="35"/>
        <v>0</v>
      </c>
      <c r="V282" s="18"/>
      <c r="W282" s="18"/>
      <c r="X282" s="18"/>
      <c r="Y282" s="18"/>
      <c r="Z282" s="18"/>
      <c r="AA282" s="18">
        <f t="shared" si="36"/>
        <v>0</v>
      </c>
      <c r="AB282" s="18"/>
      <c r="AC282" s="18"/>
      <c r="AD282" s="18"/>
      <c r="AE282" s="18"/>
      <c r="AF282" s="18"/>
      <c r="AG282" s="18">
        <f t="shared" si="37"/>
        <v>0</v>
      </c>
      <c r="AH282" s="18"/>
      <c r="AI282" s="18"/>
      <c r="AJ282" s="18"/>
      <c r="AK282" s="18"/>
      <c r="AL282" s="18"/>
      <c r="AM282" s="18">
        <f t="shared" si="38"/>
        <v>0</v>
      </c>
      <c r="AN282" s="18"/>
      <c r="AO282" s="18"/>
      <c r="AP282" s="18">
        <f t="shared" si="32"/>
        <v>0</v>
      </c>
      <c r="AQ282" s="32">
        <f t="shared" si="39"/>
        <v>4</v>
      </c>
    </row>
    <row r="283" spans="1:43" x14ac:dyDescent="0.35">
      <c r="A283" s="126" t="s">
        <v>821</v>
      </c>
      <c r="B283" s="126" t="s">
        <v>822</v>
      </c>
      <c r="C283" s="126" t="s">
        <v>1294</v>
      </c>
      <c r="D283" s="128">
        <v>345</v>
      </c>
      <c r="E283" s="128">
        <v>55</v>
      </c>
      <c r="F283" s="128">
        <v>18</v>
      </c>
      <c r="G283" s="128">
        <v>6</v>
      </c>
      <c r="H283" s="128"/>
      <c r="I283" s="18">
        <f t="shared" si="33"/>
        <v>424</v>
      </c>
      <c r="J283" s="128">
        <v>27</v>
      </c>
      <c r="K283" s="128">
        <v>3</v>
      </c>
      <c r="L283" s="128"/>
      <c r="M283" s="128"/>
      <c r="N283" s="128"/>
      <c r="O283" s="18">
        <f t="shared" si="34"/>
        <v>30</v>
      </c>
      <c r="P283" s="18">
        <v>14</v>
      </c>
      <c r="Q283" s="18">
        <v>1</v>
      </c>
      <c r="R283" s="18"/>
      <c r="S283" s="18"/>
      <c r="T283" s="18"/>
      <c r="U283" s="18">
        <f t="shared" si="35"/>
        <v>15</v>
      </c>
      <c r="V283" s="18">
        <v>8</v>
      </c>
      <c r="W283" s="18"/>
      <c r="X283" s="18"/>
      <c r="Y283" s="18"/>
      <c r="Z283" s="18"/>
      <c r="AA283" s="18">
        <f t="shared" si="36"/>
        <v>8</v>
      </c>
      <c r="AB283" s="18">
        <v>37</v>
      </c>
      <c r="AC283" s="18">
        <v>3</v>
      </c>
      <c r="AD283" s="18">
        <v>3</v>
      </c>
      <c r="AE283" s="18"/>
      <c r="AF283" s="18"/>
      <c r="AG283" s="18">
        <f t="shared" si="37"/>
        <v>43</v>
      </c>
      <c r="AH283" s="18">
        <v>13</v>
      </c>
      <c r="AI283" s="18">
        <v>1</v>
      </c>
      <c r="AJ283" s="18"/>
      <c r="AK283" s="18"/>
      <c r="AL283" s="18"/>
      <c r="AM283" s="18">
        <f t="shared" si="38"/>
        <v>14</v>
      </c>
      <c r="AN283" s="18"/>
      <c r="AO283" s="18"/>
      <c r="AP283" s="18">
        <f t="shared" si="32"/>
        <v>0</v>
      </c>
      <c r="AQ283" s="32">
        <f t="shared" si="39"/>
        <v>534</v>
      </c>
    </row>
    <row r="284" spans="1:43" x14ac:dyDescent="0.35">
      <c r="A284" s="126" t="s">
        <v>823</v>
      </c>
      <c r="B284" s="126" t="s">
        <v>824</v>
      </c>
      <c r="C284" s="126" t="s">
        <v>1294</v>
      </c>
      <c r="D284" s="128">
        <v>62</v>
      </c>
      <c r="E284" s="128">
        <v>5</v>
      </c>
      <c r="F284" s="128">
        <v>2</v>
      </c>
      <c r="G284" s="128"/>
      <c r="H284" s="128"/>
      <c r="I284" s="18">
        <f t="shared" si="33"/>
        <v>69</v>
      </c>
      <c r="J284" s="128">
        <v>9</v>
      </c>
      <c r="K284" s="128"/>
      <c r="L284" s="128"/>
      <c r="M284" s="128"/>
      <c r="N284" s="128"/>
      <c r="O284" s="18">
        <f t="shared" si="34"/>
        <v>9</v>
      </c>
      <c r="P284" s="18">
        <v>3</v>
      </c>
      <c r="Q284" s="18"/>
      <c r="R284" s="18"/>
      <c r="S284" s="18"/>
      <c r="T284" s="18"/>
      <c r="U284" s="18">
        <f t="shared" si="35"/>
        <v>3</v>
      </c>
      <c r="V284" s="18">
        <v>4</v>
      </c>
      <c r="W284" s="18"/>
      <c r="X284" s="18"/>
      <c r="Y284" s="18"/>
      <c r="Z284" s="18"/>
      <c r="AA284" s="18">
        <f t="shared" si="36"/>
        <v>4</v>
      </c>
      <c r="AB284" s="18">
        <v>16</v>
      </c>
      <c r="AC284" s="18"/>
      <c r="AD284" s="18"/>
      <c r="AE284" s="18"/>
      <c r="AF284" s="18"/>
      <c r="AG284" s="18">
        <f t="shared" si="37"/>
        <v>16</v>
      </c>
      <c r="AH284" s="18">
        <v>5</v>
      </c>
      <c r="AI284" s="18"/>
      <c r="AJ284" s="18"/>
      <c r="AK284" s="18"/>
      <c r="AL284" s="18"/>
      <c r="AM284" s="18">
        <f t="shared" si="38"/>
        <v>5</v>
      </c>
      <c r="AN284" s="18"/>
      <c r="AO284" s="18"/>
      <c r="AP284" s="18">
        <f t="shared" si="32"/>
        <v>0</v>
      </c>
      <c r="AQ284" s="32">
        <f t="shared" si="39"/>
        <v>106</v>
      </c>
    </row>
    <row r="285" spans="1:43" x14ac:dyDescent="0.35">
      <c r="A285" s="126" t="s">
        <v>825</v>
      </c>
      <c r="B285" s="126" t="s">
        <v>826</v>
      </c>
      <c r="C285" s="126" t="s">
        <v>1294</v>
      </c>
      <c r="D285" s="128">
        <v>816</v>
      </c>
      <c r="E285" s="128">
        <v>102</v>
      </c>
      <c r="F285" s="128">
        <v>41</v>
      </c>
      <c r="G285" s="128">
        <v>14</v>
      </c>
      <c r="H285" s="128"/>
      <c r="I285" s="18">
        <f t="shared" si="33"/>
        <v>973</v>
      </c>
      <c r="J285" s="128">
        <v>46</v>
      </c>
      <c r="K285" s="128">
        <v>4</v>
      </c>
      <c r="L285" s="128">
        <v>1</v>
      </c>
      <c r="M285" s="128"/>
      <c r="N285" s="128"/>
      <c r="O285" s="18">
        <f t="shared" si="34"/>
        <v>51</v>
      </c>
      <c r="P285" s="18">
        <v>55</v>
      </c>
      <c r="Q285" s="18">
        <v>10</v>
      </c>
      <c r="R285" s="18">
        <v>2</v>
      </c>
      <c r="S285" s="18"/>
      <c r="T285" s="18"/>
      <c r="U285" s="18">
        <f t="shared" si="35"/>
        <v>67</v>
      </c>
      <c r="V285" s="18">
        <v>16</v>
      </c>
      <c r="W285" s="18"/>
      <c r="X285" s="18"/>
      <c r="Y285" s="18"/>
      <c r="Z285" s="18"/>
      <c r="AA285" s="18">
        <f t="shared" si="36"/>
        <v>16</v>
      </c>
      <c r="AB285" s="18">
        <v>155</v>
      </c>
      <c r="AC285" s="18">
        <v>17</v>
      </c>
      <c r="AD285" s="18">
        <v>10</v>
      </c>
      <c r="AE285" s="18">
        <v>2</v>
      </c>
      <c r="AF285" s="18"/>
      <c r="AG285" s="18">
        <f t="shared" si="37"/>
        <v>184</v>
      </c>
      <c r="AH285" s="18">
        <v>19</v>
      </c>
      <c r="AI285" s="18">
        <v>4</v>
      </c>
      <c r="AJ285" s="18"/>
      <c r="AK285" s="18"/>
      <c r="AL285" s="18"/>
      <c r="AM285" s="18">
        <f t="shared" si="38"/>
        <v>23</v>
      </c>
      <c r="AN285" s="18"/>
      <c r="AO285" s="18"/>
      <c r="AP285" s="18">
        <f t="shared" si="32"/>
        <v>0</v>
      </c>
      <c r="AQ285" s="32">
        <f t="shared" si="39"/>
        <v>1314</v>
      </c>
    </row>
    <row r="286" spans="1:43" x14ac:dyDescent="0.35">
      <c r="A286" s="126" t="s">
        <v>827</v>
      </c>
      <c r="B286" s="126" t="s">
        <v>828</v>
      </c>
      <c r="C286" s="126" t="s">
        <v>1294</v>
      </c>
      <c r="D286" s="128">
        <v>6</v>
      </c>
      <c r="E286" s="128">
        <v>1</v>
      </c>
      <c r="F286" s="128"/>
      <c r="G286" s="128">
        <v>1</v>
      </c>
      <c r="H286" s="128"/>
      <c r="I286" s="18">
        <f t="shared" si="33"/>
        <v>8</v>
      </c>
      <c r="J286" s="128"/>
      <c r="K286" s="128"/>
      <c r="L286" s="128"/>
      <c r="M286" s="128"/>
      <c r="N286" s="128"/>
      <c r="O286" s="18">
        <f t="shared" si="34"/>
        <v>0</v>
      </c>
      <c r="P286" s="18"/>
      <c r="Q286" s="18"/>
      <c r="R286" s="18"/>
      <c r="S286" s="18"/>
      <c r="T286" s="18"/>
      <c r="U286" s="18">
        <f t="shared" si="35"/>
        <v>0</v>
      </c>
      <c r="V286" s="18"/>
      <c r="W286" s="18"/>
      <c r="X286" s="18"/>
      <c r="Y286" s="18"/>
      <c r="Z286" s="18"/>
      <c r="AA286" s="18">
        <f t="shared" si="36"/>
        <v>0</v>
      </c>
      <c r="AB286" s="18">
        <v>1</v>
      </c>
      <c r="AC286" s="18"/>
      <c r="AD286" s="18"/>
      <c r="AE286" s="18"/>
      <c r="AF286" s="18"/>
      <c r="AG286" s="18">
        <f t="shared" si="37"/>
        <v>1</v>
      </c>
      <c r="AH286" s="18"/>
      <c r="AI286" s="18"/>
      <c r="AJ286" s="18"/>
      <c r="AK286" s="18"/>
      <c r="AL286" s="18"/>
      <c r="AM286" s="18">
        <f t="shared" si="38"/>
        <v>0</v>
      </c>
      <c r="AN286" s="18"/>
      <c r="AO286" s="18"/>
      <c r="AP286" s="18">
        <f t="shared" si="32"/>
        <v>0</v>
      </c>
      <c r="AQ286" s="32">
        <f t="shared" si="39"/>
        <v>9</v>
      </c>
    </row>
    <row r="287" spans="1:43" x14ac:dyDescent="0.35">
      <c r="A287" s="126" t="s">
        <v>829</v>
      </c>
      <c r="B287" s="126" t="s">
        <v>1239</v>
      </c>
      <c r="C287" s="126" t="s">
        <v>1294</v>
      </c>
      <c r="D287" s="128">
        <v>10</v>
      </c>
      <c r="E287" s="128"/>
      <c r="F287" s="128"/>
      <c r="G287" s="128"/>
      <c r="H287" s="128"/>
      <c r="I287" s="18">
        <f t="shared" si="33"/>
        <v>10</v>
      </c>
      <c r="J287" s="128"/>
      <c r="K287" s="128"/>
      <c r="L287" s="128"/>
      <c r="M287" s="128"/>
      <c r="N287" s="128"/>
      <c r="O287" s="18">
        <f t="shared" si="34"/>
        <v>0</v>
      </c>
      <c r="P287" s="18">
        <v>1</v>
      </c>
      <c r="Q287" s="18"/>
      <c r="R287" s="18"/>
      <c r="S287" s="18"/>
      <c r="T287" s="18"/>
      <c r="U287" s="18">
        <f t="shared" si="35"/>
        <v>1</v>
      </c>
      <c r="V287" s="18"/>
      <c r="W287" s="18"/>
      <c r="X287" s="18"/>
      <c r="Y287" s="18"/>
      <c r="Z287" s="18"/>
      <c r="AA287" s="18">
        <f t="shared" si="36"/>
        <v>0</v>
      </c>
      <c r="AB287" s="18"/>
      <c r="AC287" s="18"/>
      <c r="AD287" s="18"/>
      <c r="AE287" s="18"/>
      <c r="AF287" s="18"/>
      <c r="AG287" s="18">
        <f t="shared" si="37"/>
        <v>0</v>
      </c>
      <c r="AH287" s="18"/>
      <c r="AI287" s="18"/>
      <c r="AJ287" s="18"/>
      <c r="AK287" s="18"/>
      <c r="AL287" s="18"/>
      <c r="AM287" s="18">
        <f t="shared" si="38"/>
        <v>0</v>
      </c>
      <c r="AN287" s="18"/>
      <c r="AO287" s="18"/>
      <c r="AP287" s="18">
        <f t="shared" si="32"/>
        <v>0</v>
      </c>
      <c r="AQ287" s="32">
        <f t="shared" si="39"/>
        <v>11</v>
      </c>
    </row>
    <row r="288" spans="1:43" x14ac:dyDescent="0.35">
      <c r="A288" s="126" t="s">
        <v>830</v>
      </c>
      <c r="B288" s="126" t="s">
        <v>1240</v>
      </c>
      <c r="C288" s="126" t="s">
        <v>1294</v>
      </c>
      <c r="D288" s="128">
        <v>5</v>
      </c>
      <c r="E288" s="128"/>
      <c r="F288" s="128"/>
      <c r="G288" s="128"/>
      <c r="H288" s="128"/>
      <c r="I288" s="18">
        <f t="shared" si="33"/>
        <v>5</v>
      </c>
      <c r="J288" s="128"/>
      <c r="K288" s="128"/>
      <c r="L288" s="128"/>
      <c r="M288" s="128"/>
      <c r="N288" s="128"/>
      <c r="O288" s="18">
        <f t="shared" si="34"/>
        <v>0</v>
      </c>
      <c r="P288" s="18"/>
      <c r="Q288" s="18"/>
      <c r="R288" s="18"/>
      <c r="S288" s="18"/>
      <c r="T288" s="18"/>
      <c r="U288" s="18">
        <f t="shared" si="35"/>
        <v>0</v>
      </c>
      <c r="V288" s="18"/>
      <c r="W288" s="18"/>
      <c r="X288" s="18"/>
      <c r="Y288" s="18"/>
      <c r="Z288" s="18"/>
      <c r="AA288" s="18">
        <f t="shared" si="36"/>
        <v>0</v>
      </c>
      <c r="AB288" s="18"/>
      <c r="AC288" s="18"/>
      <c r="AD288" s="18"/>
      <c r="AE288" s="18"/>
      <c r="AF288" s="18"/>
      <c r="AG288" s="18">
        <f t="shared" si="37"/>
        <v>0</v>
      </c>
      <c r="AH288" s="18"/>
      <c r="AI288" s="18"/>
      <c r="AJ288" s="18"/>
      <c r="AK288" s="18"/>
      <c r="AL288" s="18"/>
      <c r="AM288" s="18">
        <f t="shared" si="38"/>
        <v>0</v>
      </c>
      <c r="AN288" s="18"/>
      <c r="AO288" s="18"/>
      <c r="AP288" s="18">
        <f t="shared" si="32"/>
        <v>0</v>
      </c>
      <c r="AQ288" s="32">
        <f t="shared" si="39"/>
        <v>5</v>
      </c>
    </row>
    <row r="289" spans="1:43" x14ac:dyDescent="0.35">
      <c r="A289" s="126" t="s">
        <v>831</v>
      </c>
      <c r="B289" s="126" t="s">
        <v>832</v>
      </c>
      <c r="C289" s="126" t="s">
        <v>1294</v>
      </c>
      <c r="D289" s="128">
        <v>1</v>
      </c>
      <c r="E289" s="128"/>
      <c r="F289" s="128"/>
      <c r="G289" s="128"/>
      <c r="H289" s="128"/>
      <c r="I289" s="18">
        <f t="shared" si="33"/>
        <v>1</v>
      </c>
      <c r="J289" s="128"/>
      <c r="K289" s="128"/>
      <c r="L289" s="128"/>
      <c r="M289" s="128"/>
      <c r="N289" s="128"/>
      <c r="O289" s="18">
        <f t="shared" si="34"/>
        <v>0</v>
      </c>
      <c r="P289" s="18">
        <v>2</v>
      </c>
      <c r="Q289" s="18"/>
      <c r="R289" s="18"/>
      <c r="S289" s="18"/>
      <c r="T289" s="18"/>
      <c r="U289" s="18">
        <f t="shared" si="35"/>
        <v>2</v>
      </c>
      <c r="V289" s="18"/>
      <c r="W289" s="18"/>
      <c r="X289" s="18"/>
      <c r="Y289" s="18"/>
      <c r="Z289" s="18"/>
      <c r="AA289" s="18">
        <f t="shared" si="36"/>
        <v>0</v>
      </c>
      <c r="AB289" s="18"/>
      <c r="AC289" s="18"/>
      <c r="AD289" s="18"/>
      <c r="AE289" s="18"/>
      <c r="AF289" s="18"/>
      <c r="AG289" s="18">
        <f t="shared" si="37"/>
        <v>0</v>
      </c>
      <c r="AH289" s="18">
        <v>6</v>
      </c>
      <c r="AI289" s="18"/>
      <c r="AJ289" s="18"/>
      <c r="AK289" s="18"/>
      <c r="AL289" s="18"/>
      <c r="AM289" s="18">
        <f t="shared" si="38"/>
        <v>6</v>
      </c>
      <c r="AN289" s="18"/>
      <c r="AO289" s="18"/>
      <c r="AP289" s="18">
        <f t="shared" si="32"/>
        <v>0</v>
      </c>
      <c r="AQ289" s="32">
        <f t="shared" si="39"/>
        <v>9</v>
      </c>
    </row>
    <row r="290" spans="1:43" x14ac:dyDescent="0.35">
      <c r="A290" s="126" t="s">
        <v>833</v>
      </c>
      <c r="B290" s="126" t="s">
        <v>834</v>
      </c>
      <c r="C290" s="126" t="s">
        <v>1294</v>
      </c>
      <c r="D290" s="128"/>
      <c r="E290" s="128"/>
      <c r="F290" s="128"/>
      <c r="G290" s="128"/>
      <c r="H290" s="128"/>
      <c r="I290" s="18">
        <f t="shared" si="33"/>
        <v>0</v>
      </c>
      <c r="J290" s="128"/>
      <c r="K290" s="128"/>
      <c r="L290" s="128"/>
      <c r="M290" s="128"/>
      <c r="N290" s="128"/>
      <c r="O290" s="18">
        <f t="shared" si="34"/>
        <v>0</v>
      </c>
      <c r="P290" s="18"/>
      <c r="Q290" s="18"/>
      <c r="R290" s="18"/>
      <c r="S290" s="18"/>
      <c r="T290" s="18"/>
      <c r="U290" s="18">
        <f t="shared" si="35"/>
        <v>0</v>
      </c>
      <c r="V290" s="18">
        <v>1</v>
      </c>
      <c r="W290" s="18"/>
      <c r="X290" s="18"/>
      <c r="Y290" s="18"/>
      <c r="Z290" s="18"/>
      <c r="AA290" s="18">
        <f t="shared" si="36"/>
        <v>1</v>
      </c>
      <c r="AB290" s="18"/>
      <c r="AC290" s="18"/>
      <c r="AD290" s="18"/>
      <c r="AE290" s="18"/>
      <c r="AF290" s="18"/>
      <c r="AG290" s="18">
        <f t="shared" si="37"/>
        <v>0</v>
      </c>
      <c r="AH290" s="18"/>
      <c r="AI290" s="18"/>
      <c r="AJ290" s="18"/>
      <c r="AK290" s="18"/>
      <c r="AL290" s="18"/>
      <c r="AM290" s="18">
        <f t="shared" si="38"/>
        <v>0</v>
      </c>
      <c r="AN290" s="18"/>
      <c r="AO290" s="18"/>
      <c r="AP290" s="18">
        <f t="shared" si="32"/>
        <v>0</v>
      </c>
      <c r="AQ290" s="32">
        <f t="shared" si="39"/>
        <v>1</v>
      </c>
    </row>
    <row r="291" spans="1:43" x14ac:dyDescent="0.35">
      <c r="A291" s="126" t="s">
        <v>835</v>
      </c>
      <c r="B291" s="126" t="s">
        <v>1241</v>
      </c>
      <c r="C291" s="126" t="s">
        <v>1294</v>
      </c>
      <c r="D291" s="128">
        <v>11</v>
      </c>
      <c r="E291" s="128"/>
      <c r="F291" s="128">
        <v>3</v>
      </c>
      <c r="G291" s="128">
        <v>2</v>
      </c>
      <c r="H291" s="128"/>
      <c r="I291" s="18">
        <f t="shared" si="33"/>
        <v>16</v>
      </c>
      <c r="J291" s="128"/>
      <c r="K291" s="128"/>
      <c r="L291" s="128"/>
      <c r="M291" s="128"/>
      <c r="N291" s="128"/>
      <c r="O291" s="18">
        <f t="shared" si="34"/>
        <v>0</v>
      </c>
      <c r="P291" s="18"/>
      <c r="Q291" s="18"/>
      <c r="R291" s="18"/>
      <c r="S291" s="18"/>
      <c r="T291" s="18"/>
      <c r="U291" s="18">
        <f t="shared" si="35"/>
        <v>0</v>
      </c>
      <c r="V291" s="18"/>
      <c r="W291" s="18"/>
      <c r="X291" s="18"/>
      <c r="Y291" s="18"/>
      <c r="Z291" s="18"/>
      <c r="AA291" s="18">
        <f t="shared" si="36"/>
        <v>0</v>
      </c>
      <c r="AB291" s="18"/>
      <c r="AC291" s="18"/>
      <c r="AD291" s="18"/>
      <c r="AE291" s="18"/>
      <c r="AF291" s="18"/>
      <c r="AG291" s="18">
        <f t="shared" si="37"/>
        <v>0</v>
      </c>
      <c r="AH291" s="18"/>
      <c r="AI291" s="18"/>
      <c r="AJ291" s="18"/>
      <c r="AK291" s="18"/>
      <c r="AL291" s="18"/>
      <c r="AM291" s="18">
        <f t="shared" si="38"/>
        <v>0</v>
      </c>
      <c r="AN291" s="18"/>
      <c r="AO291" s="18"/>
      <c r="AP291" s="18">
        <f t="shared" si="32"/>
        <v>0</v>
      </c>
      <c r="AQ291" s="32">
        <f t="shared" si="39"/>
        <v>16</v>
      </c>
    </row>
    <row r="292" spans="1:43" x14ac:dyDescent="0.35">
      <c r="A292" s="126" t="s">
        <v>836</v>
      </c>
      <c r="B292" s="126" t="s">
        <v>1242</v>
      </c>
      <c r="C292" s="126" t="s">
        <v>1294</v>
      </c>
      <c r="D292" s="128"/>
      <c r="E292" s="128"/>
      <c r="F292" s="128"/>
      <c r="G292" s="128"/>
      <c r="H292" s="128"/>
      <c r="I292" s="18">
        <f t="shared" si="33"/>
        <v>0</v>
      </c>
      <c r="J292" s="128"/>
      <c r="K292" s="128"/>
      <c r="L292" s="128"/>
      <c r="M292" s="128"/>
      <c r="N292" s="128"/>
      <c r="O292" s="18">
        <f t="shared" si="34"/>
        <v>0</v>
      </c>
      <c r="P292" s="18">
        <v>1</v>
      </c>
      <c r="Q292" s="18"/>
      <c r="R292" s="18"/>
      <c r="S292" s="18"/>
      <c r="T292" s="18"/>
      <c r="U292" s="18">
        <f t="shared" si="35"/>
        <v>1</v>
      </c>
      <c r="V292" s="18"/>
      <c r="W292" s="18"/>
      <c r="X292" s="18"/>
      <c r="Y292" s="18"/>
      <c r="Z292" s="18"/>
      <c r="AA292" s="18">
        <f t="shared" si="36"/>
        <v>0</v>
      </c>
      <c r="AB292" s="18"/>
      <c r="AC292" s="18"/>
      <c r="AD292" s="18"/>
      <c r="AE292" s="18"/>
      <c r="AF292" s="18"/>
      <c r="AG292" s="18">
        <f t="shared" si="37"/>
        <v>0</v>
      </c>
      <c r="AH292" s="18"/>
      <c r="AI292" s="18"/>
      <c r="AJ292" s="18"/>
      <c r="AK292" s="18"/>
      <c r="AL292" s="18"/>
      <c r="AM292" s="18">
        <f t="shared" si="38"/>
        <v>0</v>
      </c>
      <c r="AN292" s="18"/>
      <c r="AO292" s="18"/>
      <c r="AP292" s="18">
        <f t="shared" si="32"/>
        <v>0</v>
      </c>
      <c r="AQ292" s="32">
        <f t="shared" si="39"/>
        <v>1</v>
      </c>
    </row>
    <row r="293" spans="1:43" x14ac:dyDescent="0.35">
      <c r="A293" s="126" t="s">
        <v>837</v>
      </c>
      <c r="B293" s="126" t="s">
        <v>1243</v>
      </c>
      <c r="C293" s="126" t="s">
        <v>1294</v>
      </c>
      <c r="D293" s="128">
        <v>6</v>
      </c>
      <c r="E293" s="128">
        <v>8</v>
      </c>
      <c r="F293" s="128">
        <v>4</v>
      </c>
      <c r="G293" s="128"/>
      <c r="H293" s="128"/>
      <c r="I293" s="18">
        <f t="shared" si="33"/>
        <v>18</v>
      </c>
      <c r="J293" s="128"/>
      <c r="K293" s="128"/>
      <c r="L293" s="128"/>
      <c r="M293" s="128"/>
      <c r="N293" s="128"/>
      <c r="O293" s="18">
        <f t="shared" si="34"/>
        <v>0</v>
      </c>
      <c r="P293" s="18"/>
      <c r="Q293" s="18"/>
      <c r="R293" s="18"/>
      <c r="S293" s="18"/>
      <c r="T293" s="18"/>
      <c r="U293" s="18">
        <f t="shared" si="35"/>
        <v>0</v>
      </c>
      <c r="V293" s="18"/>
      <c r="W293" s="18"/>
      <c r="X293" s="18"/>
      <c r="Y293" s="18"/>
      <c r="Z293" s="18"/>
      <c r="AA293" s="18">
        <f t="shared" si="36"/>
        <v>0</v>
      </c>
      <c r="AB293" s="18"/>
      <c r="AC293" s="18"/>
      <c r="AD293" s="18"/>
      <c r="AE293" s="18"/>
      <c r="AF293" s="18"/>
      <c r="AG293" s="18">
        <f t="shared" si="37"/>
        <v>0</v>
      </c>
      <c r="AH293" s="18"/>
      <c r="AI293" s="18"/>
      <c r="AJ293" s="18"/>
      <c r="AK293" s="18"/>
      <c r="AL293" s="18"/>
      <c r="AM293" s="18">
        <f t="shared" si="38"/>
        <v>0</v>
      </c>
      <c r="AN293" s="18"/>
      <c r="AO293" s="18"/>
      <c r="AP293" s="18">
        <f t="shared" si="32"/>
        <v>0</v>
      </c>
      <c r="AQ293" s="32">
        <f t="shared" si="39"/>
        <v>18</v>
      </c>
    </row>
    <row r="294" spans="1:43" x14ac:dyDescent="0.35">
      <c r="A294" s="126" t="s">
        <v>838</v>
      </c>
      <c r="B294" s="126" t="s">
        <v>1244</v>
      </c>
      <c r="C294" s="126" t="s">
        <v>1294</v>
      </c>
      <c r="D294" s="128"/>
      <c r="E294" s="128"/>
      <c r="F294" s="128"/>
      <c r="G294" s="128"/>
      <c r="H294" s="128"/>
      <c r="I294" s="18">
        <f t="shared" si="33"/>
        <v>0</v>
      </c>
      <c r="J294" s="128"/>
      <c r="K294" s="128"/>
      <c r="L294" s="128"/>
      <c r="M294" s="128"/>
      <c r="N294" s="128"/>
      <c r="O294" s="18">
        <f t="shared" si="34"/>
        <v>0</v>
      </c>
      <c r="P294" s="18">
        <v>2</v>
      </c>
      <c r="Q294" s="18"/>
      <c r="R294" s="18"/>
      <c r="S294" s="18"/>
      <c r="T294" s="18"/>
      <c r="U294" s="18">
        <f t="shared" si="35"/>
        <v>2</v>
      </c>
      <c r="V294" s="18"/>
      <c r="W294" s="18"/>
      <c r="X294" s="18"/>
      <c r="Y294" s="18"/>
      <c r="Z294" s="18"/>
      <c r="AA294" s="18">
        <f t="shared" si="36"/>
        <v>0</v>
      </c>
      <c r="AB294" s="18"/>
      <c r="AC294" s="18"/>
      <c r="AD294" s="18"/>
      <c r="AE294" s="18"/>
      <c r="AF294" s="18"/>
      <c r="AG294" s="18">
        <f t="shared" si="37"/>
        <v>0</v>
      </c>
      <c r="AH294" s="18"/>
      <c r="AI294" s="18"/>
      <c r="AJ294" s="18"/>
      <c r="AK294" s="18"/>
      <c r="AL294" s="18"/>
      <c r="AM294" s="18">
        <f t="shared" si="38"/>
        <v>0</v>
      </c>
      <c r="AN294" s="18"/>
      <c r="AO294" s="18"/>
      <c r="AP294" s="18">
        <f t="shared" si="32"/>
        <v>0</v>
      </c>
      <c r="AQ294" s="32">
        <f t="shared" si="39"/>
        <v>2</v>
      </c>
    </row>
    <row r="295" spans="1:43" x14ac:dyDescent="0.35">
      <c r="A295" s="126" t="s">
        <v>839</v>
      </c>
      <c r="B295" s="126" t="s">
        <v>840</v>
      </c>
      <c r="C295" s="126" t="s">
        <v>1294</v>
      </c>
      <c r="D295" s="128">
        <v>39</v>
      </c>
      <c r="E295" s="128"/>
      <c r="F295" s="128">
        <v>1</v>
      </c>
      <c r="G295" s="128"/>
      <c r="H295" s="128"/>
      <c r="I295" s="18">
        <f t="shared" si="33"/>
        <v>40</v>
      </c>
      <c r="J295" s="128">
        <v>2</v>
      </c>
      <c r="K295" s="128"/>
      <c r="L295" s="128"/>
      <c r="M295" s="128"/>
      <c r="N295" s="128"/>
      <c r="O295" s="18">
        <f t="shared" si="34"/>
        <v>2</v>
      </c>
      <c r="P295" s="18">
        <v>1</v>
      </c>
      <c r="Q295" s="18"/>
      <c r="R295" s="18"/>
      <c r="S295" s="18"/>
      <c r="T295" s="18"/>
      <c r="U295" s="18">
        <f t="shared" si="35"/>
        <v>1</v>
      </c>
      <c r="V295" s="18">
        <v>2</v>
      </c>
      <c r="W295" s="18"/>
      <c r="X295" s="18"/>
      <c r="Y295" s="18"/>
      <c r="Z295" s="18"/>
      <c r="AA295" s="18">
        <f t="shared" si="36"/>
        <v>2</v>
      </c>
      <c r="AB295" s="18">
        <v>5</v>
      </c>
      <c r="AC295" s="18">
        <v>1</v>
      </c>
      <c r="AD295" s="18"/>
      <c r="AE295" s="18"/>
      <c r="AF295" s="18"/>
      <c r="AG295" s="18">
        <f t="shared" si="37"/>
        <v>6</v>
      </c>
      <c r="AH295" s="18"/>
      <c r="AI295" s="18"/>
      <c r="AJ295" s="18"/>
      <c r="AK295" s="18"/>
      <c r="AL295" s="18"/>
      <c r="AM295" s="18">
        <f t="shared" si="38"/>
        <v>0</v>
      </c>
      <c r="AN295" s="18"/>
      <c r="AO295" s="18"/>
      <c r="AP295" s="18">
        <f t="shared" si="32"/>
        <v>0</v>
      </c>
      <c r="AQ295" s="32">
        <f t="shared" si="39"/>
        <v>51</v>
      </c>
    </row>
    <row r="296" spans="1:43" x14ac:dyDescent="0.35">
      <c r="A296" s="126" t="s">
        <v>841</v>
      </c>
      <c r="B296" s="126" t="s">
        <v>842</v>
      </c>
      <c r="C296" s="126" t="s">
        <v>1294</v>
      </c>
      <c r="D296" s="128">
        <v>413</v>
      </c>
      <c r="E296" s="128">
        <v>9</v>
      </c>
      <c r="F296" s="128">
        <v>1</v>
      </c>
      <c r="G296" s="128">
        <v>1</v>
      </c>
      <c r="H296" s="128"/>
      <c r="I296" s="18">
        <f t="shared" si="33"/>
        <v>424</v>
      </c>
      <c r="J296" s="128">
        <v>80</v>
      </c>
      <c r="K296" s="128">
        <v>1</v>
      </c>
      <c r="L296" s="128"/>
      <c r="M296" s="128"/>
      <c r="N296" s="128"/>
      <c r="O296" s="18">
        <f t="shared" si="34"/>
        <v>81</v>
      </c>
      <c r="P296" s="18">
        <v>64</v>
      </c>
      <c r="Q296" s="18"/>
      <c r="R296" s="18"/>
      <c r="S296" s="18"/>
      <c r="T296" s="18"/>
      <c r="U296" s="18">
        <f t="shared" si="35"/>
        <v>64</v>
      </c>
      <c r="V296" s="18">
        <v>12</v>
      </c>
      <c r="W296" s="18">
        <v>1</v>
      </c>
      <c r="X296" s="18"/>
      <c r="Y296" s="18"/>
      <c r="Z296" s="18"/>
      <c r="AA296" s="18">
        <f t="shared" si="36"/>
        <v>13</v>
      </c>
      <c r="AB296" s="18">
        <v>94</v>
      </c>
      <c r="AC296" s="18"/>
      <c r="AD296" s="18"/>
      <c r="AE296" s="18"/>
      <c r="AF296" s="18"/>
      <c r="AG296" s="18">
        <f t="shared" si="37"/>
        <v>94</v>
      </c>
      <c r="AH296" s="18">
        <v>32</v>
      </c>
      <c r="AI296" s="18"/>
      <c r="AJ296" s="18"/>
      <c r="AK296" s="18"/>
      <c r="AL296" s="18"/>
      <c r="AM296" s="18">
        <f t="shared" si="38"/>
        <v>32</v>
      </c>
      <c r="AN296" s="18"/>
      <c r="AO296" s="18"/>
      <c r="AP296" s="18">
        <f t="shared" si="32"/>
        <v>0</v>
      </c>
      <c r="AQ296" s="32">
        <f t="shared" si="39"/>
        <v>708</v>
      </c>
    </row>
    <row r="297" spans="1:43" x14ac:dyDescent="0.35">
      <c r="A297" s="126" t="s">
        <v>843</v>
      </c>
      <c r="B297" s="126" t="s">
        <v>844</v>
      </c>
      <c r="C297" s="126" t="s">
        <v>1294</v>
      </c>
      <c r="D297" s="128">
        <v>7</v>
      </c>
      <c r="E297" s="128"/>
      <c r="F297" s="128"/>
      <c r="G297" s="128"/>
      <c r="H297" s="128"/>
      <c r="I297" s="18">
        <f t="shared" si="33"/>
        <v>7</v>
      </c>
      <c r="J297" s="128"/>
      <c r="K297" s="128"/>
      <c r="L297" s="128"/>
      <c r="M297" s="128"/>
      <c r="N297" s="128"/>
      <c r="O297" s="18">
        <f t="shared" si="34"/>
        <v>0</v>
      </c>
      <c r="P297" s="18"/>
      <c r="Q297" s="18"/>
      <c r="R297" s="18"/>
      <c r="S297" s="18"/>
      <c r="T297" s="18"/>
      <c r="U297" s="18">
        <f t="shared" si="35"/>
        <v>0</v>
      </c>
      <c r="V297" s="18"/>
      <c r="W297" s="18"/>
      <c r="X297" s="18"/>
      <c r="Y297" s="18"/>
      <c r="Z297" s="18"/>
      <c r="AA297" s="18">
        <f t="shared" si="36"/>
        <v>0</v>
      </c>
      <c r="AB297" s="18"/>
      <c r="AC297" s="18"/>
      <c r="AD297" s="18"/>
      <c r="AE297" s="18"/>
      <c r="AF297" s="18"/>
      <c r="AG297" s="18">
        <f t="shared" si="37"/>
        <v>0</v>
      </c>
      <c r="AH297" s="18"/>
      <c r="AI297" s="18"/>
      <c r="AJ297" s="18"/>
      <c r="AK297" s="18"/>
      <c r="AL297" s="18"/>
      <c r="AM297" s="18">
        <f t="shared" si="38"/>
        <v>0</v>
      </c>
      <c r="AN297" s="18"/>
      <c r="AO297" s="18"/>
      <c r="AP297" s="18">
        <f t="shared" si="32"/>
        <v>0</v>
      </c>
      <c r="AQ297" s="32">
        <f t="shared" si="39"/>
        <v>7</v>
      </c>
    </row>
    <row r="298" spans="1:43" x14ac:dyDescent="0.35">
      <c r="A298" s="126" t="s">
        <v>845</v>
      </c>
      <c r="B298" s="126" t="s">
        <v>846</v>
      </c>
      <c r="C298" s="126" t="s">
        <v>1294</v>
      </c>
      <c r="D298" s="128">
        <v>4</v>
      </c>
      <c r="E298" s="128"/>
      <c r="F298" s="128">
        <v>1</v>
      </c>
      <c r="G298" s="128">
        <v>1</v>
      </c>
      <c r="H298" s="128"/>
      <c r="I298" s="18">
        <f t="shared" si="33"/>
        <v>6</v>
      </c>
      <c r="J298" s="128"/>
      <c r="K298" s="128"/>
      <c r="L298" s="128"/>
      <c r="M298" s="128"/>
      <c r="N298" s="128"/>
      <c r="O298" s="18">
        <f t="shared" si="34"/>
        <v>0</v>
      </c>
      <c r="P298" s="18"/>
      <c r="Q298" s="18"/>
      <c r="R298" s="18"/>
      <c r="S298" s="18"/>
      <c r="T298" s="18"/>
      <c r="U298" s="18">
        <f t="shared" si="35"/>
        <v>0</v>
      </c>
      <c r="V298" s="18"/>
      <c r="W298" s="18"/>
      <c r="X298" s="18"/>
      <c r="Y298" s="18"/>
      <c r="Z298" s="18"/>
      <c r="AA298" s="18">
        <f t="shared" si="36"/>
        <v>0</v>
      </c>
      <c r="AB298" s="18">
        <v>2</v>
      </c>
      <c r="AC298" s="18"/>
      <c r="AD298" s="18"/>
      <c r="AE298" s="18"/>
      <c r="AF298" s="18"/>
      <c r="AG298" s="18">
        <f t="shared" si="37"/>
        <v>2</v>
      </c>
      <c r="AH298" s="18"/>
      <c r="AI298" s="18"/>
      <c r="AJ298" s="18"/>
      <c r="AK298" s="18"/>
      <c r="AL298" s="18"/>
      <c r="AM298" s="18">
        <f t="shared" si="38"/>
        <v>0</v>
      </c>
      <c r="AN298" s="18"/>
      <c r="AO298" s="18"/>
      <c r="AP298" s="18">
        <f t="shared" si="32"/>
        <v>0</v>
      </c>
      <c r="AQ298" s="32">
        <f t="shared" si="39"/>
        <v>8</v>
      </c>
    </row>
    <row r="299" spans="1:43" x14ac:dyDescent="0.35">
      <c r="A299" s="126" t="s">
        <v>847</v>
      </c>
      <c r="B299" s="126" t="s">
        <v>848</v>
      </c>
      <c r="C299" s="126" t="s">
        <v>1294</v>
      </c>
      <c r="D299" s="128">
        <v>33</v>
      </c>
      <c r="E299" s="128">
        <v>5</v>
      </c>
      <c r="F299" s="128">
        <v>3</v>
      </c>
      <c r="G299" s="128">
        <v>2</v>
      </c>
      <c r="H299" s="128"/>
      <c r="I299" s="18">
        <f t="shared" si="33"/>
        <v>43</v>
      </c>
      <c r="J299" s="128"/>
      <c r="K299" s="128"/>
      <c r="L299" s="128"/>
      <c r="M299" s="128"/>
      <c r="N299" s="128"/>
      <c r="O299" s="18">
        <f t="shared" si="34"/>
        <v>0</v>
      </c>
      <c r="P299" s="18">
        <v>1</v>
      </c>
      <c r="Q299" s="18"/>
      <c r="R299" s="18"/>
      <c r="S299" s="18"/>
      <c r="T299" s="18"/>
      <c r="U299" s="18">
        <f t="shared" si="35"/>
        <v>1</v>
      </c>
      <c r="V299" s="18"/>
      <c r="W299" s="18"/>
      <c r="X299" s="18"/>
      <c r="Y299" s="18"/>
      <c r="Z299" s="18"/>
      <c r="AA299" s="18">
        <f t="shared" si="36"/>
        <v>0</v>
      </c>
      <c r="AB299" s="18">
        <v>11</v>
      </c>
      <c r="AC299" s="18">
        <v>3</v>
      </c>
      <c r="AD299" s="18"/>
      <c r="AE299" s="18"/>
      <c r="AF299" s="18"/>
      <c r="AG299" s="18">
        <f t="shared" si="37"/>
        <v>14</v>
      </c>
      <c r="AH299" s="18"/>
      <c r="AI299" s="18"/>
      <c r="AJ299" s="18"/>
      <c r="AK299" s="18"/>
      <c r="AL299" s="18"/>
      <c r="AM299" s="18">
        <f t="shared" si="38"/>
        <v>0</v>
      </c>
      <c r="AN299" s="18"/>
      <c r="AO299" s="18"/>
      <c r="AP299" s="18">
        <f t="shared" si="32"/>
        <v>0</v>
      </c>
      <c r="AQ299" s="32">
        <f t="shared" si="39"/>
        <v>58</v>
      </c>
    </row>
    <row r="300" spans="1:43" x14ac:dyDescent="0.35">
      <c r="A300" s="126" t="s">
        <v>849</v>
      </c>
      <c r="B300" s="126" t="s">
        <v>850</v>
      </c>
      <c r="C300" s="126" t="s">
        <v>1294</v>
      </c>
      <c r="D300" s="128">
        <v>207</v>
      </c>
      <c r="E300" s="128">
        <v>50</v>
      </c>
      <c r="F300" s="128">
        <v>18</v>
      </c>
      <c r="G300" s="128">
        <v>7</v>
      </c>
      <c r="H300" s="128"/>
      <c r="I300" s="18">
        <f t="shared" si="33"/>
        <v>282</v>
      </c>
      <c r="J300" s="128">
        <v>10</v>
      </c>
      <c r="K300" s="128">
        <v>1</v>
      </c>
      <c r="L300" s="128"/>
      <c r="M300" s="128"/>
      <c r="N300" s="128"/>
      <c r="O300" s="18">
        <f t="shared" si="34"/>
        <v>11</v>
      </c>
      <c r="P300" s="18">
        <v>5</v>
      </c>
      <c r="Q300" s="18"/>
      <c r="R300" s="18"/>
      <c r="S300" s="18"/>
      <c r="T300" s="18"/>
      <c r="U300" s="18">
        <f t="shared" si="35"/>
        <v>5</v>
      </c>
      <c r="V300" s="18">
        <v>7</v>
      </c>
      <c r="W300" s="18"/>
      <c r="X300" s="18"/>
      <c r="Y300" s="18"/>
      <c r="Z300" s="18"/>
      <c r="AA300" s="18">
        <f t="shared" si="36"/>
        <v>7</v>
      </c>
      <c r="AB300" s="18">
        <v>38</v>
      </c>
      <c r="AC300" s="18">
        <v>2</v>
      </c>
      <c r="AD300" s="18">
        <v>1</v>
      </c>
      <c r="AE300" s="18"/>
      <c r="AF300" s="18"/>
      <c r="AG300" s="18">
        <f t="shared" si="37"/>
        <v>41</v>
      </c>
      <c r="AH300" s="18"/>
      <c r="AI300" s="18"/>
      <c r="AJ300" s="18"/>
      <c r="AK300" s="18"/>
      <c r="AL300" s="18"/>
      <c r="AM300" s="18">
        <f t="shared" si="38"/>
        <v>0</v>
      </c>
      <c r="AN300" s="18"/>
      <c r="AO300" s="18"/>
      <c r="AP300" s="18">
        <f t="shared" si="32"/>
        <v>0</v>
      </c>
      <c r="AQ300" s="32">
        <f t="shared" si="39"/>
        <v>346</v>
      </c>
    </row>
    <row r="301" spans="1:43" x14ac:dyDescent="0.35">
      <c r="A301" s="126" t="s">
        <v>851</v>
      </c>
      <c r="B301" s="126" t="s">
        <v>852</v>
      </c>
      <c r="C301" s="126" t="s">
        <v>1294</v>
      </c>
      <c r="D301" s="128">
        <v>45</v>
      </c>
      <c r="E301" s="128"/>
      <c r="F301" s="128">
        <v>1</v>
      </c>
      <c r="G301" s="128"/>
      <c r="H301" s="128"/>
      <c r="I301" s="18">
        <f t="shared" si="33"/>
        <v>46</v>
      </c>
      <c r="J301" s="128">
        <v>6</v>
      </c>
      <c r="K301" s="128"/>
      <c r="L301" s="128"/>
      <c r="M301" s="128"/>
      <c r="N301" s="128"/>
      <c r="O301" s="18">
        <f t="shared" si="34"/>
        <v>6</v>
      </c>
      <c r="P301" s="18">
        <v>5</v>
      </c>
      <c r="Q301" s="18"/>
      <c r="R301" s="18"/>
      <c r="S301" s="18"/>
      <c r="T301" s="18"/>
      <c r="U301" s="18">
        <f t="shared" si="35"/>
        <v>5</v>
      </c>
      <c r="V301" s="18">
        <v>10</v>
      </c>
      <c r="W301" s="18"/>
      <c r="X301" s="18"/>
      <c r="Y301" s="18"/>
      <c r="Z301" s="18"/>
      <c r="AA301" s="18">
        <f t="shared" si="36"/>
        <v>10</v>
      </c>
      <c r="AB301" s="18">
        <v>9</v>
      </c>
      <c r="AC301" s="18"/>
      <c r="AD301" s="18"/>
      <c r="AE301" s="18"/>
      <c r="AF301" s="18"/>
      <c r="AG301" s="18">
        <f t="shared" si="37"/>
        <v>9</v>
      </c>
      <c r="AH301" s="18">
        <v>2</v>
      </c>
      <c r="AI301" s="18"/>
      <c r="AJ301" s="18"/>
      <c r="AK301" s="18"/>
      <c r="AL301" s="18"/>
      <c r="AM301" s="18">
        <f t="shared" si="38"/>
        <v>2</v>
      </c>
      <c r="AN301" s="18"/>
      <c r="AO301" s="18"/>
      <c r="AP301" s="18">
        <f t="shared" si="32"/>
        <v>0</v>
      </c>
      <c r="AQ301" s="32">
        <f t="shared" si="39"/>
        <v>78</v>
      </c>
    </row>
    <row r="302" spans="1:43" x14ac:dyDescent="0.35">
      <c r="A302" s="126" t="s">
        <v>853</v>
      </c>
      <c r="B302" s="126" t="s">
        <v>854</v>
      </c>
      <c r="C302" s="126" t="s">
        <v>1294</v>
      </c>
      <c r="D302" s="128">
        <v>286</v>
      </c>
      <c r="E302" s="128">
        <v>4</v>
      </c>
      <c r="F302" s="128"/>
      <c r="G302" s="128">
        <v>2</v>
      </c>
      <c r="H302" s="128"/>
      <c r="I302" s="18">
        <f t="shared" si="33"/>
        <v>292</v>
      </c>
      <c r="J302" s="128">
        <v>13</v>
      </c>
      <c r="K302" s="128"/>
      <c r="L302" s="128"/>
      <c r="M302" s="128"/>
      <c r="N302" s="128"/>
      <c r="O302" s="18">
        <f t="shared" si="34"/>
        <v>13</v>
      </c>
      <c r="P302" s="18">
        <v>10</v>
      </c>
      <c r="Q302" s="18"/>
      <c r="R302" s="18"/>
      <c r="S302" s="18"/>
      <c r="T302" s="18"/>
      <c r="U302" s="18">
        <f t="shared" si="35"/>
        <v>10</v>
      </c>
      <c r="V302" s="18">
        <v>8</v>
      </c>
      <c r="W302" s="18"/>
      <c r="X302" s="18"/>
      <c r="Y302" s="18"/>
      <c r="Z302" s="18"/>
      <c r="AA302" s="18">
        <f t="shared" si="36"/>
        <v>8</v>
      </c>
      <c r="AB302" s="18">
        <v>59</v>
      </c>
      <c r="AC302" s="18">
        <v>1</v>
      </c>
      <c r="AD302" s="18"/>
      <c r="AE302" s="18"/>
      <c r="AF302" s="18"/>
      <c r="AG302" s="18">
        <f t="shared" si="37"/>
        <v>60</v>
      </c>
      <c r="AH302" s="18">
        <v>9</v>
      </c>
      <c r="AI302" s="18"/>
      <c r="AJ302" s="18"/>
      <c r="AK302" s="18"/>
      <c r="AL302" s="18"/>
      <c r="AM302" s="18">
        <f t="shared" si="38"/>
        <v>9</v>
      </c>
      <c r="AN302" s="18"/>
      <c r="AO302" s="18"/>
      <c r="AP302" s="18">
        <f t="shared" si="32"/>
        <v>0</v>
      </c>
      <c r="AQ302" s="32">
        <f t="shared" si="39"/>
        <v>392</v>
      </c>
    </row>
    <row r="303" spans="1:43" x14ac:dyDescent="0.35">
      <c r="A303" s="126" t="s">
        <v>855</v>
      </c>
      <c r="B303" s="126" t="s">
        <v>1245</v>
      </c>
      <c r="C303" s="126" t="s">
        <v>1294</v>
      </c>
      <c r="D303" s="128">
        <v>599</v>
      </c>
      <c r="E303" s="128">
        <v>72</v>
      </c>
      <c r="F303" s="128">
        <v>30</v>
      </c>
      <c r="G303" s="128">
        <v>4</v>
      </c>
      <c r="H303" s="128"/>
      <c r="I303" s="18">
        <f t="shared" si="33"/>
        <v>705</v>
      </c>
      <c r="J303" s="128">
        <v>158</v>
      </c>
      <c r="K303" s="128">
        <v>1</v>
      </c>
      <c r="L303" s="128"/>
      <c r="M303" s="128"/>
      <c r="N303" s="128"/>
      <c r="O303" s="18">
        <f t="shared" si="34"/>
        <v>159</v>
      </c>
      <c r="P303" s="18">
        <v>100</v>
      </c>
      <c r="Q303" s="18"/>
      <c r="R303" s="18"/>
      <c r="S303" s="18"/>
      <c r="T303" s="18"/>
      <c r="U303" s="18">
        <f t="shared" si="35"/>
        <v>100</v>
      </c>
      <c r="V303" s="18">
        <v>41</v>
      </c>
      <c r="W303" s="18">
        <v>1</v>
      </c>
      <c r="X303" s="18"/>
      <c r="Y303" s="18"/>
      <c r="Z303" s="18"/>
      <c r="AA303" s="18">
        <f t="shared" si="36"/>
        <v>42</v>
      </c>
      <c r="AB303" s="18">
        <v>52</v>
      </c>
      <c r="AC303" s="18">
        <v>1</v>
      </c>
      <c r="AD303" s="18"/>
      <c r="AE303" s="18"/>
      <c r="AF303" s="18"/>
      <c r="AG303" s="18">
        <f t="shared" si="37"/>
        <v>53</v>
      </c>
      <c r="AH303" s="18">
        <v>109</v>
      </c>
      <c r="AI303" s="18">
        <v>3</v>
      </c>
      <c r="AJ303" s="18"/>
      <c r="AK303" s="18"/>
      <c r="AL303" s="18"/>
      <c r="AM303" s="18">
        <f t="shared" si="38"/>
        <v>112</v>
      </c>
      <c r="AN303" s="18"/>
      <c r="AO303" s="18"/>
      <c r="AP303" s="18">
        <f t="shared" si="32"/>
        <v>0</v>
      </c>
      <c r="AQ303" s="32">
        <f t="shared" si="39"/>
        <v>1171</v>
      </c>
    </row>
    <row r="304" spans="1:43" x14ac:dyDescent="0.35">
      <c r="A304" s="126" t="s">
        <v>856</v>
      </c>
      <c r="B304" s="126" t="s">
        <v>857</v>
      </c>
      <c r="C304" s="126" t="s">
        <v>1294</v>
      </c>
      <c r="D304" s="128">
        <v>135</v>
      </c>
      <c r="E304" s="128">
        <v>4</v>
      </c>
      <c r="F304" s="128">
        <v>1</v>
      </c>
      <c r="G304" s="128"/>
      <c r="H304" s="128"/>
      <c r="I304" s="18">
        <f t="shared" si="33"/>
        <v>140</v>
      </c>
      <c r="J304" s="128">
        <v>24</v>
      </c>
      <c r="K304" s="128"/>
      <c r="L304" s="128"/>
      <c r="M304" s="128"/>
      <c r="N304" s="128"/>
      <c r="O304" s="18">
        <f t="shared" si="34"/>
        <v>24</v>
      </c>
      <c r="P304" s="18">
        <v>2</v>
      </c>
      <c r="Q304" s="18"/>
      <c r="R304" s="18"/>
      <c r="S304" s="18"/>
      <c r="T304" s="18"/>
      <c r="U304" s="18">
        <f t="shared" si="35"/>
        <v>2</v>
      </c>
      <c r="V304" s="18">
        <v>3</v>
      </c>
      <c r="W304" s="18"/>
      <c r="X304" s="18"/>
      <c r="Y304" s="18"/>
      <c r="Z304" s="18"/>
      <c r="AA304" s="18">
        <f t="shared" si="36"/>
        <v>3</v>
      </c>
      <c r="AB304" s="18">
        <v>1</v>
      </c>
      <c r="AC304" s="18"/>
      <c r="AD304" s="18"/>
      <c r="AE304" s="18"/>
      <c r="AF304" s="18"/>
      <c r="AG304" s="18">
        <f t="shared" si="37"/>
        <v>1</v>
      </c>
      <c r="AH304" s="18">
        <v>5</v>
      </c>
      <c r="AI304" s="18"/>
      <c r="AJ304" s="18"/>
      <c r="AK304" s="18"/>
      <c r="AL304" s="18"/>
      <c r="AM304" s="18">
        <f t="shared" si="38"/>
        <v>5</v>
      </c>
      <c r="AN304" s="18"/>
      <c r="AO304" s="18"/>
      <c r="AP304" s="18">
        <f t="shared" si="32"/>
        <v>0</v>
      </c>
      <c r="AQ304" s="32">
        <f t="shared" si="39"/>
        <v>175</v>
      </c>
    </row>
    <row r="305" spans="1:43" x14ac:dyDescent="0.35">
      <c r="A305" s="126" t="s">
        <v>858</v>
      </c>
      <c r="B305" s="126" t="s">
        <v>1246</v>
      </c>
      <c r="C305" s="126" t="s">
        <v>1294</v>
      </c>
      <c r="D305" s="128">
        <v>20</v>
      </c>
      <c r="E305" s="128">
        <v>2</v>
      </c>
      <c r="F305" s="128">
        <v>1</v>
      </c>
      <c r="G305" s="128"/>
      <c r="H305" s="128"/>
      <c r="I305" s="18">
        <f t="shared" si="33"/>
        <v>23</v>
      </c>
      <c r="J305" s="128">
        <v>1</v>
      </c>
      <c r="K305" s="128"/>
      <c r="L305" s="128"/>
      <c r="M305" s="128"/>
      <c r="N305" s="128"/>
      <c r="O305" s="18">
        <f t="shared" si="34"/>
        <v>1</v>
      </c>
      <c r="P305" s="18">
        <v>4</v>
      </c>
      <c r="Q305" s="18"/>
      <c r="R305" s="18"/>
      <c r="S305" s="18"/>
      <c r="T305" s="18"/>
      <c r="U305" s="18">
        <f t="shared" si="35"/>
        <v>4</v>
      </c>
      <c r="V305" s="18"/>
      <c r="W305" s="18"/>
      <c r="X305" s="18"/>
      <c r="Y305" s="18"/>
      <c r="Z305" s="18"/>
      <c r="AA305" s="18">
        <f t="shared" si="36"/>
        <v>0</v>
      </c>
      <c r="AB305" s="18">
        <v>9</v>
      </c>
      <c r="AC305" s="18">
        <v>1</v>
      </c>
      <c r="AD305" s="18"/>
      <c r="AE305" s="18"/>
      <c r="AF305" s="18"/>
      <c r="AG305" s="18">
        <f t="shared" si="37"/>
        <v>10</v>
      </c>
      <c r="AH305" s="18">
        <v>5</v>
      </c>
      <c r="AI305" s="18"/>
      <c r="AJ305" s="18"/>
      <c r="AK305" s="18"/>
      <c r="AL305" s="18"/>
      <c r="AM305" s="18">
        <f t="shared" si="38"/>
        <v>5</v>
      </c>
      <c r="AN305" s="18"/>
      <c r="AO305" s="18"/>
      <c r="AP305" s="18">
        <f t="shared" si="32"/>
        <v>0</v>
      </c>
      <c r="AQ305" s="32">
        <f t="shared" si="39"/>
        <v>43</v>
      </c>
    </row>
    <row r="306" spans="1:43" x14ac:dyDescent="0.35">
      <c r="A306" s="126" t="s">
        <v>859</v>
      </c>
      <c r="B306" s="126" t="s">
        <v>860</v>
      </c>
      <c r="C306" s="126" t="s">
        <v>1294</v>
      </c>
      <c r="D306" s="128">
        <v>109</v>
      </c>
      <c r="E306" s="128">
        <v>1</v>
      </c>
      <c r="F306" s="128"/>
      <c r="G306" s="128"/>
      <c r="H306" s="128"/>
      <c r="I306" s="18">
        <f t="shared" si="33"/>
        <v>110</v>
      </c>
      <c r="J306" s="128">
        <v>148</v>
      </c>
      <c r="K306" s="128">
        <v>1</v>
      </c>
      <c r="L306" s="128"/>
      <c r="M306" s="128"/>
      <c r="N306" s="128"/>
      <c r="O306" s="18">
        <f t="shared" si="34"/>
        <v>149</v>
      </c>
      <c r="P306" s="18">
        <v>20</v>
      </c>
      <c r="Q306" s="18"/>
      <c r="R306" s="18"/>
      <c r="S306" s="18"/>
      <c r="T306" s="18"/>
      <c r="U306" s="18">
        <f t="shared" si="35"/>
        <v>20</v>
      </c>
      <c r="V306" s="18"/>
      <c r="W306" s="18"/>
      <c r="X306" s="18"/>
      <c r="Y306" s="18"/>
      <c r="Z306" s="18"/>
      <c r="AA306" s="18">
        <f t="shared" si="36"/>
        <v>0</v>
      </c>
      <c r="AB306" s="18">
        <v>100</v>
      </c>
      <c r="AC306" s="18"/>
      <c r="AD306" s="18"/>
      <c r="AE306" s="18"/>
      <c r="AF306" s="18"/>
      <c r="AG306" s="18">
        <f t="shared" si="37"/>
        <v>100</v>
      </c>
      <c r="AH306" s="18">
        <v>105</v>
      </c>
      <c r="AI306" s="18"/>
      <c r="AJ306" s="18"/>
      <c r="AK306" s="18"/>
      <c r="AL306" s="18"/>
      <c r="AM306" s="18">
        <f t="shared" si="38"/>
        <v>105</v>
      </c>
      <c r="AN306" s="18"/>
      <c r="AO306" s="18"/>
      <c r="AP306" s="18">
        <f t="shared" si="32"/>
        <v>0</v>
      </c>
      <c r="AQ306" s="32">
        <f t="shared" si="39"/>
        <v>484</v>
      </c>
    </row>
    <row r="307" spans="1:43" x14ac:dyDescent="0.35">
      <c r="A307" s="126" t="s">
        <v>861</v>
      </c>
      <c r="B307" s="126" t="s">
        <v>1247</v>
      </c>
      <c r="C307" s="126" t="s">
        <v>1294</v>
      </c>
      <c r="D307" s="128">
        <v>551</v>
      </c>
      <c r="E307" s="128">
        <v>7</v>
      </c>
      <c r="F307" s="128">
        <v>1</v>
      </c>
      <c r="G307" s="128">
        <v>1</v>
      </c>
      <c r="H307" s="128"/>
      <c r="I307" s="18">
        <f t="shared" si="33"/>
        <v>560</v>
      </c>
      <c r="J307" s="128">
        <v>135</v>
      </c>
      <c r="K307" s="128"/>
      <c r="L307" s="128"/>
      <c r="M307" s="128"/>
      <c r="N307" s="128"/>
      <c r="O307" s="18">
        <f t="shared" si="34"/>
        <v>135</v>
      </c>
      <c r="P307" s="18">
        <v>10</v>
      </c>
      <c r="Q307" s="18"/>
      <c r="R307" s="18"/>
      <c r="S307" s="18"/>
      <c r="T307" s="18"/>
      <c r="U307" s="18">
        <f t="shared" si="35"/>
        <v>10</v>
      </c>
      <c r="V307" s="18">
        <v>1</v>
      </c>
      <c r="W307" s="18"/>
      <c r="X307" s="18"/>
      <c r="Y307" s="18"/>
      <c r="Z307" s="18"/>
      <c r="AA307" s="18">
        <f t="shared" si="36"/>
        <v>1</v>
      </c>
      <c r="AB307" s="18">
        <v>14</v>
      </c>
      <c r="AC307" s="18"/>
      <c r="AD307" s="18"/>
      <c r="AE307" s="18"/>
      <c r="AF307" s="18"/>
      <c r="AG307" s="18">
        <f t="shared" si="37"/>
        <v>14</v>
      </c>
      <c r="AH307" s="18">
        <v>47</v>
      </c>
      <c r="AI307" s="18"/>
      <c r="AJ307" s="18"/>
      <c r="AK307" s="18"/>
      <c r="AL307" s="18"/>
      <c r="AM307" s="18">
        <f t="shared" si="38"/>
        <v>47</v>
      </c>
      <c r="AN307" s="18"/>
      <c r="AO307" s="18"/>
      <c r="AP307" s="18">
        <f t="shared" si="32"/>
        <v>0</v>
      </c>
      <c r="AQ307" s="32">
        <f t="shared" si="39"/>
        <v>767</v>
      </c>
    </row>
    <row r="308" spans="1:43" x14ac:dyDescent="0.35">
      <c r="A308" s="126" t="s">
        <v>862</v>
      </c>
      <c r="B308" s="126" t="s">
        <v>863</v>
      </c>
      <c r="C308" s="126" t="s">
        <v>1294</v>
      </c>
      <c r="D308" s="128">
        <v>4</v>
      </c>
      <c r="E308" s="128"/>
      <c r="F308" s="128"/>
      <c r="G308" s="128"/>
      <c r="H308" s="128"/>
      <c r="I308" s="18">
        <f t="shared" si="33"/>
        <v>4</v>
      </c>
      <c r="J308" s="128">
        <v>1</v>
      </c>
      <c r="K308" s="128"/>
      <c r="L308" s="128"/>
      <c r="M308" s="128"/>
      <c r="N308" s="128"/>
      <c r="O308" s="18">
        <f t="shared" si="34"/>
        <v>1</v>
      </c>
      <c r="P308" s="18">
        <v>1</v>
      </c>
      <c r="Q308" s="18"/>
      <c r="R308" s="18"/>
      <c r="S308" s="18"/>
      <c r="T308" s="18"/>
      <c r="U308" s="18">
        <f t="shared" si="35"/>
        <v>1</v>
      </c>
      <c r="V308" s="18"/>
      <c r="W308" s="18"/>
      <c r="X308" s="18"/>
      <c r="Y308" s="18"/>
      <c r="Z308" s="18"/>
      <c r="AA308" s="18">
        <f t="shared" si="36"/>
        <v>0</v>
      </c>
      <c r="AB308" s="18"/>
      <c r="AC308" s="18"/>
      <c r="AD308" s="18"/>
      <c r="AE308" s="18"/>
      <c r="AF308" s="18"/>
      <c r="AG308" s="18">
        <f t="shared" si="37"/>
        <v>0</v>
      </c>
      <c r="AH308" s="18"/>
      <c r="AI308" s="18"/>
      <c r="AJ308" s="18"/>
      <c r="AK308" s="18"/>
      <c r="AL308" s="18"/>
      <c r="AM308" s="18">
        <f t="shared" si="38"/>
        <v>0</v>
      </c>
      <c r="AN308" s="18"/>
      <c r="AO308" s="18"/>
      <c r="AP308" s="18">
        <f t="shared" si="32"/>
        <v>0</v>
      </c>
      <c r="AQ308" s="32">
        <f t="shared" si="39"/>
        <v>6</v>
      </c>
    </row>
    <row r="309" spans="1:43" x14ac:dyDescent="0.35">
      <c r="A309" s="126" t="s">
        <v>864</v>
      </c>
      <c r="B309" s="126" t="s">
        <v>1248</v>
      </c>
      <c r="C309" s="126" t="s">
        <v>1294</v>
      </c>
      <c r="D309" s="128">
        <v>158</v>
      </c>
      <c r="E309" s="128">
        <v>7</v>
      </c>
      <c r="F309" s="128">
        <v>1</v>
      </c>
      <c r="G309" s="128"/>
      <c r="H309" s="128"/>
      <c r="I309" s="18">
        <f t="shared" si="33"/>
        <v>166</v>
      </c>
      <c r="J309" s="128">
        <v>10</v>
      </c>
      <c r="K309" s="128"/>
      <c r="L309" s="128"/>
      <c r="M309" s="128"/>
      <c r="N309" s="128"/>
      <c r="O309" s="18">
        <f t="shared" si="34"/>
        <v>10</v>
      </c>
      <c r="P309" s="18">
        <v>14</v>
      </c>
      <c r="Q309" s="18"/>
      <c r="R309" s="18"/>
      <c r="S309" s="18"/>
      <c r="T309" s="18"/>
      <c r="U309" s="18">
        <f t="shared" si="35"/>
        <v>14</v>
      </c>
      <c r="V309" s="18">
        <v>21</v>
      </c>
      <c r="W309" s="18"/>
      <c r="X309" s="18"/>
      <c r="Y309" s="18"/>
      <c r="Z309" s="18"/>
      <c r="AA309" s="18">
        <f t="shared" si="36"/>
        <v>21</v>
      </c>
      <c r="AB309" s="18">
        <v>11</v>
      </c>
      <c r="AC309" s="18"/>
      <c r="AD309" s="18"/>
      <c r="AE309" s="18"/>
      <c r="AF309" s="18"/>
      <c r="AG309" s="18">
        <f t="shared" si="37"/>
        <v>11</v>
      </c>
      <c r="AH309" s="18">
        <v>1</v>
      </c>
      <c r="AI309" s="18"/>
      <c r="AJ309" s="18"/>
      <c r="AK309" s="18"/>
      <c r="AL309" s="18"/>
      <c r="AM309" s="18">
        <f t="shared" si="38"/>
        <v>1</v>
      </c>
      <c r="AN309" s="18"/>
      <c r="AO309" s="18"/>
      <c r="AP309" s="18">
        <f t="shared" si="32"/>
        <v>0</v>
      </c>
      <c r="AQ309" s="32">
        <f t="shared" si="39"/>
        <v>223</v>
      </c>
    </row>
    <row r="310" spans="1:43" x14ac:dyDescent="0.35">
      <c r="A310" s="126" t="s">
        <v>865</v>
      </c>
      <c r="B310" s="126" t="s">
        <v>866</v>
      </c>
      <c r="C310" s="126" t="s">
        <v>1294</v>
      </c>
      <c r="D310" s="128">
        <v>58</v>
      </c>
      <c r="E310" s="128">
        <v>1</v>
      </c>
      <c r="F310" s="128"/>
      <c r="G310" s="128"/>
      <c r="H310" s="128"/>
      <c r="I310" s="18">
        <f t="shared" si="33"/>
        <v>59</v>
      </c>
      <c r="J310" s="128">
        <v>5</v>
      </c>
      <c r="K310" s="128"/>
      <c r="L310" s="128"/>
      <c r="M310" s="128"/>
      <c r="N310" s="128"/>
      <c r="O310" s="18">
        <f t="shared" si="34"/>
        <v>5</v>
      </c>
      <c r="P310" s="18">
        <v>4</v>
      </c>
      <c r="Q310" s="18"/>
      <c r="R310" s="18"/>
      <c r="S310" s="18"/>
      <c r="T310" s="18"/>
      <c r="U310" s="18">
        <f t="shared" si="35"/>
        <v>4</v>
      </c>
      <c r="V310" s="18"/>
      <c r="W310" s="18"/>
      <c r="X310" s="18"/>
      <c r="Y310" s="18"/>
      <c r="Z310" s="18"/>
      <c r="AA310" s="18">
        <f t="shared" si="36"/>
        <v>0</v>
      </c>
      <c r="AB310" s="18"/>
      <c r="AC310" s="18"/>
      <c r="AD310" s="18"/>
      <c r="AE310" s="18"/>
      <c r="AF310" s="18"/>
      <c r="AG310" s="18">
        <f t="shared" si="37"/>
        <v>0</v>
      </c>
      <c r="AH310" s="18">
        <v>4</v>
      </c>
      <c r="AI310" s="18"/>
      <c r="AJ310" s="18"/>
      <c r="AK310" s="18"/>
      <c r="AL310" s="18"/>
      <c r="AM310" s="18">
        <f t="shared" si="38"/>
        <v>4</v>
      </c>
      <c r="AN310" s="18"/>
      <c r="AO310" s="18"/>
      <c r="AP310" s="18">
        <f t="shared" si="32"/>
        <v>0</v>
      </c>
      <c r="AQ310" s="32">
        <f t="shared" si="39"/>
        <v>72</v>
      </c>
    </row>
    <row r="311" spans="1:43" x14ac:dyDescent="0.35">
      <c r="A311" s="126" t="s">
        <v>867</v>
      </c>
      <c r="B311" s="126" t="s">
        <v>868</v>
      </c>
      <c r="C311" s="126" t="s">
        <v>1294</v>
      </c>
      <c r="D311" s="128">
        <v>3173</v>
      </c>
      <c r="E311" s="128">
        <v>125</v>
      </c>
      <c r="F311" s="128">
        <v>36</v>
      </c>
      <c r="G311" s="128">
        <v>5</v>
      </c>
      <c r="H311" s="128"/>
      <c r="I311" s="18">
        <f t="shared" si="33"/>
        <v>3339</v>
      </c>
      <c r="J311" s="128">
        <v>406</v>
      </c>
      <c r="K311" s="128">
        <v>1</v>
      </c>
      <c r="L311" s="128"/>
      <c r="M311" s="128"/>
      <c r="N311" s="128"/>
      <c r="O311" s="18">
        <f t="shared" si="34"/>
        <v>407</v>
      </c>
      <c r="P311" s="18">
        <v>284</v>
      </c>
      <c r="Q311" s="18">
        <v>1</v>
      </c>
      <c r="R311" s="18"/>
      <c r="S311" s="18"/>
      <c r="T311" s="18"/>
      <c r="U311" s="18">
        <f t="shared" si="35"/>
        <v>285</v>
      </c>
      <c r="V311" s="18">
        <v>109</v>
      </c>
      <c r="W311" s="18"/>
      <c r="X311" s="18"/>
      <c r="Y311" s="18"/>
      <c r="Z311" s="18"/>
      <c r="AA311" s="18">
        <f t="shared" si="36"/>
        <v>109</v>
      </c>
      <c r="AB311" s="18">
        <v>643</v>
      </c>
      <c r="AC311" s="18">
        <v>6</v>
      </c>
      <c r="AD311" s="18"/>
      <c r="AE311" s="18"/>
      <c r="AF311" s="18"/>
      <c r="AG311" s="18">
        <f t="shared" si="37"/>
        <v>649</v>
      </c>
      <c r="AH311" s="18">
        <v>234</v>
      </c>
      <c r="AI311" s="18">
        <v>3</v>
      </c>
      <c r="AJ311" s="18">
        <v>2</v>
      </c>
      <c r="AK311" s="18"/>
      <c r="AL311" s="18"/>
      <c r="AM311" s="18">
        <f t="shared" si="38"/>
        <v>239</v>
      </c>
      <c r="AN311" s="18"/>
      <c r="AO311" s="18"/>
      <c r="AP311" s="18">
        <f t="shared" si="32"/>
        <v>0</v>
      </c>
      <c r="AQ311" s="32">
        <f t="shared" si="39"/>
        <v>5028</v>
      </c>
    </row>
    <row r="312" spans="1:43" x14ac:dyDescent="0.35">
      <c r="A312" s="126" t="s">
        <v>869</v>
      </c>
      <c r="B312" s="126" t="s">
        <v>870</v>
      </c>
      <c r="C312" s="126" t="s">
        <v>1294</v>
      </c>
      <c r="D312" s="128">
        <v>319</v>
      </c>
      <c r="E312" s="128">
        <v>16</v>
      </c>
      <c r="F312" s="128">
        <v>5</v>
      </c>
      <c r="G312" s="128">
        <v>4</v>
      </c>
      <c r="H312" s="128"/>
      <c r="I312" s="18">
        <f t="shared" si="33"/>
        <v>344</v>
      </c>
      <c r="J312" s="128">
        <v>16</v>
      </c>
      <c r="K312" s="128"/>
      <c r="L312" s="128"/>
      <c r="M312" s="128"/>
      <c r="N312" s="128"/>
      <c r="O312" s="18">
        <f t="shared" si="34"/>
        <v>16</v>
      </c>
      <c r="P312" s="18">
        <v>9</v>
      </c>
      <c r="Q312" s="18"/>
      <c r="R312" s="18">
        <v>1</v>
      </c>
      <c r="S312" s="18"/>
      <c r="T312" s="18"/>
      <c r="U312" s="18">
        <f t="shared" si="35"/>
        <v>10</v>
      </c>
      <c r="V312" s="18">
        <v>6</v>
      </c>
      <c r="W312" s="18"/>
      <c r="X312" s="18"/>
      <c r="Y312" s="18"/>
      <c r="Z312" s="18"/>
      <c r="AA312" s="18">
        <f t="shared" si="36"/>
        <v>6</v>
      </c>
      <c r="AB312" s="18">
        <v>55</v>
      </c>
      <c r="AC312" s="18">
        <v>1</v>
      </c>
      <c r="AD312" s="18"/>
      <c r="AE312" s="18"/>
      <c r="AF312" s="18"/>
      <c r="AG312" s="18">
        <f t="shared" si="37"/>
        <v>56</v>
      </c>
      <c r="AH312" s="18">
        <v>6</v>
      </c>
      <c r="AI312" s="18"/>
      <c r="AJ312" s="18"/>
      <c r="AK312" s="18"/>
      <c r="AL312" s="18"/>
      <c r="AM312" s="18">
        <f t="shared" si="38"/>
        <v>6</v>
      </c>
      <c r="AN312" s="18"/>
      <c r="AO312" s="18"/>
      <c r="AP312" s="18">
        <f t="shared" si="32"/>
        <v>0</v>
      </c>
      <c r="AQ312" s="32">
        <f t="shared" si="39"/>
        <v>438</v>
      </c>
    </row>
    <row r="313" spans="1:43" x14ac:dyDescent="0.35">
      <c r="A313" s="126" t="s">
        <v>871</v>
      </c>
      <c r="B313" s="126" t="s">
        <v>872</v>
      </c>
      <c r="C313" s="126" t="s">
        <v>1294</v>
      </c>
      <c r="D313" s="128">
        <v>1056</v>
      </c>
      <c r="E313" s="128">
        <v>9</v>
      </c>
      <c r="F313" s="128">
        <v>2</v>
      </c>
      <c r="G313" s="128"/>
      <c r="H313" s="128"/>
      <c r="I313" s="18">
        <f t="shared" si="33"/>
        <v>1067</v>
      </c>
      <c r="J313" s="128">
        <v>304</v>
      </c>
      <c r="K313" s="128"/>
      <c r="L313" s="128"/>
      <c r="M313" s="128"/>
      <c r="N313" s="128"/>
      <c r="O313" s="18">
        <f t="shared" si="34"/>
        <v>304</v>
      </c>
      <c r="P313" s="18">
        <v>385</v>
      </c>
      <c r="Q313" s="18"/>
      <c r="R313" s="18"/>
      <c r="S313" s="18"/>
      <c r="T313" s="18"/>
      <c r="U313" s="18">
        <f t="shared" si="35"/>
        <v>385</v>
      </c>
      <c r="V313" s="18">
        <v>32</v>
      </c>
      <c r="W313" s="18"/>
      <c r="X313" s="18"/>
      <c r="Y313" s="18"/>
      <c r="Z313" s="18"/>
      <c r="AA313" s="18">
        <f t="shared" si="36"/>
        <v>32</v>
      </c>
      <c r="AB313" s="18">
        <v>217</v>
      </c>
      <c r="AC313" s="18"/>
      <c r="AD313" s="18"/>
      <c r="AE313" s="18"/>
      <c r="AF313" s="18"/>
      <c r="AG313" s="18">
        <f t="shared" si="37"/>
        <v>217</v>
      </c>
      <c r="AH313" s="18">
        <v>89</v>
      </c>
      <c r="AI313" s="18">
        <v>1</v>
      </c>
      <c r="AJ313" s="18"/>
      <c r="AK313" s="18"/>
      <c r="AL313" s="18"/>
      <c r="AM313" s="18">
        <f t="shared" si="38"/>
        <v>90</v>
      </c>
      <c r="AN313" s="18"/>
      <c r="AO313" s="18"/>
      <c r="AP313" s="18">
        <f t="shared" si="32"/>
        <v>0</v>
      </c>
      <c r="AQ313" s="32">
        <f t="shared" si="39"/>
        <v>2095</v>
      </c>
    </row>
    <row r="314" spans="1:43" x14ac:dyDescent="0.35">
      <c r="A314" s="126" t="s">
        <v>873</v>
      </c>
      <c r="B314" s="126" t="s">
        <v>874</v>
      </c>
      <c r="C314" s="126" t="s">
        <v>1294</v>
      </c>
      <c r="D314" s="128">
        <v>1342</v>
      </c>
      <c r="E314" s="128">
        <v>7</v>
      </c>
      <c r="F314" s="128">
        <v>4</v>
      </c>
      <c r="G314" s="128">
        <v>1</v>
      </c>
      <c r="H314" s="128"/>
      <c r="I314" s="18">
        <f t="shared" si="33"/>
        <v>1354</v>
      </c>
      <c r="J314" s="128">
        <v>240</v>
      </c>
      <c r="K314" s="128"/>
      <c r="L314" s="128"/>
      <c r="M314" s="128"/>
      <c r="N314" s="128"/>
      <c r="O314" s="18">
        <f t="shared" si="34"/>
        <v>240</v>
      </c>
      <c r="P314" s="18">
        <v>144</v>
      </c>
      <c r="Q314" s="18">
        <v>1</v>
      </c>
      <c r="R314" s="18"/>
      <c r="S314" s="18"/>
      <c r="T314" s="18"/>
      <c r="U314" s="18">
        <f t="shared" si="35"/>
        <v>145</v>
      </c>
      <c r="V314" s="18">
        <v>39</v>
      </c>
      <c r="W314" s="18"/>
      <c r="X314" s="18"/>
      <c r="Y314" s="18"/>
      <c r="Z314" s="18"/>
      <c r="AA314" s="18">
        <f t="shared" si="36"/>
        <v>39</v>
      </c>
      <c r="AB314" s="18">
        <v>423</v>
      </c>
      <c r="AC314" s="18"/>
      <c r="AD314" s="18"/>
      <c r="AE314" s="18"/>
      <c r="AF314" s="18"/>
      <c r="AG314" s="18">
        <f t="shared" si="37"/>
        <v>423</v>
      </c>
      <c r="AH314" s="18">
        <v>204</v>
      </c>
      <c r="AI314" s="18"/>
      <c r="AJ314" s="18"/>
      <c r="AK314" s="18"/>
      <c r="AL314" s="18"/>
      <c r="AM314" s="18">
        <f t="shared" si="38"/>
        <v>204</v>
      </c>
      <c r="AN314" s="18"/>
      <c r="AO314" s="18"/>
      <c r="AP314" s="18">
        <f t="shared" si="32"/>
        <v>0</v>
      </c>
      <c r="AQ314" s="32">
        <f t="shared" si="39"/>
        <v>2405</v>
      </c>
    </row>
    <row r="315" spans="1:43" x14ac:dyDescent="0.35">
      <c r="A315" s="126" t="s">
        <v>875</v>
      </c>
      <c r="B315" s="126" t="s">
        <v>876</v>
      </c>
      <c r="C315" s="126" t="s">
        <v>1294</v>
      </c>
      <c r="D315" s="128">
        <v>229</v>
      </c>
      <c r="E315" s="128">
        <v>3</v>
      </c>
      <c r="F315" s="128">
        <v>2</v>
      </c>
      <c r="G315" s="128"/>
      <c r="H315" s="128"/>
      <c r="I315" s="18">
        <f t="shared" si="33"/>
        <v>234</v>
      </c>
      <c r="J315" s="128">
        <v>11</v>
      </c>
      <c r="K315" s="128"/>
      <c r="L315" s="128"/>
      <c r="M315" s="128"/>
      <c r="N315" s="128"/>
      <c r="O315" s="18">
        <f t="shared" si="34"/>
        <v>11</v>
      </c>
      <c r="P315" s="18">
        <v>6</v>
      </c>
      <c r="Q315" s="18"/>
      <c r="R315" s="18"/>
      <c r="S315" s="18"/>
      <c r="T315" s="18"/>
      <c r="U315" s="18">
        <f t="shared" si="35"/>
        <v>6</v>
      </c>
      <c r="V315" s="18">
        <v>8</v>
      </c>
      <c r="W315" s="18"/>
      <c r="X315" s="18"/>
      <c r="Y315" s="18"/>
      <c r="Z315" s="18"/>
      <c r="AA315" s="18">
        <f t="shared" si="36"/>
        <v>8</v>
      </c>
      <c r="AB315" s="18">
        <v>50</v>
      </c>
      <c r="AC315" s="18"/>
      <c r="AD315" s="18"/>
      <c r="AE315" s="18"/>
      <c r="AF315" s="18"/>
      <c r="AG315" s="18">
        <f t="shared" si="37"/>
        <v>50</v>
      </c>
      <c r="AH315" s="18">
        <v>18</v>
      </c>
      <c r="AI315" s="18"/>
      <c r="AJ315" s="18"/>
      <c r="AK315" s="18"/>
      <c r="AL315" s="18"/>
      <c r="AM315" s="18">
        <f t="shared" si="38"/>
        <v>18</v>
      </c>
      <c r="AN315" s="18"/>
      <c r="AO315" s="18"/>
      <c r="AP315" s="18">
        <f t="shared" ref="AP315:AP378" si="40">+AO315+AN315</f>
        <v>0</v>
      </c>
      <c r="AQ315" s="32">
        <f t="shared" si="39"/>
        <v>327</v>
      </c>
    </row>
    <row r="316" spans="1:43" x14ac:dyDescent="0.35">
      <c r="A316" s="126" t="s">
        <v>877</v>
      </c>
      <c r="B316" s="126" t="s">
        <v>878</v>
      </c>
      <c r="C316" s="126" t="s">
        <v>1294</v>
      </c>
      <c r="D316" s="128">
        <v>77</v>
      </c>
      <c r="E316" s="128">
        <v>4</v>
      </c>
      <c r="F316" s="128">
        <v>1</v>
      </c>
      <c r="G316" s="128">
        <v>1</v>
      </c>
      <c r="H316" s="128"/>
      <c r="I316" s="18">
        <f t="shared" si="33"/>
        <v>83</v>
      </c>
      <c r="J316" s="128">
        <v>4</v>
      </c>
      <c r="K316" s="128"/>
      <c r="L316" s="128"/>
      <c r="M316" s="128"/>
      <c r="N316" s="128"/>
      <c r="O316" s="18">
        <f t="shared" si="34"/>
        <v>4</v>
      </c>
      <c r="P316" s="18">
        <v>1</v>
      </c>
      <c r="Q316" s="18"/>
      <c r="R316" s="18"/>
      <c r="S316" s="18"/>
      <c r="T316" s="18"/>
      <c r="U316" s="18">
        <f t="shared" si="35"/>
        <v>1</v>
      </c>
      <c r="V316" s="18">
        <v>5</v>
      </c>
      <c r="W316" s="18"/>
      <c r="X316" s="18"/>
      <c r="Y316" s="18"/>
      <c r="Z316" s="18"/>
      <c r="AA316" s="18">
        <f t="shared" si="36"/>
        <v>5</v>
      </c>
      <c r="AB316" s="18">
        <v>13</v>
      </c>
      <c r="AC316" s="18"/>
      <c r="AD316" s="18"/>
      <c r="AE316" s="18"/>
      <c r="AF316" s="18"/>
      <c r="AG316" s="18">
        <f t="shared" si="37"/>
        <v>13</v>
      </c>
      <c r="AH316" s="18">
        <v>1</v>
      </c>
      <c r="AI316" s="18">
        <v>1</v>
      </c>
      <c r="AJ316" s="18"/>
      <c r="AK316" s="18"/>
      <c r="AL316" s="18"/>
      <c r="AM316" s="18">
        <f t="shared" si="38"/>
        <v>2</v>
      </c>
      <c r="AN316" s="18"/>
      <c r="AO316" s="18"/>
      <c r="AP316" s="18">
        <f t="shared" si="40"/>
        <v>0</v>
      </c>
      <c r="AQ316" s="32">
        <f t="shared" si="39"/>
        <v>108</v>
      </c>
    </row>
    <row r="317" spans="1:43" x14ac:dyDescent="0.35">
      <c r="A317" s="126" t="s">
        <v>879</v>
      </c>
      <c r="B317" s="126" t="s">
        <v>880</v>
      </c>
      <c r="C317" s="126" t="s">
        <v>1294</v>
      </c>
      <c r="D317" s="128">
        <v>2670</v>
      </c>
      <c r="E317" s="128">
        <v>21</v>
      </c>
      <c r="F317" s="128">
        <v>5</v>
      </c>
      <c r="G317" s="128"/>
      <c r="H317" s="128"/>
      <c r="I317" s="18">
        <f t="shared" si="33"/>
        <v>2696</v>
      </c>
      <c r="J317" s="128">
        <v>847</v>
      </c>
      <c r="K317" s="128"/>
      <c r="L317" s="128"/>
      <c r="M317" s="128"/>
      <c r="N317" s="128"/>
      <c r="O317" s="18">
        <f t="shared" si="34"/>
        <v>847</v>
      </c>
      <c r="P317" s="18">
        <v>363</v>
      </c>
      <c r="Q317" s="18"/>
      <c r="R317" s="18"/>
      <c r="S317" s="18"/>
      <c r="T317" s="18"/>
      <c r="U317" s="18">
        <f t="shared" si="35"/>
        <v>363</v>
      </c>
      <c r="V317" s="18">
        <v>199</v>
      </c>
      <c r="W317" s="18"/>
      <c r="X317" s="18"/>
      <c r="Y317" s="18"/>
      <c r="Z317" s="18"/>
      <c r="AA317" s="18">
        <f t="shared" si="36"/>
        <v>199</v>
      </c>
      <c r="AB317" s="18">
        <v>665</v>
      </c>
      <c r="AC317" s="18">
        <v>1</v>
      </c>
      <c r="AD317" s="18"/>
      <c r="AE317" s="18"/>
      <c r="AF317" s="18"/>
      <c r="AG317" s="18">
        <f t="shared" si="37"/>
        <v>666</v>
      </c>
      <c r="AH317" s="18">
        <v>373</v>
      </c>
      <c r="AI317" s="18"/>
      <c r="AJ317" s="18"/>
      <c r="AK317" s="18"/>
      <c r="AL317" s="18"/>
      <c r="AM317" s="18">
        <f t="shared" si="38"/>
        <v>373</v>
      </c>
      <c r="AN317" s="18"/>
      <c r="AO317" s="18"/>
      <c r="AP317" s="18">
        <f t="shared" si="40"/>
        <v>0</v>
      </c>
      <c r="AQ317" s="32">
        <f t="shared" si="39"/>
        <v>5144</v>
      </c>
    </row>
    <row r="318" spans="1:43" x14ac:dyDescent="0.35">
      <c r="A318" s="126" t="s">
        <v>881</v>
      </c>
      <c r="B318" s="126" t="s">
        <v>882</v>
      </c>
      <c r="C318" s="126" t="s">
        <v>1294</v>
      </c>
      <c r="D318" s="128">
        <v>44</v>
      </c>
      <c r="E318" s="128">
        <v>2</v>
      </c>
      <c r="F318" s="128">
        <v>1</v>
      </c>
      <c r="G318" s="128"/>
      <c r="H318" s="128"/>
      <c r="I318" s="18">
        <f t="shared" si="33"/>
        <v>47</v>
      </c>
      <c r="J318" s="128"/>
      <c r="K318" s="128"/>
      <c r="L318" s="128"/>
      <c r="M318" s="128"/>
      <c r="N318" s="128"/>
      <c r="O318" s="18">
        <f t="shared" si="34"/>
        <v>0</v>
      </c>
      <c r="P318" s="18"/>
      <c r="Q318" s="18"/>
      <c r="R318" s="18"/>
      <c r="S318" s="18"/>
      <c r="T318" s="18"/>
      <c r="U318" s="18">
        <f t="shared" si="35"/>
        <v>0</v>
      </c>
      <c r="V318" s="18"/>
      <c r="W318" s="18"/>
      <c r="X318" s="18"/>
      <c r="Y318" s="18"/>
      <c r="Z318" s="18"/>
      <c r="AA318" s="18">
        <f t="shared" si="36"/>
        <v>0</v>
      </c>
      <c r="AB318" s="18">
        <v>3</v>
      </c>
      <c r="AC318" s="18"/>
      <c r="AD318" s="18"/>
      <c r="AE318" s="18"/>
      <c r="AF318" s="18"/>
      <c r="AG318" s="18">
        <f t="shared" si="37"/>
        <v>3</v>
      </c>
      <c r="AH318" s="18">
        <v>1</v>
      </c>
      <c r="AI318" s="18"/>
      <c r="AJ318" s="18"/>
      <c r="AK318" s="18"/>
      <c r="AL318" s="18"/>
      <c r="AM318" s="18">
        <f t="shared" si="38"/>
        <v>1</v>
      </c>
      <c r="AN318" s="18"/>
      <c r="AO318" s="18"/>
      <c r="AP318" s="18">
        <f t="shared" si="40"/>
        <v>0</v>
      </c>
      <c r="AQ318" s="32">
        <f t="shared" si="39"/>
        <v>51</v>
      </c>
    </row>
    <row r="319" spans="1:43" x14ac:dyDescent="0.35">
      <c r="A319" s="126" t="s">
        <v>883</v>
      </c>
      <c r="B319" s="126" t="s">
        <v>884</v>
      </c>
      <c r="C319" s="126" t="s">
        <v>1294</v>
      </c>
      <c r="D319" s="128">
        <v>25</v>
      </c>
      <c r="E319" s="128">
        <v>2</v>
      </c>
      <c r="F319" s="128">
        <v>1</v>
      </c>
      <c r="G319" s="128">
        <v>1</v>
      </c>
      <c r="H319" s="128"/>
      <c r="I319" s="18">
        <f t="shared" si="33"/>
        <v>29</v>
      </c>
      <c r="J319" s="128">
        <v>1</v>
      </c>
      <c r="K319" s="128"/>
      <c r="L319" s="128"/>
      <c r="M319" s="128"/>
      <c r="N319" s="128"/>
      <c r="O319" s="18">
        <f t="shared" si="34"/>
        <v>1</v>
      </c>
      <c r="P319" s="18"/>
      <c r="Q319" s="18"/>
      <c r="R319" s="18"/>
      <c r="S319" s="18"/>
      <c r="T319" s="18"/>
      <c r="U319" s="18">
        <f t="shared" si="35"/>
        <v>0</v>
      </c>
      <c r="V319" s="18"/>
      <c r="W319" s="18"/>
      <c r="X319" s="18"/>
      <c r="Y319" s="18"/>
      <c r="Z319" s="18"/>
      <c r="AA319" s="18">
        <f t="shared" si="36"/>
        <v>0</v>
      </c>
      <c r="AB319" s="18">
        <v>2</v>
      </c>
      <c r="AC319" s="18"/>
      <c r="AD319" s="18"/>
      <c r="AE319" s="18"/>
      <c r="AF319" s="18"/>
      <c r="AG319" s="18">
        <f t="shared" si="37"/>
        <v>2</v>
      </c>
      <c r="AH319" s="18">
        <v>1</v>
      </c>
      <c r="AI319" s="18"/>
      <c r="AJ319" s="18"/>
      <c r="AK319" s="18"/>
      <c r="AL319" s="18"/>
      <c r="AM319" s="18">
        <f t="shared" si="38"/>
        <v>1</v>
      </c>
      <c r="AN319" s="18"/>
      <c r="AO319" s="18"/>
      <c r="AP319" s="18">
        <f t="shared" si="40"/>
        <v>0</v>
      </c>
      <c r="AQ319" s="32">
        <f t="shared" si="39"/>
        <v>33</v>
      </c>
    </row>
    <row r="320" spans="1:43" x14ac:dyDescent="0.35">
      <c r="A320" s="126" t="s">
        <v>885</v>
      </c>
      <c r="B320" s="126" t="s">
        <v>886</v>
      </c>
      <c r="C320" s="126" t="s">
        <v>1294</v>
      </c>
      <c r="D320" s="128">
        <v>22</v>
      </c>
      <c r="E320" s="128">
        <v>1</v>
      </c>
      <c r="F320" s="128"/>
      <c r="G320" s="128"/>
      <c r="H320" s="128"/>
      <c r="I320" s="18">
        <f t="shared" si="33"/>
        <v>23</v>
      </c>
      <c r="J320" s="128">
        <v>2</v>
      </c>
      <c r="K320" s="128"/>
      <c r="L320" s="128"/>
      <c r="M320" s="128"/>
      <c r="N320" s="128"/>
      <c r="O320" s="18">
        <f t="shared" si="34"/>
        <v>2</v>
      </c>
      <c r="P320" s="18">
        <v>3</v>
      </c>
      <c r="Q320" s="18"/>
      <c r="R320" s="18"/>
      <c r="S320" s="18"/>
      <c r="T320" s="18"/>
      <c r="U320" s="18">
        <f t="shared" si="35"/>
        <v>3</v>
      </c>
      <c r="V320" s="18">
        <v>2</v>
      </c>
      <c r="W320" s="18"/>
      <c r="X320" s="18"/>
      <c r="Y320" s="18"/>
      <c r="Z320" s="18"/>
      <c r="AA320" s="18">
        <f t="shared" si="36"/>
        <v>2</v>
      </c>
      <c r="AB320" s="18">
        <v>3</v>
      </c>
      <c r="AC320" s="18"/>
      <c r="AD320" s="18"/>
      <c r="AE320" s="18"/>
      <c r="AF320" s="18"/>
      <c r="AG320" s="18">
        <f t="shared" si="37"/>
        <v>3</v>
      </c>
      <c r="AH320" s="18">
        <v>2</v>
      </c>
      <c r="AI320" s="18"/>
      <c r="AJ320" s="18"/>
      <c r="AK320" s="18"/>
      <c r="AL320" s="18"/>
      <c r="AM320" s="18">
        <f t="shared" si="38"/>
        <v>2</v>
      </c>
      <c r="AN320" s="18"/>
      <c r="AO320" s="18"/>
      <c r="AP320" s="18">
        <f t="shared" si="40"/>
        <v>0</v>
      </c>
      <c r="AQ320" s="32">
        <f t="shared" si="39"/>
        <v>35</v>
      </c>
    </row>
    <row r="321" spans="1:43" x14ac:dyDescent="0.35">
      <c r="A321" s="126" t="s">
        <v>887</v>
      </c>
      <c r="B321" s="126" t="s">
        <v>888</v>
      </c>
      <c r="C321" s="126" t="s">
        <v>1294</v>
      </c>
      <c r="D321" s="128">
        <v>103</v>
      </c>
      <c r="E321" s="128">
        <v>15</v>
      </c>
      <c r="F321" s="128">
        <v>5</v>
      </c>
      <c r="G321" s="128"/>
      <c r="H321" s="128"/>
      <c r="I321" s="18">
        <f t="shared" si="33"/>
        <v>123</v>
      </c>
      <c r="J321" s="128"/>
      <c r="K321" s="128"/>
      <c r="L321" s="128"/>
      <c r="M321" s="128"/>
      <c r="N321" s="128"/>
      <c r="O321" s="18">
        <f t="shared" si="34"/>
        <v>0</v>
      </c>
      <c r="P321" s="18">
        <v>1</v>
      </c>
      <c r="Q321" s="18"/>
      <c r="R321" s="18"/>
      <c r="S321" s="18"/>
      <c r="T321" s="18"/>
      <c r="U321" s="18">
        <f t="shared" si="35"/>
        <v>1</v>
      </c>
      <c r="V321" s="18">
        <v>1</v>
      </c>
      <c r="W321" s="18"/>
      <c r="X321" s="18"/>
      <c r="Y321" s="18"/>
      <c r="Z321" s="18"/>
      <c r="AA321" s="18">
        <f t="shared" si="36"/>
        <v>1</v>
      </c>
      <c r="AB321" s="18">
        <v>5</v>
      </c>
      <c r="AC321" s="18"/>
      <c r="AD321" s="18"/>
      <c r="AE321" s="18"/>
      <c r="AF321" s="18"/>
      <c r="AG321" s="18">
        <f t="shared" si="37"/>
        <v>5</v>
      </c>
      <c r="AH321" s="18"/>
      <c r="AI321" s="18"/>
      <c r="AJ321" s="18"/>
      <c r="AK321" s="18"/>
      <c r="AL321" s="18"/>
      <c r="AM321" s="18">
        <f t="shared" si="38"/>
        <v>0</v>
      </c>
      <c r="AN321" s="18"/>
      <c r="AO321" s="18"/>
      <c r="AP321" s="18">
        <f t="shared" si="40"/>
        <v>0</v>
      </c>
      <c r="AQ321" s="32">
        <f t="shared" si="39"/>
        <v>130</v>
      </c>
    </row>
    <row r="322" spans="1:43" x14ac:dyDescent="0.35">
      <c r="A322" s="126" t="s">
        <v>889</v>
      </c>
      <c r="B322" s="126" t="s">
        <v>890</v>
      </c>
      <c r="C322" s="126" t="s">
        <v>1294</v>
      </c>
      <c r="D322" s="128">
        <v>179</v>
      </c>
      <c r="E322" s="128">
        <v>12</v>
      </c>
      <c r="F322" s="128">
        <v>3</v>
      </c>
      <c r="G322" s="128"/>
      <c r="H322" s="128"/>
      <c r="I322" s="18">
        <f t="shared" si="33"/>
        <v>194</v>
      </c>
      <c r="J322" s="128">
        <v>6</v>
      </c>
      <c r="K322" s="128"/>
      <c r="L322" s="128"/>
      <c r="M322" s="128"/>
      <c r="N322" s="128"/>
      <c r="O322" s="18">
        <f t="shared" si="34"/>
        <v>6</v>
      </c>
      <c r="P322" s="18"/>
      <c r="Q322" s="18"/>
      <c r="R322" s="18"/>
      <c r="S322" s="18"/>
      <c r="T322" s="18"/>
      <c r="U322" s="18">
        <f t="shared" si="35"/>
        <v>0</v>
      </c>
      <c r="V322" s="18"/>
      <c r="W322" s="18"/>
      <c r="X322" s="18"/>
      <c r="Y322" s="18"/>
      <c r="Z322" s="18"/>
      <c r="AA322" s="18">
        <f t="shared" si="36"/>
        <v>0</v>
      </c>
      <c r="AB322" s="18">
        <v>8</v>
      </c>
      <c r="AC322" s="18"/>
      <c r="AD322" s="18"/>
      <c r="AE322" s="18"/>
      <c r="AF322" s="18"/>
      <c r="AG322" s="18">
        <f t="shared" si="37"/>
        <v>8</v>
      </c>
      <c r="AH322" s="18">
        <v>1</v>
      </c>
      <c r="AI322" s="18"/>
      <c r="AJ322" s="18"/>
      <c r="AK322" s="18"/>
      <c r="AL322" s="18"/>
      <c r="AM322" s="18">
        <f t="shared" si="38"/>
        <v>1</v>
      </c>
      <c r="AN322" s="18"/>
      <c r="AO322" s="18"/>
      <c r="AP322" s="18">
        <f t="shared" si="40"/>
        <v>0</v>
      </c>
      <c r="AQ322" s="32">
        <f t="shared" si="39"/>
        <v>209</v>
      </c>
    </row>
    <row r="323" spans="1:43" x14ac:dyDescent="0.35">
      <c r="A323" s="126" t="s">
        <v>891</v>
      </c>
      <c r="B323" s="126" t="s">
        <v>1249</v>
      </c>
      <c r="C323" s="126" t="s">
        <v>1294</v>
      </c>
      <c r="D323" s="128">
        <v>16</v>
      </c>
      <c r="E323" s="128"/>
      <c r="F323" s="128"/>
      <c r="G323" s="128"/>
      <c r="H323" s="128"/>
      <c r="I323" s="18">
        <f t="shared" si="33"/>
        <v>16</v>
      </c>
      <c r="J323" s="128"/>
      <c r="K323" s="128"/>
      <c r="L323" s="128"/>
      <c r="M323" s="128"/>
      <c r="N323" s="128"/>
      <c r="O323" s="18">
        <f t="shared" si="34"/>
        <v>0</v>
      </c>
      <c r="P323" s="18"/>
      <c r="Q323" s="18"/>
      <c r="R323" s="18"/>
      <c r="S323" s="18"/>
      <c r="T323" s="18"/>
      <c r="U323" s="18">
        <f t="shared" si="35"/>
        <v>0</v>
      </c>
      <c r="V323" s="18"/>
      <c r="W323" s="18"/>
      <c r="X323" s="18"/>
      <c r="Y323" s="18"/>
      <c r="Z323" s="18"/>
      <c r="AA323" s="18">
        <f t="shared" si="36"/>
        <v>0</v>
      </c>
      <c r="AB323" s="18"/>
      <c r="AC323" s="18"/>
      <c r="AD323" s="18"/>
      <c r="AE323" s="18"/>
      <c r="AF323" s="18"/>
      <c r="AG323" s="18">
        <f t="shared" si="37"/>
        <v>0</v>
      </c>
      <c r="AH323" s="18"/>
      <c r="AI323" s="18"/>
      <c r="AJ323" s="18"/>
      <c r="AK323" s="18"/>
      <c r="AL323" s="18"/>
      <c r="AM323" s="18">
        <f t="shared" si="38"/>
        <v>0</v>
      </c>
      <c r="AN323" s="18"/>
      <c r="AO323" s="18"/>
      <c r="AP323" s="18">
        <f t="shared" si="40"/>
        <v>0</v>
      </c>
      <c r="AQ323" s="32">
        <f t="shared" si="39"/>
        <v>16</v>
      </c>
    </row>
    <row r="324" spans="1:43" x14ac:dyDescent="0.35">
      <c r="A324" s="126" t="s">
        <v>892</v>
      </c>
      <c r="B324" s="126" t="s">
        <v>893</v>
      </c>
      <c r="C324" s="126" t="s">
        <v>1294</v>
      </c>
      <c r="D324" s="128">
        <v>4</v>
      </c>
      <c r="E324" s="128">
        <v>1</v>
      </c>
      <c r="F324" s="128"/>
      <c r="G324" s="128"/>
      <c r="H324" s="128"/>
      <c r="I324" s="18">
        <f t="shared" si="33"/>
        <v>5</v>
      </c>
      <c r="J324" s="128"/>
      <c r="K324" s="128"/>
      <c r="L324" s="128"/>
      <c r="M324" s="128"/>
      <c r="N324" s="128"/>
      <c r="O324" s="18">
        <f t="shared" si="34"/>
        <v>0</v>
      </c>
      <c r="P324" s="18"/>
      <c r="Q324" s="18"/>
      <c r="R324" s="18"/>
      <c r="S324" s="18"/>
      <c r="T324" s="18"/>
      <c r="U324" s="18">
        <f t="shared" si="35"/>
        <v>0</v>
      </c>
      <c r="V324" s="18"/>
      <c r="W324" s="18"/>
      <c r="X324" s="18"/>
      <c r="Y324" s="18"/>
      <c r="Z324" s="18"/>
      <c r="AA324" s="18">
        <f t="shared" si="36"/>
        <v>0</v>
      </c>
      <c r="AB324" s="18"/>
      <c r="AC324" s="18"/>
      <c r="AD324" s="18"/>
      <c r="AE324" s="18"/>
      <c r="AF324" s="18"/>
      <c r="AG324" s="18">
        <f t="shared" si="37"/>
        <v>0</v>
      </c>
      <c r="AH324" s="18"/>
      <c r="AI324" s="18"/>
      <c r="AJ324" s="18"/>
      <c r="AK324" s="18"/>
      <c r="AL324" s="18"/>
      <c r="AM324" s="18">
        <f t="shared" si="38"/>
        <v>0</v>
      </c>
      <c r="AN324" s="18"/>
      <c r="AO324" s="18"/>
      <c r="AP324" s="18">
        <f t="shared" si="40"/>
        <v>0</v>
      </c>
      <c r="AQ324" s="32">
        <f t="shared" si="39"/>
        <v>5</v>
      </c>
    </row>
    <row r="325" spans="1:43" x14ac:dyDescent="0.35">
      <c r="A325" s="126" t="s">
        <v>894</v>
      </c>
      <c r="B325" s="126" t="s">
        <v>895</v>
      </c>
      <c r="C325" s="126" t="s">
        <v>1294</v>
      </c>
      <c r="D325" s="128">
        <v>3</v>
      </c>
      <c r="E325" s="128"/>
      <c r="F325" s="128"/>
      <c r="G325" s="128"/>
      <c r="H325" s="128"/>
      <c r="I325" s="18">
        <f t="shared" si="33"/>
        <v>3</v>
      </c>
      <c r="J325" s="128"/>
      <c r="K325" s="128"/>
      <c r="L325" s="128"/>
      <c r="M325" s="128"/>
      <c r="N325" s="128"/>
      <c r="O325" s="18">
        <f t="shared" si="34"/>
        <v>0</v>
      </c>
      <c r="P325" s="18"/>
      <c r="Q325" s="18"/>
      <c r="R325" s="18"/>
      <c r="S325" s="18"/>
      <c r="T325" s="18"/>
      <c r="U325" s="18">
        <f t="shared" si="35"/>
        <v>0</v>
      </c>
      <c r="V325" s="18"/>
      <c r="W325" s="18"/>
      <c r="X325" s="18"/>
      <c r="Y325" s="18"/>
      <c r="Z325" s="18"/>
      <c r="AA325" s="18">
        <f t="shared" si="36"/>
        <v>0</v>
      </c>
      <c r="AB325" s="18">
        <v>2</v>
      </c>
      <c r="AC325" s="18"/>
      <c r="AD325" s="18"/>
      <c r="AE325" s="18"/>
      <c r="AF325" s="18"/>
      <c r="AG325" s="18">
        <f t="shared" si="37"/>
        <v>2</v>
      </c>
      <c r="AH325" s="18"/>
      <c r="AI325" s="18"/>
      <c r="AJ325" s="18"/>
      <c r="AK325" s="18"/>
      <c r="AL325" s="18"/>
      <c r="AM325" s="18">
        <f t="shared" si="38"/>
        <v>0</v>
      </c>
      <c r="AN325" s="18"/>
      <c r="AO325" s="18"/>
      <c r="AP325" s="18">
        <f t="shared" si="40"/>
        <v>0</v>
      </c>
      <c r="AQ325" s="32">
        <f t="shared" si="39"/>
        <v>5</v>
      </c>
    </row>
    <row r="326" spans="1:43" x14ac:dyDescent="0.35">
      <c r="A326" s="126" t="s">
        <v>896</v>
      </c>
      <c r="B326" s="126" t="s">
        <v>1250</v>
      </c>
      <c r="C326" s="126" t="s">
        <v>1294</v>
      </c>
      <c r="D326" s="128">
        <v>161</v>
      </c>
      <c r="E326" s="128">
        <v>3</v>
      </c>
      <c r="F326" s="128">
        <v>2</v>
      </c>
      <c r="G326" s="128">
        <v>1</v>
      </c>
      <c r="H326" s="128"/>
      <c r="I326" s="18">
        <f t="shared" ref="I326:I389" si="41">+SUM(D326:H326)</f>
        <v>167</v>
      </c>
      <c r="J326" s="128"/>
      <c r="K326" s="128"/>
      <c r="L326" s="128"/>
      <c r="M326" s="128"/>
      <c r="N326" s="128"/>
      <c r="O326" s="18">
        <f t="shared" ref="O326:O389" si="42">+SUM(J326:N326)</f>
        <v>0</v>
      </c>
      <c r="P326" s="18">
        <v>1</v>
      </c>
      <c r="Q326" s="18"/>
      <c r="R326" s="18"/>
      <c r="S326" s="18"/>
      <c r="T326" s="18"/>
      <c r="U326" s="18">
        <f t="shared" ref="U326:U389" si="43">+SUM(P326:T326)</f>
        <v>1</v>
      </c>
      <c r="V326" s="18">
        <v>1</v>
      </c>
      <c r="W326" s="18"/>
      <c r="X326" s="18"/>
      <c r="Y326" s="18"/>
      <c r="Z326" s="18"/>
      <c r="AA326" s="18">
        <f t="shared" ref="AA326:AA389" si="44">+SUM(V326:Z326)</f>
        <v>1</v>
      </c>
      <c r="AB326" s="18">
        <v>6</v>
      </c>
      <c r="AC326" s="18"/>
      <c r="AD326" s="18"/>
      <c r="AE326" s="18"/>
      <c r="AF326" s="18"/>
      <c r="AG326" s="18">
        <f t="shared" ref="AG326:AG389" si="45">+SUM(AB326:AF326)</f>
        <v>6</v>
      </c>
      <c r="AH326" s="18">
        <v>1</v>
      </c>
      <c r="AI326" s="18"/>
      <c r="AJ326" s="18"/>
      <c r="AK326" s="18"/>
      <c r="AL326" s="18"/>
      <c r="AM326" s="18">
        <f t="shared" ref="AM326:AM389" si="46">+SUM(AH326:AL326)</f>
        <v>1</v>
      </c>
      <c r="AN326" s="18"/>
      <c r="AO326" s="18"/>
      <c r="AP326" s="18">
        <f t="shared" si="40"/>
        <v>0</v>
      </c>
      <c r="AQ326" s="32">
        <f t="shared" ref="AQ326:AQ389" si="47">+AP326+AM326+AG326+AA326+U326+O326+I326</f>
        <v>176</v>
      </c>
    </row>
    <row r="327" spans="1:43" x14ac:dyDescent="0.35">
      <c r="A327" s="126" t="s">
        <v>897</v>
      </c>
      <c r="B327" s="126" t="s">
        <v>898</v>
      </c>
      <c r="C327" s="126" t="s">
        <v>1294</v>
      </c>
      <c r="D327" s="128">
        <v>29</v>
      </c>
      <c r="E327" s="128">
        <v>2</v>
      </c>
      <c r="F327" s="128"/>
      <c r="G327" s="128"/>
      <c r="H327" s="128"/>
      <c r="I327" s="18">
        <f t="shared" si="41"/>
        <v>31</v>
      </c>
      <c r="J327" s="128">
        <v>3</v>
      </c>
      <c r="K327" s="128"/>
      <c r="L327" s="128"/>
      <c r="M327" s="128"/>
      <c r="N327" s="128"/>
      <c r="O327" s="18">
        <f t="shared" si="42"/>
        <v>3</v>
      </c>
      <c r="P327" s="18"/>
      <c r="Q327" s="18"/>
      <c r="R327" s="18"/>
      <c r="S327" s="18"/>
      <c r="T327" s="18"/>
      <c r="U327" s="18">
        <f t="shared" si="43"/>
        <v>0</v>
      </c>
      <c r="V327" s="18">
        <v>1</v>
      </c>
      <c r="W327" s="18"/>
      <c r="X327" s="18"/>
      <c r="Y327" s="18"/>
      <c r="Z327" s="18"/>
      <c r="AA327" s="18">
        <f t="shared" si="44"/>
        <v>1</v>
      </c>
      <c r="AB327" s="18">
        <v>2</v>
      </c>
      <c r="AC327" s="18"/>
      <c r="AD327" s="18"/>
      <c r="AE327" s="18"/>
      <c r="AF327" s="18"/>
      <c r="AG327" s="18">
        <f t="shared" si="45"/>
        <v>2</v>
      </c>
      <c r="AH327" s="18">
        <v>2</v>
      </c>
      <c r="AI327" s="18"/>
      <c r="AJ327" s="18"/>
      <c r="AK327" s="18"/>
      <c r="AL327" s="18"/>
      <c r="AM327" s="18">
        <f t="shared" si="46"/>
        <v>2</v>
      </c>
      <c r="AN327" s="18"/>
      <c r="AO327" s="18"/>
      <c r="AP327" s="18">
        <f t="shared" si="40"/>
        <v>0</v>
      </c>
      <c r="AQ327" s="32">
        <f t="shared" si="47"/>
        <v>39</v>
      </c>
    </row>
    <row r="328" spans="1:43" x14ac:dyDescent="0.35">
      <c r="A328" s="126" t="s">
        <v>899</v>
      </c>
      <c r="B328" s="126" t="s">
        <v>900</v>
      </c>
      <c r="C328" s="126" t="s">
        <v>1294</v>
      </c>
      <c r="D328" s="128">
        <v>9</v>
      </c>
      <c r="E328" s="128"/>
      <c r="F328" s="128">
        <v>2</v>
      </c>
      <c r="G328" s="128">
        <v>2</v>
      </c>
      <c r="H328" s="128"/>
      <c r="I328" s="18">
        <f t="shared" si="41"/>
        <v>13</v>
      </c>
      <c r="J328" s="128">
        <v>2</v>
      </c>
      <c r="K328" s="128"/>
      <c r="L328" s="128"/>
      <c r="M328" s="128"/>
      <c r="N328" s="128"/>
      <c r="O328" s="18">
        <f t="shared" si="42"/>
        <v>2</v>
      </c>
      <c r="P328" s="18">
        <v>5</v>
      </c>
      <c r="Q328" s="18"/>
      <c r="R328" s="18"/>
      <c r="S328" s="18"/>
      <c r="T328" s="18"/>
      <c r="U328" s="18">
        <f t="shared" si="43"/>
        <v>5</v>
      </c>
      <c r="V328" s="18">
        <v>1</v>
      </c>
      <c r="W328" s="18"/>
      <c r="X328" s="18"/>
      <c r="Y328" s="18"/>
      <c r="Z328" s="18"/>
      <c r="AA328" s="18">
        <f t="shared" si="44"/>
        <v>1</v>
      </c>
      <c r="AB328" s="18">
        <v>1</v>
      </c>
      <c r="AC328" s="18"/>
      <c r="AD328" s="18"/>
      <c r="AE328" s="18"/>
      <c r="AF328" s="18"/>
      <c r="AG328" s="18">
        <f t="shared" si="45"/>
        <v>1</v>
      </c>
      <c r="AH328" s="18">
        <v>1</v>
      </c>
      <c r="AI328" s="18"/>
      <c r="AJ328" s="18"/>
      <c r="AK328" s="18"/>
      <c r="AL328" s="18"/>
      <c r="AM328" s="18">
        <f t="shared" si="46"/>
        <v>1</v>
      </c>
      <c r="AN328" s="18"/>
      <c r="AO328" s="18"/>
      <c r="AP328" s="18">
        <f t="shared" si="40"/>
        <v>0</v>
      </c>
      <c r="AQ328" s="32">
        <f t="shared" si="47"/>
        <v>23</v>
      </c>
    </row>
    <row r="329" spans="1:43" x14ac:dyDescent="0.35">
      <c r="A329" s="126" t="s">
        <v>901</v>
      </c>
      <c r="B329" s="126" t="s">
        <v>902</v>
      </c>
      <c r="C329" s="126" t="s">
        <v>1294</v>
      </c>
      <c r="D329" s="128">
        <v>62</v>
      </c>
      <c r="E329" s="128">
        <v>5</v>
      </c>
      <c r="F329" s="128">
        <v>2</v>
      </c>
      <c r="G329" s="128">
        <v>2</v>
      </c>
      <c r="H329" s="128"/>
      <c r="I329" s="18">
        <f t="shared" si="41"/>
        <v>71</v>
      </c>
      <c r="J329" s="128">
        <v>13</v>
      </c>
      <c r="K329" s="128"/>
      <c r="L329" s="128"/>
      <c r="M329" s="128"/>
      <c r="N329" s="128"/>
      <c r="O329" s="18">
        <f t="shared" si="42"/>
        <v>13</v>
      </c>
      <c r="P329" s="18">
        <v>6</v>
      </c>
      <c r="Q329" s="18">
        <v>3</v>
      </c>
      <c r="R329" s="18"/>
      <c r="S329" s="18"/>
      <c r="T329" s="18"/>
      <c r="U329" s="18">
        <f t="shared" si="43"/>
        <v>9</v>
      </c>
      <c r="V329" s="18">
        <v>7</v>
      </c>
      <c r="W329" s="18"/>
      <c r="X329" s="18"/>
      <c r="Y329" s="18"/>
      <c r="Z329" s="18"/>
      <c r="AA329" s="18">
        <f t="shared" si="44"/>
        <v>7</v>
      </c>
      <c r="AB329" s="18">
        <v>9</v>
      </c>
      <c r="AC329" s="18">
        <v>1</v>
      </c>
      <c r="AD329" s="18"/>
      <c r="AE329" s="18"/>
      <c r="AF329" s="18"/>
      <c r="AG329" s="18">
        <f t="shared" si="45"/>
        <v>10</v>
      </c>
      <c r="AH329" s="18">
        <v>9</v>
      </c>
      <c r="AI329" s="18">
        <v>1</v>
      </c>
      <c r="AJ329" s="18"/>
      <c r="AK329" s="18"/>
      <c r="AL329" s="18"/>
      <c r="AM329" s="18">
        <f t="shared" si="46"/>
        <v>10</v>
      </c>
      <c r="AN329" s="18"/>
      <c r="AO329" s="18"/>
      <c r="AP329" s="18">
        <f t="shared" si="40"/>
        <v>0</v>
      </c>
      <c r="AQ329" s="32">
        <f t="shared" si="47"/>
        <v>120</v>
      </c>
    </row>
    <row r="330" spans="1:43" x14ac:dyDescent="0.35">
      <c r="A330" s="126" t="s">
        <v>903</v>
      </c>
      <c r="B330" s="126" t="s">
        <v>904</v>
      </c>
      <c r="C330" s="126" t="s">
        <v>1294</v>
      </c>
      <c r="D330" s="128">
        <v>59</v>
      </c>
      <c r="E330" s="128">
        <v>3</v>
      </c>
      <c r="F330" s="128">
        <v>1</v>
      </c>
      <c r="G330" s="128">
        <v>1</v>
      </c>
      <c r="H330" s="128"/>
      <c r="I330" s="18">
        <f t="shared" si="41"/>
        <v>64</v>
      </c>
      <c r="J330" s="128">
        <v>16</v>
      </c>
      <c r="K330" s="128"/>
      <c r="L330" s="128"/>
      <c r="M330" s="128"/>
      <c r="N330" s="128"/>
      <c r="O330" s="18">
        <f t="shared" si="42"/>
        <v>16</v>
      </c>
      <c r="P330" s="18">
        <v>4</v>
      </c>
      <c r="Q330" s="18"/>
      <c r="R330" s="18"/>
      <c r="S330" s="18"/>
      <c r="T330" s="18"/>
      <c r="U330" s="18">
        <f t="shared" si="43"/>
        <v>4</v>
      </c>
      <c r="V330" s="18">
        <v>1</v>
      </c>
      <c r="W330" s="18"/>
      <c r="X330" s="18"/>
      <c r="Y330" s="18"/>
      <c r="Z330" s="18"/>
      <c r="AA330" s="18">
        <f t="shared" si="44"/>
        <v>1</v>
      </c>
      <c r="AB330" s="18">
        <v>8</v>
      </c>
      <c r="AC330" s="18"/>
      <c r="AD330" s="18"/>
      <c r="AE330" s="18"/>
      <c r="AF330" s="18"/>
      <c r="AG330" s="18">
        <f t="shared" si="45"/>
        <v>8</v>
      </c>
      <c r="AH330" s="18">
        <v>3</v>
      </c>
      <c r="AI330" s="18"/>
      <c r="AJ330" s="18"/>
      <c r="AK330" s="18"/>
      <c r="AL330" s="18"/>
      <c r="AM330" s="18">
        <f t="shared" si="46"/>
        <v>3</v>
      </c>
      <c r="AN330" s="18"/>
      <c r="AO330" s="18"/>
      <c r="AP330" s="18">
        <f t="shared" si="40"/>
        <v>0</v>
      </c>
      <c r="AQ330" s="32">
        <f t="shared" si="47"/>
        <v>96</v>
      </c>
    </row>
    <row r="331" spans="1:43" x14ac:dyDescent="0.35">
      <c r="A331" s="126" t="s">
        <v>905</v>
      </c>
      <c r="B331" s="126" t="s">
        <v>906</v>
      </c>
      <c r="C331" s="126" t="s">
        <v>1294</v>
      </c>
      <c r="D331" s="128">
        <v>5</v>
      </c>
      <c r="E331" s="128"/>
      <c r="F331" s="128"/>
      <c r="G331" s="128"/>
      <c r="H331" s="128"/>
      <c r="I331" s="18">
        <f t="shared" si="41"/>
        <v>5</v>
      </c>
      <c r="J331" s="128">
        <v>1</v>
      </c>
      <c r="K331" s="128"/>
      <c r="L331" s="128"/>
      <c r="M331" s="128"/>
      <c r="N331" s="128"/>
      <c r="O331" s="18">
        <f t="shared" si="42"/>
        <v>1</v>
      </c>
      <c r="P331" s="18">
        <v>2</v>
      </c>
      <c r="Q331" s="18"/>
      <c r="R331" s="18"/>
      <c r="S331" s="18"/>
      <c r="T331" s="18"/>
      <c r="U331" s="18">
        <f t="shared" si="43"/>
        <v>2</v>
      </c>
      <c r="V331" s="18">
        <v>3</v>
      </c>
      <c r="W331" s="18"/>
      <c r="X331" s="18"/>
      <c r="Y331" s="18"/>
      <c r="Z331" s="18"/>
      <c r="AA331" s="18">
        <f t="shared" si="44"/>
        <v>3</v>
      </c>
      <c r="AB331" s="18">
        <v>1</v>
      </c>
      <c r="AC331" s="18"/>
      <c r="AD331" s="18"/>
      <c r="AE331" s="18"/>
      <c r="AF331" s="18"/>
      <c r="AG331" s="18">
        <f t="shared" si="45"/>
        <v>1</v>
      </c>
      <c r="AH331" s="18"/>
      <c r="AI331" s="18"/>
      <c r="AJ331" s="18"/>
      <c r="AK331" s="18"/>
      <c r="AL331" s="18"/>
      <c r="AM331" s="18">
        <f t="shared" si="46"/>
        <v>0</v>
      </c>
      <c r="AN331" s="18"/>
      <c r="AO331" s="18"/>
      <c r="AP331" s="18">
        <f t="shared" si="40"/>
        <v>0</v>
      </c>
      <c r="AQ331" s="32">
        <f t="shared" si="47"/>
        <v>12</v>
      </c>
    </row>
    <row r="332" spans="1:43" x14ac:dyDescent="0.35">
      <c r="A332" s="126" t="s">
        <v>907</v>
      </c>
      <c r="B332" s="126" t="s">
        <v>908</v>
      </c>
      <c r="C332" s="126" t="s">
        <v>1294</v>
      </c>
      <c r="D332" s="128">
        <v>253</v>
      </c>
      <c r="E332" s="128">
        <v>10</v>
      </c>
      <c r="F332" s="128">
        <v>2</v>
      </c>
      <c r="G332" s="128">
        <v>2</v>
      </c>
      <c r="H332" s="128"/>
      <c r="I332" s="18">
        <f t="shared" si="41"/>
        <v>267</v>
      </c>
      <c r="J332" s="128">
        <v>33</v>
      </c>
      <c r="K332" s="128"/>
      <c r="L332" s="128"/>
      <c r="M332" s="128"/>
      <c r="N332" s="128"/>
      <c r="O332" s="18">
        <f t="shared" si="42"/>
        <v>33</v>
      </c>
      <c r="P332" s="18">
        <v>32</v>
      </c>
      <c r="Q332" s="18">
        <v>1</v>
      </c>
      <c r="R332" s="18"/>
      <c r="S332" s="18"/>
      <c r="T332" s="18"/>
      <c r="U332" s="18">
        <f t="shared" si="43"/>
        <v>33</v>
      </c>
      <c r="V332" s="18">
        <v>16</v>
      </c>
      <c r="W332" s="18"/>
      <c r="X332" s="18"/>
      <c r="Y332" s="18"/>
      <c r="Z332" s="18"/>
      <c r="AA332" s="18">
        <f t="shared" si="44"/>
        <v>16</v>
      </c>
      <c r="AB332" s="18">
        <v>46</v>
      </c>
      <c r="AC332" s="18"/>
      <c r="AD332" s="18"/>
      <c r="AE332" s="18"/>
      <c r="AF332" s="18"/>
      <c r="AG332" s="18">
        <f t="shared" si="45"/>
        <v>46</v>
      </c>
      <c r="AH332" s="18">
        <v>15</v>
      </c>
      <c r="AI332" s="18"/>
      <c r="AJ332" s="18"/>
      <c r="AK332" s="18"/>
      <c r="AL332" s="18"/>
      <c r="AM332" s="18">
        <f t="shared" si="46"/>
        <v>15</v>
      </c>
      <c r="AN332" s="18"/>
      <c r="AO332" s="18"/>
      <c r="AP332" s="18">
        <f t="shared" si="40"/>
        <v>0</v>
      </c>
      <c r="AQ332" s="32">
        <f t="shared" si="47"/>
        <v>410</v>
      </c>
    </row>
    <row r="333" spans="1:43" x14ac:dyDescent="0.35">
      <c r="A333" s="126" t="s">
        <v>909</v>
      </c>
      <c r="B333" s="126" t="s">
        <v>910</v>
      </c>
      <c r="C333" s="126" t="s">
        <v>1294</v>
      </c>
      <c r="D333" s="128">
        <v>1354</v>
      </c>
      <c r="E333" s="128">
        <v>147</v>
      </c>
      <c r="F333" s="128">
        <v>49</v>
      </c>
      <c r="G333" s="128">
        <v>24</v>
      </c>
      <c r="H333" s="128"/>
      <c r="I333" s="18">
        <f t="shared" si="41"/>
        <v>1574</v>
      </c>
      <c r="J333" s="128">
        <v>4</v>
      </c>
      <c r="K333" s="128">
        <v>1</v>
      </c>
      <c r="L333" s="128"/>
      <c r="M333" s="128"/>
      <c r="N333" s="128"/>
      <c r="O333" s="18">
        <f t="shared" si="42"/>
        <v>5</v>
      </c>
      <c r="P333" s="18">
        <v>6</v>
      </c>
      <c r="Q333" s="18"/>
      <c r="R333" s="18"/>
      <c r="S333" s="18"/>
      <c r="T333" s="18"/>
      <c r="U333" s="18">
        <f t="shared" si="43"/>
        <v>6</v>
      </c>
      <c r="V333" s="18">
        <v>7</v>
      </c>
      <c r="W333" s="18"/>
      <c r="X333" s="18"/>
      <c r="Y333" s="18"/>
      <c r="Z333" s="18"/>
      <c r="AA333" s="18">
        <f t="shared" si="44"/>
        <v>7</v>
      </c>
      <c r="AB333" s="18">
        <v>84</v>
      </c>
      <c r="AC333" s="18">
        <v>3</v>
      </c>
      <c r="AD333" s="18"/>
      <c r="AE333" s="18"/>
      <c r="AF333" s="18"/>
      <c r="AG333" s="18">
        <f t="shared" si="45"/>
        <v>87</v>
      </c>
      <c r="AH333" s="18">
        <v>1</v>
      </c>
      <c r="AI333" s="18"/>
      <c r="AJ333" s="18"/>
      <c r="AK333" s="18"/>
      <c r="AL333" s="18"/>
      <c r="AM333" s="18">
        <f t="shared" si="46"/>
        <v>1</v>
      </c>
      <c r="AN333" s="18"/>
      <c r="AO333" s="18"/>
      <c r="AP333" s="18">
        <f t="shared" si="40"/>
        <v>0</v>
      </c>
      <c r="AQ333" s="32">
        <f t="shared" si="47"/>
        <v>1680</v>
      </c>
    </row>
    <row r="334" spans="1:43" x14ac:dyDescent="0.35">
      <c r="A334" s="126" t="s">
        <v>911</v>
      </c>
      <c r="B334" s="126" t="s">
        <v>912</v>
      </c>
      <c r="C334" s="126" t="s">
        <v>1294</v>
      </c>
      <c r="D334" s="128">
        <v>556</v>
      </c>
      <c r="E334" s="128">
        <v>52</v>
      </c>
      <c r="F334" s="128">
        <v>16</v>
      </c>
      <c r="G334" s="128">
        <v>8</v>
      </c>
      <c r="H334" s="128"/>
      <c r="I334" s="18">
        <f t="shared" si="41"/>
        <v>632</v>
      </c>
      <c r="J334" s="128">
        <v>2</v>
      </c>
      <c r="K334" s="128"/>
      <c r="L334" s="128"/>
      <c r="M334" s="128"/>
      <c r="N334" s="128"/>
      <c r="O334" s="18">
        <f t="shared" si="42"/>
        <v>2</v>
      </c>
      <c r="P334" s="18">
        <v>1</v>
      </c>
      <c r="Q334" s="18"/>
      <c r="R334" s="18"/>
      <c r="S334" s="18"/>
      <c r="T334" s="18"/>
      <c r="U334" s="18">
        <f t="shared" si="43"/>
        <v>1</v>
      </c>
      <c r="V334" s="18">
        <v>2</v>
      </c>
      <c r="W334" s="18"/>
      <c r="X334" s="18"/>
      <c r="Y334" s="18"/>
      <c r="Z334" s="18"/>
      <c r="AA334" s="18">
        <f t="shared" si="44"/>
        <v>2</v>
      </c>
      <c r="AB334" s="18">
        <v>32</v>
      </c>
      <c r="AC334" s="18">
        <v>2</v>
      </c>
      <c r="AD334" s="18"/>
      <c r="AE334" s="18"/>
      <c r="AF334" s="18"/>
      <c r="AG334" s="18">
        <f t="shared" si="45"/>
        <v>34</v>
      </c>
      <c r="AH334" s="18">
        <v>1</v>
      </c>
      <c r="AI334" s="18"/>
      <c r="AJ334" s="18"/>
      <c r="AK334" s="18"/>
      <c r="AL334" s="18"/>
      <c r="AM334" s="18">
        <f t="shared" si="46"/>
        <v>1</v>
      </c>
      <c r="AN334" s="18"/>
      <c r="AO334" s="18"/>
      <c r="AP334" s="18">
        <f t="shared" si="40"/>
        <v>0</v>
      </c>
      <c r="AQ334" s="32">
        <f t="shared" si="47"/>
        <v>672</v>
      </c>
    </row>
    <row r="335" spans="1:43" x14ac:dyDescent="0.35">
      <c r="A335" s="126" t="s">
        <v>913</v>
      </c>
      <c r="B335" s="126" t="s">
        <v>914</v>
      </c>
      <c r="C335" s="126" t="s">
        <v>1294</v>
      </c>
      <c r="D335" s="128">
        <v>255</v>
      </c>
      <c r="E335" s="128">
        <v>30</v>
      </c>
      <c r="F335" s="128">
        <v>10</v>
      </c>
      <c r="G335" s="128">
        <v>9</v>
      </c>
      <c r="H335" s="128"/>
      <c r="I335" s="18">
        <f t="shared" si="41"/>
        <v>304</v>
      </c>
      <c r="J335" s="128">
        <v>4</v>
      </c>
      <c r="K335" s="128"/>
      <c r="L335" s="128"/>
      <c r="M335" s="128"/>
      <c r="N335" s="128"/>
      <c r="O335" s="18">
        <f t="shared" si="42"/>
        <v>4</v>
      </c>
      <c r="P335" s="18">
        <v>1</v>
      </c>
      <c r="Q335" s="18"/>
      <c r="R335" s="18"/>
      <c r="S335" s="18"/>
      <c r="T335" s="18"/>
      <c r="U335" s="18">
        <f t="shared" si="43"/>
        <v>1</v>
      </c>
      <c r="V335" s="18">
        <v>1</v>
      </c>
      <c r="W335" s="18"/>
      <c r="X335" s="18"/>
      <c r="Y335" s="18"/>
      <c r="Z335" s="18"/>
      <c r="AA335" s="18">
        <f t="shared" si="44"/>
        <v>1</v>
      </c>
      <c r="AB335" s="18">
        <v>16</v>
      </c>
      <c r="AC335" s="18"/>
      <c r="AD335" s="18"/>
      <c r="AE335" s="18"/>
      <c r="AF335" s="18"/>
      <c r="AG335" s="18">
        <f t="shared" si="45"/>
        <v>16</v>
      </c>
      <c r="AH335" s="18">
        <v>1</v>
      </c>
      <c r="AI335" s="18"/>
      <c r="AJ335" s="18"/>
      <c r="AK335" s="18"/>
      <c r="AL335" s="18"/>
      <c r="AM335" s="18">
        <f t="shared" si="46"/>
        <v>1</v>
      </c>
      <c r="AN335" s="18"/>
      <c r="AO335" s="18"/>
      <c r="AP335" s="18">
        <f t="shared" si="40"/>
        <v>0</v>
      </c>
      <c r="AQ335" s="32">
        <f t="shared" si="47"/>
        <v>327</v>
      </c>
    </row>
    <row r="336" spans="1:43" x14ac:dyDescent="0.35">
      <c r="A336" s="126" t="s">
        <v>915</v>
      </c>
      <c r="B336" s="126" t="s">
        <v>916</v>
      </c>
      <c r="C336" s="126" t="s">
        <v>1294</v>
      </c>
      <c r="D336" s="128">
        <v>234</v>
      </c>
      <c r="E336" s="128">
        <v>19</v>
      </c>
      <c r="F336" s="128">
        <v>7</v>
      </c>
      <c r="G336" s="128">
        <v>4</v>
      </c>
      <c r="H336" s="128"/>
      <c r="I336" s="18">
        <f t="shared" si="41"/>
        <v>264</v>
      </c>
      <c r="J336" s="128">
        <v>2</v>
      </c>
      <c r="K336" s="128"/>
      <c r="L336" s="128"/>
      <c r="M336" s="128"/>
      <c r="N336" s="128"/>
      <c r="O336" s="18">
        <f t="shared" si="42"/>
        <v>2</v>
      </c>
      <c r="P336" s="18">
        <v>1</v>
      </c>
      <c r="Q336" s="18"/>
      <c r="R336" s="18"/>
      <c r="S336" s="18"/>
      <c r="T336" s="18"/>
      <c r="U336" s="18">
        <f t="shared" si="43"/>
        <v>1</v>
      </c>
      <c r="V336" s="18">
        <v>1</v>
      </c>
      <c r="W336" s="18"/>
      <c r="X336" s="18"/>
      <c r="Y336" s="18"/>
      <c r="Z336" s="18"/>
      <c r="AA336" s="18">
        <f t="shared" si="44"/>
        <v>1</v>
      </c>
      <c r="AB336" s="18">
        <v>19</v>
      </c>
      <c r="AC336" s="18"/>
      <c r="AD336" s="18"/>
      <c r="AE336" s="18"/>
      <c r="AF336" s="18"/>
      <c r="AG336" s="18">
        <f t="shared" si="45"/>
        <v>19</v>
      </c>
      <c r="AH336" s="18">
        <v>3</v>
      </c>
      <c r="AI336" s="18"/>
      <c r="AJ336" s="18"/>
      <c r="AK336" s="18"/>
      <c r="AL336" s="18"/>
      <c r="AM336" s="18">
        <f t="shared" si="46"/>
        <v>3</v>
      </c>
      <c r="AN336" s="18"/>
      <c r="AO336" s="18"/>
      <c r="AP336" s="18">
        <f t="shared" si="40"/>
        <v>0</v>
      </c>
      <c r="AQ336" s="32">
        <f t="shared" si="47"/>
        <v>290</v>
      </c>
    </row>
    <row r="337" spans="1:43" x14ac:dyDescent="0.35">
      <c r="A337" s="126" t="s">
        <v>917</v>
      </c>
      <c r="B337" s="126" t="s">
        <v>918</v>
      </c>
      <c r="C337" s="126" t="s">
        <v>1294</v>
      </c>
      <c r="D337" s="128">
        <v>106</v>
      </c>
      <c r="E337" s="128">
        <v>5</v>
      </c>
      <c r="F337" s="128">
        <v>1</v>
      </c>
      <c r="G337" s="128"/>
      <c r="H337" s="128"/>
      <c r="I337" s="18">
        <f t="shared" si="41"/>
        <v>112</v>
      </c>
      <c r="J337" s="128"/>
      <c r="K337" s="128"/>
      <c r="L337" s="128"/>
      <c r="M337" s="128"/>
      <c r="N337" s="128"/>
      <c r="O337" s="18">
        <f t="shared" si="42"/>
        <v>0</v>
      </c>
      <c r="P337" s="18">
        <v>2</v>
      </c>
      <c r="Q337" s="18"/>
      <c r="R337" s="18"/>
      <c r="S337" s="18"/>
      <c r="T337" s="18"/>
      <c r="U337" s="18">
        <f t="shared" si="43"/>
        <v>2</v>
      </c>
      <c r="V337" s="18"/>
      <c r="W337" s="18"/>
      <c r="X337" s="18"/>
      <c r="Y337" s="18"/>
      <c r="Z337" s="18"/>
      <c r="AA337" s="18">
        <f t="shared" si="44"/>
        <v>0</v>
      </c>
      <c r="AB337" s="18">
        <v>13</v>
      </c>
      <c r="AC337" s="18"/>
      <c r="AD337" s="18"/>
      <c r="AE337" s="18"/>
      <c r="AF337" s="18"/>
      <c r="AG337" s="18">
        <f t="shared" si="45"/>
        <v>13</v>
      </c>
      <c r="AH337" s="18"/>
      <c r="AI337" s="18"/>
      <c r="AJ337" s="18"/>
      <c r="AK337" s="18"/>
      <c r="AL337" s="18"/>
      <c r="AM337" s="18">
        <f t="shared" si="46"/>
        <v>0</v>
      </c>
      <c r="AN337" s="18"/>
      <c r="AO337" s="18"/>
      <c r="AP337" s="18">
        <f t="shared" si="40"/>
        <v>0</v>
      </c>
      <c r="AQ337" s="32">
        <f t="shared" si="47"/>
        <v>127</v>
      </c>
    </row>
    <row r="338" spans="1:43" x14ac:dyDescent="0.35">
      <c r="A338" s="126" t="s">
        <v>919</v>
      </c>
      <c r="B338" s="126" t="s">
        <v>920</v>
      </c>
      <c r="C338" s="126" t="s">
        <v>1294</v>
      </c>
      <c r="D338" s="128">
        <v>9</v>
      </c>
      <c r="E338" s="128"/>
      <c r="F338" s="128"/>
      <c r="G338" s="128"/>
      <c r="H338" s="128"/>
      <c r="I338" s="18">
        <f t="shared" si="41"/>
        <v>9</v>
      </c>
      <c r="J338" s="128"/>
      <c r="K338" s="128"/>
      <c r="L338" s="128"/>
      <c r="M338" s="128"/>
      <c r="N338" s="128"/>
      <c r="O338" s="18">
        <f t="shared" si="42"/>
        <v>0</v>
      </c>
      <c r="P338" s="18">
        <v>1</v>
      </c>
      <c r="Q338" s="18"/>
      <c r="R338" s="18"/>
      <c r="S338" s="18"/>
      <c r="T338" s="18"/>
      <c r="U338" s="18">
        <f t="shared" si="43"/>
        <v>1</v>
      </c>
      <c r="V338" s="18"/>
      <c r="W338" s="18"/>
      <c r="X338" s="18"/>
      <c r="Y338" s="18"/>
      <c r="Z338" s="18"/>
      <c r="AA338" s="18">
        <f t="shared" si="44"/>
        <v>0</v>
      </c>
      <c r="AB338" s="18">
        <v>1</v>
      </c>
      <c r="AC338" s="18"/>
      <c r="AD338" s="18"/>
      <c r="AE338" s="18"/>
      <c r="AF338" s="18"/>
      <c r="AG338" s="18">
        <f t="shared" si="45"/>
        <v>1</v>
      </c>
      <c r="AH338" s="18"/>
      <c r="AI338" s="18"/>
      <c r="AJ338" s="18"/>
      <c r="AK338" s="18"/>
      <c r="AL338" s="18"/>
      <c r="AM338" s="18">
        <f t="shared" si="46"/>
        <v>0</v>
      </c>
      <c r="AN338" s="18"/>
      <c r="AO338" s="18"/>
      <c r="AP338" s="18">
        <f t="shared" si="40"/>
        <v>0</v>
      </c>
      <c r="AQ338" s="32">
        <f t="shared" si="47"/>
        <v>11</v>
      </c>
    </row>
    <row r="339" spans="1:43" x14ac:dyDescent="0.35">
      <c r="A339" s="126" t="s">
        <v>921</v>
      </c>
      <c r="B339" s="126" t="s">
        <v>1251</v>
      </c>
      <c r="C339" s="126" t="s">
        <v>1294</v>
      </c>
      <c r="D339" s="128">
        <v>54</v>
      </c>
      <c r="E339" s="128">
        <v>2</v>
      </c>
      <c r="F339" s="128">
        <v>6</v>
      </c>
      <c r="G339" s="128"/>
      <c r="H339" s="128"/>
      <c r="I339" s="18">
        <f t="shared" si="41"/>
        <v>62</v>
      </c>
      <c r="J339" s="128">
        <v>1</v>
      </c>
      <c r="K339" s="128"/>
      <c r="L339" s="128"/>
      <c r="M339" s="128"/>
      <c r="N339" s="128"/>
      <c r="O339" s="18">
        <f t="shared" si="42"/>
        <v>1</v>
      </c>
      <c r="P339" s="18">
        <v>2</v>
      </c>
      <c r="Q339" s="18"/>
      <c r="R339" s="18"/>
      <c r="S339" s="18"/>
      <c r="T339" s="18"/>
      <c r="U339" s="18">
        <f t="shared" si="43"/>
        <v>2</v>
      </c>
      <c r="V339" s="18"/>
      <c r="W339" s="18"/>
      <c r="X339" s="18"/>
      <c r="Y339" s="18"/>
      <c r="Z339" s="18"/>
      <c r="AA339" s="18">
        <f t="shared" si="44"/>
        <v>0</v>
      </c>
      <c r="AB339" s="18">
        <v>5</v>
      </c>
      <c r="AC339" s="18"/>
      <c r="AD339" s="18"/>
      <c r="AE339" s="18"/>
      <c r="AF339" s="18"/>
      <c r="AG339" s="18">
        <f t="shared" si="45"/>
        <v>5</v>
      </c>
      <c r="AH339" s="18"/>
      <c r="AI339" s="18"/>
      <c r="AJ339" s="18"/>
      <c r="AK339" s="18"/>
      <c r="AL339" s="18"/>
      <c r="AM339" s="18">
        <f t="shared" si="46"/>
        <v>0</v>
      </c>
      <c r="AN339" s="18"/>
      <c r="AO339" s="18"/>
      <c r="AP339" s="18">
        <f t="shared" si="40"/>
        <v>0</v>
      </c>
      <c r="AQ339" s="32">
        <f t="shared" si="47"/>
        <v>70</v>
      </c>
    </row>
    <row r="340" spans="1:43" x14ac:dyDescent="0.35">
      <c r="A340" s="126" t="s">
        <v>922</v>
      </c>
      <c r="B340" s="126" t="s">
        <v>923</v>
      </c>
      <c r="C340" s="126" t="s">
        <v>1294</v>
      </c>
      <c r="D340" s="128"/>
      <c r="E340" s="128"/>
      <c r="F340" s="128"/>
      <c r="G340" s="128">
        <v>2</v>
      </c>
      <c r="H340" s="128"/>
      <c r="I340" s="18">
        <f t="shared" si="41"/>
        <v>2</v>
      </c>
      <c r="J340" s="128"/>
      <c r="K340" s="128"/>
      <c r="L340" s="128"/>
      <c r="M340" s="128"/>
      <c r="N340" s="128"/>
      <c r="O340" s="18">
        <f t="shared" si="42"/>
        <v>0</v>
      </c>
      <c r="P340" s="18"/>
      <c r="Q340" s="18"/>
      <c r="R340" s="18"/>
      <c r="S340" s="18"/>
      <c r="T340" s="18"/>
      <c r="U340" s="18">
        <f t="shared" si="43"/>
        <v>0</v>
      </c>
      <c r="V340" s="18"/>
      <c r="W340" s="18"/>
      <c r="X340" s="18"/>
      <c r="Y340" s="18"/>
      <c r="Z340" s="18"/>
      <c r="AA340" s="18">
        <f t="shared" si="44"/>
        <v>0</v>
      </c>
      <c r="AB340" s="18"/>
      <c r="AC340" s="18"/>
      <c r="AD340" s="18"/>
      <c r="AE340" s="18"/>
      <c r="AF340" s="18"/>
      <c r="AG340" s="18">
        <f t="shared" si="45"/>
        <v>0</v>
      </c>
      <c r="AH340" s="18"/>
      <c r="AI340" s="18"/>
      <c r="AJ340" s="18"/>
      <c r="AK340" s="18"/>
      <c r="AL340" s="18"/>
      <c r="AM340" s="18">
        <f t="shared" si="46"/>
        <v>0</v>
      </c>
      <c r="AN340" s="18"/>
      <c r="AO340" s="18"/>
      <c r="AP340" s="18">
        <f t="shared" si="40"/>
        <v>0</v>
      </c>
      <c r="AQ340" s="32">
        <f t="shared" si="47"/>
        <v>2</v>
      </c>
    </row>
    <row r="341" spans="1:43" x14ac:dyDescent="0.35">
      <c r="A341" s="126" t="s">
        <v>924</v>
      </c>
      <c r="B341" s="126" t="s">
        <v>925</v>
      </c>
      <c r="C341" s="126" t="s">
        <v>1294</v>
      </c>
      <c r="D341" s="128">
        <v>2</v>
      </c>
      <c r="E341" s="128"/>
      <c r="F341" s="128"/>
      <c r="G341" s="128">
        <v>1</v>
      </c>
      <c r="H341" s="128"/>
      <c r="I341" s="18">
        <f t="shared" si="41"/>
        <v>3</v>
      </c>
      <c r="J341" s="128"/>
      <c r="K341" s="128"/>
      <c r="L341" s="128"/>
      <c r="M341" s="128"/>
      <c r="N341" s="128"/>
      <c r="O341" s="18">
        <f t="shared" si="42"/>
        <v>0</v>
      </c>
      <c r="P341" s="18"/>
      <c r="Q341" s="18"/>
      <c r="R341" s="18"/>
      <c r="S341" s="18"/>
      <c r="T341" s="18"/>
      <c r="U341" s="18">
        <f t="shared" si="43"/>
        <v>0</v>
      </c>
      <c r="V341" s="18"/>
      <c r="W341" s="18"/>
      <c r="X341" s="18"/>
      <c r="Y341" s="18"/>
      <c r="Z341" s="18"/>
      <c r="AA341" s="18">
        <f t="shared" si="44"/>
        <v>0</v>
      </c>
      <c r="AB341" s="18"/>
      <c r="AC341" s="18"/>
      <c r="AD341" s="18"/>
      <c r="AE341" s="18"/>
      <c r="AF341" s="18"/>
      <c r="AG341" s="18">
        <f t="shared" si="45"/>
        <v>0</v>
      </c>
      <c r="AH341" s="18"/>
      <c r="AI341" s="18"/>
      <c r="AJ341" s="18"/>
      <c r="AK341" s="18"/>
      <c r="AL341" s="18"/>
      <c r="AM341" s="18">
        <f t="shared" si="46"/>
        <v>0</v>
      </c>
      <c r="AN341" s="18"/>
      <c r="AO341" s="18"/>
      <c r="AP341" s="18">
        <f t="shared" si="40"/>
        <v>0</v>
      </c>
      <c r="AQ341" s="32">
        <f t="shared" si="47"/>
        <v>3</v>
      </c>
    </row>
    <row r="342" spans="1:43" x14ac:dyDescent="0.35">
      <c r="A342" s="126" t="s">
        <v>926</v>
      </c>
      <c r="B342" s="126" t="s">
        <v>927</v>
      </c>
      <c r="C342" s="126" t="s">
        <v>1294</v>
      </c>
      <c r="D342" s="128">
        <v>5</v>
      </c>
      <c r="E342" s="128">
        <v>1</v>
      </c>
      <c r="F342" s="128"/>
      <c r="G342" s="128">
        <v>3</v>
      </c>
      <c r="H342" s="128"/>
      <c r="I342" s="18">
        <f t="shared" si="41"/>
        <v>9</v>
      </c>
      <c r="J342" s="128"/>
      <c r="K342" s="128"/>
      <c r="L342" s="128"/>
      <c r="M342" s="128"/>
      <c r="N342" s="128"/>
      <c r="O342" s="18">
        <f t="shared" si="42"/>
        <v>0</v>
      </c>
      <c r="P342" s="18"/>
      <c r="Q342" s="18"/>
      <c r="R342" s="18"/>
      <c r="S342" s="18"/>
      <c r="T342" s="18"/>
      <c r="U342" s="18">
        <f t="shared" si="43"/>
        <v>0</v>
      </c>
      <c r="V342" s="18"/>
      <c r="W342" s="18"/>
      <c r="X342" s="18"/>
      <c r="Y342" s="18"/>
      <c r="Z342" s="18"/>
      <c r="AA342" s="18">
        <f t="shared" si="44"/>
        <v>0</v>
      </c>
      <c r="AB342" s="18"/>
      <c r="AC342" s="18"/>
      <c r="AD342" s="18"/>
      <c r="AE342" s="18"/>
      <c r="AF342" s="18"/>
      <c r="AG342" s="18">
        <f t="shared" si="45"/>
        <v>0</v>
      </c>
      <c r="AH342" s="18"/>
      <c r="AI342" s="18"/>
      <c r="AJ342" s="18"/>
      <c r="AK342" s="18"/>
      <c r="AL342" s="18"/>
      <c r="AM342" s="18">
        <f t="shared" si="46"/>
        <v>0</v>
      </c>
      <c r="AN342" s="18"/>
      <c r="AO342" s="18"/>
      <c r="AP342" s="18">
        <f t="shared" si="40"/>
        <v>0</v>
      </c>
      <c r="AQ342" s="32">
        <f t="shared" si="47"/>
        <v>9</v>
      </c>
    </row>
    <row r="343" spans="1:43" x14ac:dyDescent="0.35">
      <c r="A343" s="126" t="s">
        <v>928</v>
      </c>
      <c r="B343" s="126" t="s">
        <v>929</v>
      </c>
      <c r="C343" s="126" t="s">
        <v>1294</v>
      </c>
      <c r="D343" s="128">
        <v>5</v>
      </c>
      <c r="E343" s="128"/>
      <c r="F343" s="128">
        <v>1</v>
      </c>
      <c r="G343" s="128">
        <v>1</v>
      </c>
      <c r="H343" s="128"/>
      <c r="I343" s="18">
        <f t="shared" si="41"/>
        <v>7</v>
      </c>
      <c r="J343" s="128"/>
      <c r="K343" s="128"/>
      <c r="L343" s="128"/>
      <c r="M343" s="128"/>
      <c r="N343" s="128"/>
      <c r="O343" s="18">
        <f t="shared" si="42"/>
        <v>0</v>
      </c>
      <c r="P343" s="18"/>
      <c r="Q343" s="18"/>
      <c r="R343" s="18"/>
      <c r="S343" s="18"/>
      <c r="T343" s="18"/>
      <c r="U343" s="18">
        <f t="shared" si="43"/>
        <v>0</v>
      </c>
      <c r="V343" s="18"/>
      <c r="W343" s="18"/>
      <c r="X343" s="18"/>
      <c r="Y343" s="18"/>
      <c r="Z343" s="18"/>
      <c r="AA343" s="18">
        <f t="shared" si="44"/>
        <v>0</v>
      </c>
      <c r="AB343" s="18"/>
      <c r="AC343" s="18"/>
      <c r="AD343" s="18"/>
      <c r="AE343" s="18"/>
      <c r="AF343" s="18"/>
      <c r="AG343" s="18">
        <f t="shared" si="45"/>
        <v>0</v>
      </c>
      <c r="AH343" s="18"/>
      <c r="AI343" s="18"/>
      <c r="AJ343" s="18"/>
      <c r="AK343" s="18"/>
      <c r="AL343" s="18"/>
      <c r="AM343" s="18">
        <f t="shared" si="46"/>
        <v>0</v>
      </c>
      <c r="AN343" s="18"/>
      <c r="AO343" s="18"/>
      <c r="AP343" s="18">
        <f t="shared" si="40"/>
        <v>0</v>
      </c>
      <c r="AQ343" s="32">
        <f t="shared" si="47"/>
        <v>7</v>
      </c>
    </row>
    <row r="344" spans="1:43" x14ac:dyDescent="0.35">
      <c r="A344" s="126" t="s">
        <v>930</v>
      </c>
      <c r="B344" s="126" t="s">
        <v>931</v>
      </c>
      <c r="C344" s="126" t="s">
        <v>1294</v>
      </c>
      <c r="D344" s="128">
        <v>35</v>
      </c>
      <c r="E344" s="128">
        <v>3</v>
      </c>
      <c r="F344" s="128">
        <v>1</v>
      </c>
      <c r="G344" s="128"/>
      <c r="H344" s="128"/>
      <c r="I344" s="18">
        <f t="shared" si="41"/>
        <v>39</v>
      </c>
      <c r="J344" s="128"/>
      <c r="K344" s="128"/>
      <c r="L344" s="128"/>
      <c r="M344" s="128"/>
      <c r="N344" s="128"/>
      <c r="O344" s="18">
        <f t="shared" si="42"/>
        <v>0</v>
      </c>
      <c r="P344" s="18"/>
      <c r="Q344" s="18"/>
      <c r="R344" s="18"/>
      <c r="S344" s="18"/>
      <c r="T344" s="18"/>
      <c r="U344" s="18">
        <f t="shared" si="43"/>
        <v>0</v>
      </c>
      <c r="V344" s="18"/>
      <c r="W344" s="18"/>
      <c r="X344" s="18"/>
      <c r="Y344" s="18"/>
      <c r="Z344" s="18"/>
      <c r="AA344" s="18">
        <f t="shared" si="44"/>
        <v>0</v>
      </c>
      <c r="AB344" s="18">
        <v>1</v>
      </c>
      <c r="AC344" s="18"/>
      <c r="AD344" s="18"/>
      <c r="AE344" s="18"/>
      <c r="AF344" s="18"/>
      <c r="AG344" s="18">
        <f t="shared" si="45"/>
        <v>1</v>
      </c>
      <c r="AH344" s="18"/>
      <c r="AI344" s="18"/>
      <c r="AJ344" s="18"/>
      <c r="AK344" s="18"/>
      <c r="AL344" s="18"/>
      <c r="AM344" s="18">
        <f t="shared" si="46"/>
        <v>0</v>
      </c>
      <c r="AN344" s="18"/>
      <c r="AO344" s="18"/>
      <c r="AP344" s="18">
        <f t="shared" si="40"/>
        <v>0</v>
      </c>
      <c r="AQ344" s="32">
        <f t="shared" si="47"/>
        <v>40</v>
      </c>
    </row>
    <row r="345" spans="1:43" x14ac:dyDescent="0.35">
      <c r="A345" s="126" t="s">
        <v>932</v>
      </c>
      <c r="B345" s="126" t="s">
        <v>933</v>
      </c>
      <c r="C345" s="126" t="s">
        <v>1294</v>
      </c>
      <c r="D345" s="128">
        <v>166</v>
      </c>
      <c r="E345" s="128">
        <v>20</v>
      </c>
      <c r="F345" s="128">
        <v>9</v>
      </c>
      <c r="G345" s="128">
        <v>3</v>
      </c>
      <c r="H345" s="128"/>
      <c r="I345" s="18">
        <f t="shared" si="41"/>
        <v>198</v>
      </c>
      <c r="J345" s="128">
        <v>2</v>
      </c>
      <c r="K345" s="128">
        <v>1</v>
      </c>
      <c r="L345" s="128"/>
      <c r="M345" s="128"/>
      <c r="N345" s="128"/>
      <c r="O345" s="18">
        <f t="shared" si="42"/>
        <v>3</v>
      </c>
      <c r="P345" s="18"/>
      <c r="Q345" s="18"/>
      <c r="R345" s="18"/>
      <c r="S345" s="18"/>
      <c r="T345" s="18"/>
      <c r="U345" s="18">
        <f t="shared" si="43"/>
        <v>0</v>
      </c>
      <c r="V345" s="18"/>
      <c r="W345" s="18"/>
      <c r="X345" s="18"/>
      <c r="Y345" s="18"/>
      <c r="Z345" s="18"/>
      <c r="AA345" s="18">
        <f t="shared" si="44"/>
        <v>0</v>
      </c>
      <c r="AB345" s="18"/>
      <c r="AC345" s="18"/>
      <c r="AD345" s="18"/>
      <c r="AE345" s="18"/>
      <c r="AF345" s="18"/>
      <c r="AG345" s="18">
        <f t="shared" si="45"/>
        <v>0</v>
      </c>
      <c r="AH345" s="18">
        <v>1</v>
      </c>
      <c r="AI345" s="18"/>
      <c r="AJ345" s="18"/>
      <c r="AK345" s="18"/>
      <c r="AL345" s="18"/>
      <c r="AM345" s="18">
        <f t="shared" si="46"/>
        <v>1</v>
      </c>
      <c r="AN345" s="18"/>
      <c r="AO345" s="18"/>
      <c r="AP345" s="18">
        <f t="shared" si="40"/>
        <v>0</v>
      </c>
      <c r="AQ345" s="32">
        <f t="shared" si="47"/>
        <v>202</v>
      </c>
    </row>
    <row r="346" spans="1:43" x14ac:dyDescent="0.35">
      <c r="A346" s="126" t="s">
        <v>934</v>
      </c>
      <c r="B346" s="126" t="s">
        <v>935</v>
      </c>
      <c r="C346" s="126" t="s">
        <v>1294</v>
      </c>
      <c r="D346" s="128">
        <v>245</v>
      </c>
      <c r="E346" s="128">
        <v>26</v>
      </c>
      <c r="F346" s="128">
        <v>13</v>
      </c>
      <c r="G346" s="128">
        <v>4</v>
      </c>
      <c r="H346" s="128"/>
      <c r="I346" s="18">
        <f t="shared" si="41"/>
        <v>288</v>
      </c>
      <c r="J346" s="128">
        <v>4</v>
      </c>
      <c r="K346" s="128"/>
      <c r="L346" s="128"/>
      <c r="M346" s="128"/>
      <c r="N346" s="128"/>
      <c r="O346" s="18">
        <f t="shared" si="42"/>
        <v>4</v>
      </c>
      <c r="P346" s="18">
        <v>2</v>
      </c>
      <c r="Q346" s="18"/>
      <c r="R346" s="18"/>
      <c r="S346" s="18"/>
      <c r="T346" s="18"/>
      <c r="U346" s="18">
        <f t="shared" si="43"/>
        <v>2</v>
      </c>
      <c r="V346" s="18">
        <v>2</v>
      </c>
      <c r="W346" s="18"/>
      <c r="X346" s="18"/>
      <c r="Y346" s="18"/>
      <c r="Z346" s="18"/>
      <c r="AA346" s="18">
        <f t="shared" si="44"/>
        <v>2</v>
      </c>
      <c r="AB346" s="18">
        <v>12</v>
      </c>
      <c r="AC346" s="18"/>
      <c r="AD346" s="18"/>
      <c r="AE346" s="18"/>
      <c r="AF346" s="18"/>
      <c r="AG346" s="18">
        <f t="shared" si="45"/>
        <v>12</v>
      </c>
      <c r="AH346" s="18">
        <v>2</v>
      </c>
      <c r="AI346" s="18"/>
      <c r="AJ346" s="18"/>
      <c r="AK346" s="18"/>
      <c r="AL346" s="18"/>
      <c r="AM346" s="18">
        <f t="shared" si="46"/>
        <v>2</v>
      </c>
      <c r="AN346" s="18"/>
      <c r="AO346" s="18"/>
      <c r="AP346" s="18">
        <f t="shared" si="40"/>
        <v>0</v>
      </c>
      <c r="AQ346" s="32">
        <f t="shared" si="47"/>
        <v>310</v>
      </c>
    </row>
    <row r="347" spans="1:43" x14ac:dyDescent="0.35">
      <c r="A347" s="126" t="s">
        <v>936</v>
      </c>
      <c r="B347" s="126" t="s">
        <v>1252</v>
      </c>
      <c r="C347" s="126" t="s">
        <v>1294</v>
      </c>
      <c r="D347" s="128">
        <v>30</v>
      </c>
      <c r="E347" s="128">
        <v>2</v>
      </c>
      <c r="F347" s="128"/>
      <c r="G347" s="128">
        <v>2</v>
      </c>
      <c r="H347" s="128"/>
      <c r="I347" s="18">
        <f t="shared" si="41"/>
        <v>34</v>
      </c>
      <c r="J347" s="128"/>
      <c r="K347" s="128"/>
      <c r="L347" s="128"/>
      <c r="M347" s="128"/>
      <c r="N347" s="128"/>
      <c r="O347" s="18">
        <f t="shared" si="42"/>
        <v>0</v>
      </c>
      <c r="P347" s="18"/>
      <c r="Q347" s="18"/>
      <c r="R347" s="18"/>
      <c r="S347" s="18"/>
      <c r="T347" s="18"/>
      <c r="U347" s="18">
        <f t="shared" si="43"/>
        <v>0</v>
      </c>
      <c r="V347" s="18">
        <v>1</v>
      </c>
      <c r="W347" s="18"/>
      <c r="X347" s="18"/>
      <c r="Y347" s="18"/>
      <c r="Z347" s="18"/>
      <c r="AA347" s="18">
        <f t="shared" si="44"/>
        <v>1</v>
      </c>
      <c r="AB347" s="18">
        <v>2</v>
      </c>
      <c r="AC347" s="18"/>
      <c r="AD347" s="18"/>
      <c r="AE347" s="18"/>
      <c r="AF347" s="18"/>
      <c r="AG347" s="18">
        <f t="shared" si="45"/>
        <v>2</v>
      </c>
      <c r="AH347" s="18"/>
      <c r="AI347" s="18"/>
      <c r="AJ347" s="18"/>
      <c r="AK347" s="18"/>
      <c r="AL347" s="18"/>
      <c r="AM347" s="18">
        <f t="shared" si="46"/>
        <v>0</v>
      </c>
      <c r="AN347" s="18"/>
      <c r="AO347" s="18"/>
      <c r="AP347" s="18">
        <f t="shared" si="40"/>
        <v>0</v>
      </c>
      <c r="AQ347" s="32">
        <f t="shared" si="47"/>
        <v>37</v>
      </c>
    </row>
    <row r="348" spans="1:43" x14ac:dyDescent="0.35">
      <c r="A348" s="126" t="s">
        <v>937</v>
      </c>
      <c r="B348" s="126" t="s">
        <v>938</v>
      </c>
      <c r="C348" s="126" t="s">
        <v>1294</v>
      </c>
      <c r="D348" s="128">
        <v>6</v>
      </c>
      <c r="E348" s="128"/>
      <c r="F348" s="128"/>
      <c r="G348" s="128">
        <v>2</v>
      </c>
      <c r="H348" s="128"/>
      <c r="I348" s="18">
        <f t="shared" si="41"/>
        <v>8</v>
      </c>
      <c r="J348" s="128"/>
      <c r="K348" s="128"/>
      <c r="L348" s="128"/>
      <c r="M348" s="128"/>
      <c r="N348" s="128"/>
      <c r="O348" s="18">
        <f t="shared" si="42"/>
        <v>0</v>
      </c>
      <c r="P348" s="18"/>
      <c r="Q348" s="18"/>
      <c r="R348" s="18"/>
      <c r="S348" s="18"/>
      <c r="T348" s="18"/>
      <c r="U348" s="18">
        <f t="shared" si="43"/>
        <v>0</v>
      </c>
      <c r="V348" s="18"/>
      <c r="W348" s="18"/>
      <c r="X348" s="18"/>
      <c r="Y348" s="18"/>
      <c r="Z348" s="18"/>
      <c r="AA348" s="18">
        <f t="shared" si="44"/>
        <v>0</v>
      </c>
      <c r="AB348" s="18"/>
      <c r="AC348" s="18"/>
      <c r="AD348" s="18"/>
      <c r="AE348" s="18"/>
      <c r="AF348" s="18"/>
      <c r="AG348" s="18">
        <f t="shared" si="45"/>
        <v>0</v>
      </c>
      <c r="AH348" s="18"/>
      <c r="AI348" s="18"/>
      <c r="AJ348" s="18"/>
      <c r="AK348" s="18"/>
      <c r="AL348" s="18"/>
      <c r="AM348" s="18">
        <f t="shared" si="46"/>
        <v>0</v>
      </c>
      <c r="AN348" s="18"/>
      <c r="AO348" s="18"/>
      <c r="AP348" s="18">
        <f t="shared" si="40"/>
        <v>0</v>
      </c>
      <c r="AQ348" s="32">
        <f t="shared" si="47"/>
        <v>8</v>
      </c>
    </row>
    <row r="349" spans="1:43" x14ac:dyDescent="0.35">
      <c r="A349" s="126" t="s">
        <v>1199</v>
      </c>
      <c r="B349" s="126" t="s">
        <v>1253</v>
      </c>
      <c r="C349" s="126" t="s">
        <v>1294</v>
      </c>
      <c r="D349" s="128"/>
      <c r="E349" s="128"/>
      <c r="F349" s="128"/>
      <c r="G349" s="128">
        <v>1</v>
      </c>
      <c r="H349" s="128"/>
      <c r="I349" s="18">
        <f t="shared" si="41"/>
        <v>1</v>
      </c>
      <c r="J349" s="128"/>
      <c r="K349" s="128"/>
      <c r="L349" s="128"/>
      <c r="M349" s="128"/>
      <c r="N349" s="128"/>
      <c r="O349" s="18">
        <f t="shared" si="42"/>
        <v>0</v>
      </c>
      <c r="P349" s="18"/>
      <c r="Q349" s="18"/>
      <c r="R349" s="18"/>
      <c r="S349" s="18"/>
      <c r="T349" s="18"/>
      <c r="U349" s="18">
        <f t="shared" si="43"/>
        <v>0</v>
      </c>
      <c r="V349" s="18"/>
      <c r="W349" s="18"/>
      <c r="X349" s="18"/>
      <c r="Y349" s="18"/>
      <c r="Z349" s="18"/>
      <c r="AA349" s="18">
        <f t="shared" si="44"/>
        <v>0</v>
      </c>
      <c r="AB349" s="18"/>
      <c r="AC349" s="18"/>
      <c r="AD349" s="18"/>
      <c r="AE349" s="18"/>
      <c r="AF349" s="18"/>
      <c r="AG349" s="18">
        <f t="shared" si="45"/>
        <v>0</v>
      </c>
      <c r="AH349" s="18"/>
      <c r="AI349" s="18"/>
      <c r="AJ349" s="18"/>
      <c r="AK349" s="18"/>
      <c r="AL349" s="18"/>
      <c r="AM349" s="18">
        <f t="shared" si="46"/>
        <v>0</v>
      </c>
      <c r="AN349" s="18"/>
      <c r="AO349" s="18"/>
      <c r="AP349" s="18">
        <f t="shared" si="40"/>
        <v>0</v>
      </c>
      <c r="AQ349" s="32">
        <f t="shared" si="47"/>
        <v>1</v>
      </c>
    </row>
    <row r="350" spans="1:43" x14ac:dyDescent="0.35">
      <c r="A350" s="126" t="s">
        <v>940</v>
      </c>
      <c r="B350" s="126" t="s">
        <v>941</v>
      </c>
      <c r="C350" s="126" t="s">
        <v>1294</v>
      </c>
      <c r="D350" s="128">
        <v>5</v>
      </c>
      <c r="E350" s="128">
        <v>1</v>
      </c>
      <c r="F350" s="128"/>
      <c r="G350" s="128"/>
      <c r="H350" s="128"/>
      <c r="I350" s="18">
        <f t="shared" si="41"/>
        <v>6</v>
      </c>
      <c r="J350" s="128"/>
      <c r="K350" s="128"/>
      <c r="L350" s="128"/>
      <c r="M350" s="128"/>
      <c r="N350" s="128"/>
      <c r="O350" s="18">
        <f t="shared" si="42"/>
        <v>0</v>
      </c>
      <c r="P350" s="18">
        <v>1</v>
      </c>
      <c r="Q350" s="18"/>
      <c r="R350" s="18"/>
      <c r="S350" s="18"/>
      <c r="T350" s="18"/>
      <c r="U350" s="18">
        <f t="shared" si="43"/>
        <v>1</v>
      </c>
      <c r="V350" s="18"/>
      <c r="W350" s="18"/>
      <c r="X350" s="18"/>
      <c r="Y350" s="18"/>
      <c r="Z350" s="18"/>
      <c r="AA350" s="18">
        <f t="shared" si="44"/>
        <v>0</v>
      </c>
      <c r="AB350" s="18"/>
      <c r="AC350" s="18"/>
      <c r="AD350" s="18"/>
      <c r="AE350" s="18"/>
      <c r="AF350" s="18"/>
      <c r="AG350" s="18">
        <f t="shared" si="45"/>
        <v>0</v>
      </c>
      <c r="AH350" s="18"/>
      <c r="AI350" s="18"/>
      <c r="AJ350" s="18"/>
      <c r="AK350" s="18"/>
      <c r="AL350" s="18"/>
      <c r="AM350" s="18">
        <f t="shared" si="46"/>
        <v>0</v>
      </c>
      <c r="AN350" s="18"/>
      <c r="AO350" s="18"/>
      <c r="AP350" s="18">
        <f t="shared" si="40"/>
        <v>0</v>
      </c>
      <c r="AQ350" s="32">
        <f t="shared" si="47"/>
        <v>7</v>
      </c>
    </row>
    <row r="351" spans="1:43" x14ac:dyDescent="0.35">
      <c r="A351" s="126" t="s">
        <v>942</v>
      </c>
      <c r="B351" s="126" t="s">
        <v>1254</v>
      </c>
      <c r="C351" s="126" t="s">
        <v>1294</v>
      </c>
      <c r="D351" s="128">
        <v>6</v>
      </c>
      <c r="E351" s="128"/>
      <c r="F351" s="128"/>
      <c r="G351" s="128"/>
      <c r="H351" s="128"/>
      <c r="I351" s="18">
        <f t="shared" si="41"/>
        <v>6</v>
      </c>
      <c r="J351" s="128"/>
      <c r="K351" s="128"/>
      <c r="L351" s="128"/>
      <c r="M351" s="128"/>
      <c r="N351" s="128"/>
      <c r="O351" s="18">
        <f t="shared" si="42"/>
        <v>0</v>
      </c>
      <c r="P351" s="18">
        <v>1</v>
      </c>
      <c r="Q351" s="18"/>
      <c r="R351" s="18"/>
      <c r="S351" s="18"/>
      <c r="T351" s="18"/>
      <c r="U351" s="18">
        <f t="shared" si="43"/>
        <v>1</v>
      </c>
      <c r="V351" s="18">
        <v>2</v>
      </c>
      <c r="W351" s="18"/>
      <c r="X351" s="18"/>
      <c r="Y351" s="18"/>
      <c r="Z351" s="18"/>
      <c r="AA351" s="18">
        <f t="shared" si="44"/>
        <v>2</v>
      </c>
      <c r="AB351" s="18">
        <v>1</v>
      </c>
      <c r="AC351" s="18"/>
      <c r="AD351" s="18"/>
      <c r="AE351" s="18"/>
      <c r="AF351" s="18"/>
      <c r="AG351" s="18">
        <f t="shared" si="45"/>
        <v>1</v>
      </c>
      <c r="AH351" s="18"/>
      <c r="AI351" s="18"/>
      <c r="AJ351" s="18"/>
      <c r="AK351" s="18"/>
      <c r="AL351" s="18"/>
      <c r="AM351" s="18">
        <f t="shared" si="46"/>
        <v>0</v>
      </c>
      <c r="AN351" s="18"/>
      <c r="AO351" s="18"/>
      <c r="AP351" s="18">
        <f t="shared" si="40"/>
        <v>0</v>
      </c>
      <c r="AQ351" s="32">
        <f t="shared" si="47"/>
        <v>10</v>
      </c>
    </row>
    <row r="352" spans="1:43" x14ac:dyDescent="0.35">
      <c r="A352" s="126" t="s">
        <v>1379</v>
      </c>
      <c r="B352" s="126" t="s">
        <v>1380</v>
      </c>
      <c r="C352" s="126" t="s">
        <v>1294</v>
      </c>
      <c r="D352" s="128">
        <v>1</v>
      </c>
      <c r="E352" s="128"/>
      <c r="F352" s="128"/>
      <c r="G352" s="128"/>
      <c r="H352" s="128"/>
      <c r="I352" s="18">
        <f t="shared" si="41"/>
        <v>1</v>
      </c>
      <c r="J352" s="128"/>
      <c r="K352" s="128"/>
      <c r="L352" s="128"/>
      <c r="M352" s="128"/>
      <c r="N352" s="128"/>
      <c r="O352" s="18">
        <f t="shared" si="42"/>
        <v>0</v>
      </c>
      <c r="P352" s="18"/>
      <c r="Q352" s="18"/>
      <c r="R352" s="18"/>
      <c r="S352" s="18"/>
      <c r="T352" s="18"/>
      <c r="U352" s="18">
        <f t="shared" si="43"/>
        <v>0</v>
      </c>
      <c r="V352" s="18"/>
      <c r="W352" s="18"/>
      <c r="X352" s="18"/>
      <c r="Y352" s="18"/>
      <c r="Z352" s="18"/>
      <c r="AA352" s="18">
        <f t="shared" si="44"/>
        <v>0</v>
      </c>
      <c r="AB352" s="18"/>
      <c r="AC352" s="18"/>
      <c r="AD352" s="18"/>
      <c r="AE352" s="18"/>
      <c r="AF352" s="18"/>
      <c r="AG352" s="18">
        <f t="shared" si="45"/>
        <v>0</v>
      </c>
      <c r="AH352" s="18"/>
      <c r="AI352" s="18"/>
      <c r="AJ352" s="18"/>
      <c r="AK352" s="18"/>
      <c r="AL352" s="18"/>
      <c r="AM352" s="18">
        <f t="shared" si="46"/>
        <v>0</v>
      </c>
      <c r="AN352" s="18"/>
      <c r="AO352" s="18"/>
      <c r="AP352" s="18">
        <f t="shared" si="40"/>
        <v>0</v>
      </c>
      <c r="AQ352" s="32">
        <f t="shared" si="47"/>
        <v>1</v>
      </c>
    </row>
    <row r="353" spans="1:43" x14ac:dyDescent="0.35">
      <c r="A353" s="126" t="s">
        <v>943</v>
      </c>
      <c r="B353" s="126" t="s">
        <v>1255</v>
      </c>
      <c r="C353" s="126" t="s">
        <v>1294</v>
      </c>
      <c r="D353" s="128"/>
      <c r="E353" s="128"/>
      <c r="F353" s="128"/>
      <c r="G353" s="128">
        <v>1</v>
      </c>
      <c r="H353" s="128"/>
      <c r="I353" s="18">
        <f t="shared" si="41"/>
        <v>1</v>
      </c>
      <c r="J353" s="128"/>
      <c r="K353" s="128"/>
      <c r="L353" s="128"/>
      <c r="M353" s="128"/>
      <c r="N353" s="128"/>
      <c r="O353" s="18">
        <f t="shared" si="42"/>
        <v>0</v>
      </c>
      <c r="P353" s="18"/>
      <c r="Q353" s="18"/>
      <c r="R353" s="18"/>
      <c r="S353" s="18"/>
      <c r="T353" s="18"/>
      <c r="U353" s="18">
        <f t="shared" si="43"/>
        <v>0</v>
      </c>
      <c r="V353" s="18"/>
      <c r="W353" s="18"/>
      <c r="X353" s="18"/>
      <c r="Y353" s="18"/>
      <c r="Z353" s="18"/>
      <c r="AA353" s="18">
        <f t="shared" si="44"/>
        <v>0</v>
      </c>
      <c r="AB353" s="18"/>
      <c r="AC353" s="18"/>
      <c r="AD353" s="18"/>
      <c r="AE353" s="18"/>
      <c r="AF353" s="18"/>
      <c r="AG353" s="18">
        <f t="shared" si="45"/>
        <v>0</v>
      </c>
      <c r="AH353" s="18"/>
      <c r="AI353" s="18"/>
      <c r="AJ353" s="18"/>
      <c r="AK353" s="18"/>
      <c r="AL353" s="18"/>
      <c r="AM353" s="18">
        <f t="shared" si="46"/>
        <v>0</v>
      </c>
      <c r="AN353" s="18"/>
      <c r="AO353" s="18"/>
      <c r="AP353" s="18">
        <f t="shared" si="40"/>
        <v>0</v>
      </c>
      <c r="AQ353" s="32">
        <f t="shared" si="47"/>
        <v>1</v>
      </c>
    </row>
    <row r="354" spans="1:43" x14ac:dyDescent="0.35">
      <c r="A354" s="126" t="s">
        <v>944</v>
      </c>
      <c r="B354" s="126" t="s">
        <v>945</v>
      </c>
      <c r="C354" s="126" t="s">
        <v>1294</v>
      </c>
      <c r="D354" s="128">
        <v>2</v>
      </c>
      <c r="E354" s="128"/>
      <c r="F354" s="128"/>
      <c r="G354" s="128"/>
      <c r="H354" s="128"/>
      <c r="I354" s="18">
        <f t="shared" si="41"/>
        <v>2</v>
      </c>
      <c r="J354" s="128"/>
      <c r="K354" s="128"/>
      <c r="L354" s="128"/>
      <c r="M354" s="128"/>
      <c r="N354" s="128"/>
      <c r="O354" s="18">
        <f t="shared" si="42"/>
        <v>0</v>
      </c>
      <c r="P354" s="18"/>
      <c r="Q354" s="18"/>
      <c r="R354" s="18"/>
      <c r="S354" s="18"/>
      <c r="T354" s="18"/>
      <c r="U354" s="18">
        <f t="shared" si="43"/>
        <v>0</v>
      </c>
      <c r="V354" s="18"/>
      <c r="W354" s="18"/>
      <c r="X354" s="18"/>
      <c r="Y354" s="18"/>
      <c r="Z354" s="18"/>
      <c r="AA354" s="18">
        <f t="shared" si="44"/>
        <v>0</v>
      </c>
      <c r="AB354" s="18"/>
      <c r="AC354" s="18"/>
      <c r="AD354" s="18"/>
      <c r="AE354" s="18"/>
      <c r="AF354" s="18"/>
      <c r="AG354" s="18">
        <f t="shared" si="45"/>
        <v>0</v>
      </c>
      <c r="AH354" s="18"/>
      <c r="AI354" s="18"/>
      <c r="AJ354" s="18"/>
      <c r="AK354" s="18"/>
      <c r="AL354" s="18"/>
      <c r="AM354" s="18">
        <f t="shared" si="46"/>
        <v>0</v>
      </c>
      <c r="AN354" s="18"/>
      <c r="AO354" s="18"/>
      <c r="AP354" s="18">
        <f t="shared" si="40"/>
        <v>0</v>
      </c>
      <c r="AQ354" s="32">
        <f t="shared" si="47"/>
        <v>2</v>
      </c>
    </row>
    <row r="355" spans="1:43" x14ac:dyDescent="0.35">
      <c r="A355" s="126" t="s">
        <v>946</v>
      </c>
      <c r="B355" s="126" t="s">
        <v>947</v>
      </c>
      <c r="C355" s="126" t="s">
        <v>1294</v>
      </c>
      <c r="D355" s="128">
        <v>12</v>
      </c>
      <c r="E355" s="128"/>
      <c r="F355" s="128">
        <v>1</v>
      </c>
      <c r="G355" s="128">
        <v>2</v>
      </c>
      <c r="H355" s="128"/>
      <c r="I355" s="18">
        <f t="shared" si="41"/>
        <v>15</v>
      </c>
      <c r="J355" s="128"/>
      <c r="K355" s="128"/>
      <c r="L355" s="128"/>
      <c r="M355" s="128"/>
      <c r="N355" s="128"/>
      <c r="O355" s="18">
        <f t="shared" si="42"/>
        <v>0</v>
      </c>
      <c r="P355" s="18"/>
      <c r="Q355" s="18"/>
      <c r="R355" s="18"/>
      <c r="S355" s="18"/>
      <c r="T355" s="18"/>
      <c r="U355" s="18">
        <f t="shared" si="43"/>
        <v>0</v>
      </c>
      <c r="V355" s="18"/>
      <c r="W355" s="18"/>
      <c r="X355" s="18"/>
      <c r="Y355" s="18"/>
      <c r="Z355" s="18"/>
      <c r="AA355" s="18">
        <f t="shared" si="44"/>
        <v>0</v>
      </c>
      <c r="AB355" s="18"/>
      <c r="AC355" s="18"/>
      <c r="AD355" s="18"/>
      <c r="AE355" s="18"/>
      <c r="AF355" s="18"/>
      <c r="AG355" s="18">
        <f t="shared" si="45"/>
        <v>0</v>
      </c>
      <c r="AH355" s="18"/>
      <c r="AI355" s="18"/>
      <c r="AJ355" s="18"/>
      <c r="AK355" s="18"/>
      <c r="AL355" s="18"/>
      <c r="AM355" s="18">
        <f t="shared" si="46"/>
        <v>0</v>
      </c>
      <c r="AN355" s="18"/>
      <c r="AO355" s="18"/>
      <c r="AP355" s="18">
        <f t="shared" si="40"/>
        <v>0</v>
      </c>
      <c r="AQ355" s="32">
        <f t="shared" si="47"/>
        <v>15</v>
      </c>
    </row>
    <row r="356" spans="1:43" x14ac:dyDescent="0.35">
      <c r="A356" s="126" t="s">
        <v>948</v>
      </c>
      <c r="B356" s="126" t="s">
        <v>949</v>
      </c>
      <c r="C356" s="126" t="s">
        <v>1294</v>
      </c>
      <c r="D356" s="128">
        <v>96</v>
      </c>
      <c r="E356" s="128">
        <v>18</v>
      </c>
      <c r="F356" s="128">
        <v>3</v>
      </c>
      <c r="G356" s="128">
        <v>9</v>
      </c>
      <c r="H356" s="128"/>
      <c r="I356" s="18">
        <f t="shared" si="41"/>
        <v>126</v>
      </c>
      <c r="J356" s="128">
        <v>2</v>
      </c>
      <c r="K356" s="128"/>
      <c r="L356" s="128"/>
      <c r="M356" s="128"/>
      <c r="N356" s="128"/>
      <c r="O356" s="18">
        <f t="shared" si="42"/>
        <v>2</v>
      </c>
      <c r="P356" s="18"/>
      <c r="Q356" s="18"/>
      <c r="R356" s="18"/>
      <c r="S356" s="18"/>
      <c r="T356" s="18"/>
      <c r="U356" s="18">
        <f t="shared" si="43"/>
        <v>0</v>
      </c>
      <c r="V356" s="18"/>
      <c r="W356" s="18"/>
      <c r="X356" s="18"/>
      <c r="Y356" s="18"/>
      <c r="Z356" s="18"/>
      <c r="AA356" s="18">
        <f t="shared" si="44"/>
        <v>0</v>
      </c>
      <c r="AB356" s="18">
        <v>3</v>
      </c>
      <c r="AC356" s="18"/>
      <c r="AD356" s="18"/>
      <c r="AE356" s="18"/>
      <c r="AF356" s="18"/>
      <c r="AG356" s="18">
        <f t="shared" si="45"/>
        <v>3</v>
      </c>
      <c r="AH356" s="18"/>
      <c r="AI356" s="18"/>
      <c r="AJ356" s="18"/>
      <c r="AK356" s="18"/>
      <c r="AL356" s="18"/>
      <c r="AM356" s="18">
        <f t="shared" si="46"/>
        <v>0</v>
      </c>
      <c r="AN356" s="18"/>
      <c r="AO356" s="18"/>
      <c r="AP356" s="18">
        <f t="shared" si="40"/>
        <v>0</v>
      </c>
      <c r="AQ356" s="32">
        <f t="shared" si="47"/>
        <v>131</v>
      </c>
    </row>
    <row r="357" spans="1:43" x14ac:dyDescent="0.35">
      <c r="A357" s="126" t="s">
        <v>950</v>
      </c>
      <c r="B357" s="126" t="s">
        <v>1256</v>
      </c>
      <c r="C357" s="126" t="s">
        <v>1294</v>
      </c>
      <c r="D357" s="128">
        <v>5</v>
      </c>
      <c r="E357" s="128"/>
      <c r="F357" s="128"/>
      <c r="G357" s="128"/>
      <c r="H357" s="128"/>
      <c r="I357" s="18">
        <f t="shared" si="41"/>
        <v>5</v>
      </c>
      <c r="J357" s="128"/>
      <c r="K357" s="128"/>
      <c r="L357" s="128"/>
      <c r="M357" s="128"/>
      <c r="N357" s="128"/>
      <c r="O357" s="18">
        <f t="shared" si="42"/>
        <v>0</v>
      </c>
      <c r="P357" s="18"/>
      <c r="Q357" s="18"/>
      <c r="R357" s="18"/>
      <c r="S357" s="18"/>
      <c r="T357" s="18"/>
      <c r="U357" s="18">
        <f t="shared" si="43"/>
        <v>0</v>
      </c>
      <c r="V357" s="18"/>
      <c r="W357" s="18"/>
      <c r="X357" s="18"/>
      <c r="Y357" s="18"/>
      <c r="Z357" s="18"/>
      <c r="AA357" s="18">
        <f t="shared" si="44"/>
        <v>0</v>
      </c>
      <c r="AB357" s="18"/>
      <c r="AC357" s="18"/>
      <c r="AD357" s="18"/>
      <c r="AE357" s="18"/>
      <c r="AF357" s="18"/>
      <c r="AG357" s="18">
        <f t="shared" si="45"/>
        <v>0</v>
      </c>
      <c r="AH357" s="18"/>
      <c r="AI357" s="18"/>
      <c r="AJ357" s="18"/>
      <c r="AK357" s="18"/>
      <c r="AL357" s="18"/>
      <c r="AM357" s="18">
        <f t="shared" si="46"/>
        <v>0</v>
      </c>
      <c r="AN357" s="18"/>
      <c r="AO357" s="18"/>
      <c r="AP357" s="18">
        <f t="shared" si="40"/>
        <v>0</v>
      </c>
      <c r="AQ357" s="32">
        <f t="shared" si="47"/>
        <v>5</v>
      </c>
    </row>
    <row r="358" spans="1:43" x14ac:dyDescent="0.35">
      <c r="A358" s="126" t="s">
        <v>951</v>
      </c>
      <c r="B358" s="126" t="s">
        <v>952</v>
      </c>
      <c r="C358" s="126" t="s">
        <v>1294</v>
      </c>
      <c r="D358" s="128">
        <v>78</v>
      </c>
      <c r="E358" s="128">
        <v>7</v>
      </c>
      <c r="F358" s="128">
        <v>1</v>
      </c>
      <c r="G358" s="128"/>
      <c r="H358" s="128"/>
      <c r="I358" s="18">
        <f t="shared" si="41"/>
        <v>86</v>
      </c>
      <c r="J358" s="128"/>
      <c r="K358" s="128"/>
      <c r="L358" s="128"/>
      <c r="M358" s="128"/>
      <c r="N358" s="128"/>
      <c r="O358" s="18">
        <f t="shared" si="42"/>
        <v>0</v>
      </c>
      <c r="P358" s="18"/>
      <c r="Q358" s="18"/>
      <c r="R358" s="18"/>
      <c r="S358" s="18"/>
      <c r="T358" s="18"/>
      <c r="U358" s="18">
        <f t="shared" si="43"/>
        <v>0</v>
      </c>
      <c r="V358" s="18"/>
      <c r="W358" s="18"/>
      <c r="X358" s="18"/>
      <c r="Y358" s="18"/>
      <c r="Z358" s="18"/>
      <c r="AA358" s="18">
        <f t="shared" si="44"/>
        <v>0</v>
      </c>
      <c r="AB358" s="18">
        <v>2</v>
      </c>
      <c r="AC358" s="18"/>
      <c r="AD358" s="18"/>
      <c r="AE358" s="18"/>
      <c r="AF358" s="18"/>
      <c r="AG358" s="18">
        <f t="shared" si="45"/>
        <v>2</v>
      </c>
      <c r="AH358" s="18">
        <v>1</v>
      </c>
      <c r="AI358" s="18"/>
      <c r="AJ358" s="18"/>
      <c r="AK358" s="18"/>
      <c r="AL358" s="18"/>
      <c r="AM358" s="18">
        <f t="shared" si="46"/>
        <v>1</v>
      </c>
      <c r="AN358" s="18"/>
      <c r="AO358" s="18"/>
      <c r="AP358" s="18">
        <f t="shared" si="40"/>
        <v>0</v>
      </c>
      <c r="AQ358" s="32">
        <f t="shared" si="47"/>
        <v>89</v>
      </c>
    </row>
    <row r="359" spans="1:43" x14ac:dyDescent="0.35">
      <c r="A359" s="126" t="s">
        <v>953</v>
      </c>
      <c r="B359" s="126" t="s">
        <v>954</v>
      </c>
      <c r="C359" s="126" t="s">
        <v>1294</v>
      </c>
      <c r="D359" s="128">
        <v>116</v>
      </c>
      <c r="E359" s="128">
        <v>8</v>
      </c>
      <c r="F359" s="128">
        <v>2</v>
      </c>
      <c r="G359" s="128">
        <v>5</v>
      </c>
      <c r="H359" s="128"/>
      <c r="I359" s="18">
        <f t="shared" si="41"/>
        <v>131</v>
      </c>
      <c r="J359" s="128">
        <v>6</v>
      </c>
      <c r="K359" s="128"/>
      <c r="L359" s="128"/>
      <c r="M359" s="128"/>
      <c r="N359" s="128"/>
      <c r="O359" s="18">
        <f t="shared" si="42"/>
        <v>6</v>
      </c>
      <c r="P359" s="18"/>
      <c r="Q359" s="18"/>
      <c r="R359" s="18"/>
      <c r="S359" s="18"/>
      <c r="T359" s="18"/>
      <c r="U359" s="18">
        <f t="shared" si="43"/>
        <v>0</v>
      </c>
      <c r="V359" s="18"/>
      <c r="W359" s="18"/>
      <c r="X359" s="18"/>
      <c r="Y359" s="18"/>
      <c r="Z359" s="18"/>
      <c r="AA359" s="18">
        <f t="shared" si="44"/>
        <v>0</v>
      </c>
      <c r="AB359" s="18">
        <v>2</v>
      </c>
      <c r="AC359" s="18"/>
      <c r="AD359" s="18"/>
      <c r="AE359" s="18"/>
      <c r="AF359" s="18"/>
      <c r="AG359" s="18">
        <f t="shared" si="45"/>
        <v>2</v>
      </c>
      <c r="AH359" s="18">
        <v>1</v>
      </c>
      <c r="AI359" s="18"/>
      <c r="AJ359" s="18"/>
      <c r="AK359" s="18"/>
      <c r="AL359" s="18"/>
      <c r="AM359" s="18">
        <f t="shared" si="46"/>
        <v>1</v>
      </c>
      <c r="AN359" s="18"/>
      <c r="AO359" s="18"/>
      <c r="AP359" s="18">
        <f t="shared" si="40"/>
        <v>0</v>
      </c>
      <c r="AQ359" s="32">
        <f t="shared" si="47"/>
        <v>140</v>
      </c>
    </row>
    <row r="360" spans="1:43" x14ac:dyDescent="0.35">
      <c r="A360" s="126" t="s">
        <v>955</v>
      </c>
      <c r="B360" s="126" t="s">
        <v>956</v>
      </c>
      <c r="C360" s="126" t="s">
        <v>1294</v>
      </c>
      <c r="D360" s="128">
        <v>1034</v>
      </c>
      <c r="E360" s="128">
        <v>47</v>
      </c>
      <c r="F360" s="128">
        <v>10</v>
      </c>
      <c r="G360" s="128">
        <v>3</v>
      </c>
      <c r="H360" s="128"/>
      <c r="I360" s="18">
        <f t="shared" si="41"/>
        <v>1094</v>
      </c>
      <c r="J360" s="128">
        <v>7</v>
      </c>
      <c r="K360" s="128"/>
      <c r="L360" s="128"/>
      <c r="M360" s="128"/>
      <c r="N360" s="128"/>
      <c r="O360" s="18">
        <f t="shared" si="42"/>
        <v>7</v>
      </c>
      <c r="P360" s="18">
        <v>5</v>
      </c>
      <c r="Q360" s="18"/>
      <c r="R360" s="18"/>
      <c r="S360" s="18"/>
      <c r="T360" s="18"/>
      <c r="U360" s="18">
        <f t="shared" si="43"/>
        <v>5</v>
      </c>
      <c r="V360" s="18">
        <v>4</v>
      </c>
      <c r="W360" s="18"/>
      <c r="X360" s="18"/>
      <c r="Y360" s="18"/>
      <c r="Z360" s="18"/>
      <c r="AA360" s="18">
        <f t="shared" si="44"/>
        <v>4</v>
      </c>
      <c r="AB360" s="18">
        <v>41</v>
      </c>
      <c r="AC360" s="18">
        <v>1</v>
      </c>
      <c r="AD360" s="18"/>
      <c r="AE360" s="18"/>
      <c r="AF360" s="18"/>
      <c r="AG360" s="18">
        <f t="shared" si="45"/>
        <v>42</v>
      </c>
      <c r="AH360" s="18">
        <v>1</v>
      </c>
      <c r="AI360" s="18"/>
      <c r="AJ360" s="18"/>
      <c r="AK360" s="18"/>
      <c r="AL360" s="18"/>
      <c r="AM360" s="18">
        <f t="shared" si="46"/>
        <v>1</v>
      </c>
      <c r="AN360" s="18"/>
      <c r="AO360" s="18"/>
      <c r="AP360" s="18">
        <f t="shared" si="40"/>
        <v>0</v>
      </c>
      <c r="AQ360" s="32">
        <f t="shared" si="47"/>
        <v>1153</v>
      </c>
    </row>
    <row r="361" spans="1:43" x14ac:dyDescent="0.35">
      <c r="A361" s="126" t="s">
        <v>957</v>
      </c>
      <c r="B361" s="126" t="s">
        <v>958</v>
      </c>
      <c r="C361" s="126" t="s">
        <v>1294</v>
      </c>
      <c r="D361" s="128">
        <v>21</v>
      </c>
      <c r="E361" s="128">
        <v>7</v>
      </c>
      <c r="F361" s="128"/>
      <c r="G361" s="128"/>
      <c r="H361" s="128"/>
      <c r="I361" s="18">
        <f t="shared" si="41"/>
        <v>28</v>
      </c>
      <c r="J361" s="128"/>
      <c r="K361" s="128"/>
      <c r="L361" s="128"/>
      <c r="M361" s="128"/>
      <c r="N361" s="128"/>
      <c r="O361" s="18">
        <f t="shared" si="42"/>
        <v>0</v>
      </c>
      <c r="P361" s="18"/>
      <c r="Q361" s="18"/>
      <c r="R361" s="18"/>
      <c r="S361" s="18"/>
      <c r="T361" s="18"/>
      <c r="U361" s="18">
        <f t="shared" si="43"/>
        <v>0</v>
      </c>
      <c r="V361" s="18"/>
      <c r="W361" s="18"/>
      <c r="X361" s="18"/>
      <c r="Y361" s="18"/>
      <c r="Z361" s="18"/>
      <c r="AA361" s="18">
        <f t="shared" si="44"/>
        <v>0</v>
      </c>
      <c r="AB361" s="18"/>
      <c r="AC361" s="18"/>
      <c r="AD361" s="18"/>
      <c r="AE361" s="18"/>
      <c r="AF361" s="18"/>
      <c r="AG361" s="18">
        <f t="shared" si="45"/>
        <v>0</v>
      </c>
      <c r="AH361" s="18"/>
      <c r="AI361" s="18"/>
      <c r="AJ361" s="18"/>
      <c r="AK361" s="18"/>
      <c r="AL361" s="18"/>
      <c r="AM361" s="18">
        <f t="shared" si="46"/>
        <v>0</v>
      </c>
      <c r="AN361" s="18"/>
      <c r="AO361" s="18"/>
      <c r="AP361" s="18">
        <f t="shared" si="40"/>
        <v>0</v>
      </c>
      <c r="AQ361" s="32">
        <f t="shared" si="47"/>
        <v>28</v>
      </c>
    </row>
    <row r="362" spans="1:43" x14ac:dyDescent="0.35">
      <c r="A362" s="126" t="s">
        <v>959</v>
      </c>
      <c r="B362" s="126" t="s">
        <v>960</v>
      </c>
      <c r="C362" s="126" t="s">
        <v>1294</v>
      </c>
      <c r="D362" s="128">
        <v>1</v>
      </c>
      <c r="E362" s="128"/>
      <c r="F362" s="128">
        <v>2</v>
      </c>
      <c r="G362" s="128">
        <v>3</v>
      </c>
      <c r="H362" s="128"/>
      <c r="I362" s="18">
        <f t="shared" si="41"/>
        <v>6</v>
      </c>
      <c r="J362" s="128"/>
      <c r="K362" s="128"/>
      <c r="L362" s="128"/>
      <c r="M362" s="128"/>
      <c r="N362" s="128"/>
      <c r="O362" s="18">
        <f t="shared" si="42"/>
        <v>0</v>
      </c>
      <c r="P362" s="18"/>
      <c r="Q362" s="18"/>
      <c r="R362" s="18"/>
      <c r="S362" s="18"/>
      <c r="T362" s="18"/>
      <c r="U362" s="18">
        <f t="shared" si="43"/>
        <v>0</v>
      </c>
      <c r="V362" s="18"/>
      <c r="W362" s="18"/>
      <c r="X362" s="18"/>
      <c r="Y362" s="18"/>
      <c r="Z362" s="18"/>
      <c r="AA362" s="18">
        <f t="shared" si="44"/>
        <v>0</v>
      </c>
      <c r="AB362" s="18"/>
      <c r="AC362" s="18"/>
      <c r="AD362" s="18"/>
      <c r="AE362" s="18"/>
      <c r="AF362" s="18"/>
      <c r="AG362" s="18">
        <f t="shared" si="45"/>
        <v>0</v>
      </c>
      <c r="AH362" s="18"/>
      <c r="AI362" s="18"/>
      <c r="AJ362" s="18"/>
      <c r="AK362" s="18"/>
      <c r="AL362" s="18"/>
      <c r="AM362" s="18">
        <f t="shared" si="46"/>
        <v>0</v>
      </c>
      <c r="AN362" s="18"/>
      <c r="AO362" s="18"/>
      <c r="AP362" s="18">
        <f t="shared" si="40"/>
        <v>0</v>
      </c>
      <c r="AQ362" s="32">
        <f t="shared" si="47"/>
        <v>6</v>
      </c>
    </row>
    <row r="363" spans="1:43" x14ac:dyDescent="0.35">
      <c r="A363" s="126" t="s">
        <v>961</v>
      </c>
      <c r="B363" s="126" t="s">
        <v>962</v>
      </c>
      <c r="C363" s="126" t="s">
        <v>1294</v>
      </c>
      <c r="D363" s="128">
        <v>7503</v>
      </c>
      <c r="E363" s="128">
        <v>255</v>
      </c>
      <c r="F363" s="128">
        <v>53</v>
      </c>
      <c r="G363" s="128">
        <v>16</v>
      </c>
      <c r="H363" s="128"/>
      <c r="I363" s="18">
        <f t="shared" si="41"/>
        <v>7827</v>
      </c>
      <c r="J363" s="128">
        <v>73</v>
      </c>
      <c r="K363" s="128">
        <v>2</v>
      </c>
      <c r="L363" s="128"/>
      <c r="M363" s="128"/>
      <c r="N363" s="128"/>
      <c r="O363" s="18">
        <f t="shared" si="42"/>
        <v>75</v>
      </c>
      <c r="P363" s="18">
        <v>55</v>
      </c>
      <c r="Q363" s="18">
        <v>1</v>
      </c>
      <c r="R363" s="18"/>
      <c r="S363" s="18"/>
      <c r="T363" s="18"/>
      <c r="U363" s="18">
        <f t="shared" si="43"/>
        <v>56</v>
      </c>
      <c r="V363" s="18">
        <v>16</v>
      </c>
      <c r="W363" s="18"/>
      <c r="X363" s="18"/>
      <c r="Y363" s="18"/>
      <c r="Z363" s="18"/>
      <c r="AA363" s="18">
        <f t="shared" si="44"/>
        <v>16</v>
      </c>
      <c r="AB363" s="18">
        <v>204</v>
      </c>
      <c r="AC363" s="18">
        <v>6</v>
      </c>
      <c r="AD363" s="18"/>
      <c r="AE363" s="18"/>
      <c r="AF363" s="18"/>
      <c r="AG363" s="18">
        <f t="shared" si="45"/>
        <v>210</v>
      </c>
      <c r="AH363" s="18">
        <v>40</v>
      </c>
      <c r="AI363" s="18">
        <v>1</v>
      </c>
      <c r="AJ363" s="18"/>
      <c r="AK363" s="18"/>
      <c r="AL363" s="18"/>
      <c r="AM363" s="18">
        <f t="shared" si="46"/>
        <v>41</v>
      </c>
      <c r="AN363" s="18"/>
      <c r="AO363" s="18">
        <v>1</v>
      </c>
      <c r="AP363" s="18">
        <f t="shared" si="40"/>
        <v>1</v>
      </c>
      <c r="AQ363" s="32">
        <f t="shared" si="47"/>
        <v>8226</v>
      </c>
    </row>
    <row r="364" spans="1:43" x14ac:dyDescent="0.35">
      <c r="A364" s="126" t="s">
        <v>963</v>
      </c>
      <c r="B364" s="126" t="s">
        <v>1257</v>
      </c>
      <c r="C364" s="126" t="s">
        <v>1294</v>
      </c>
      <c r="D364" s="128">
        <v>1166</v>
      </c>
      <c r="E364" s="128">
        <v>60</v>
      </c>
      <c r="F364" s="128">
        <v>16</v>
      </c>
      <c r="G364" s="128">
        <v>5</v>
      </c>
      <c r="H364" s="128"/>
      <c r="I364" s="18">
        <f t="shared" si="41"/>
        <v>1247</v>
      </c>
      <c r="J364" s="128">
        <v>14</v>
      </c>
      <c r="K364" s="128"/>
      <c r="L364" s="128"/>
      <c r="M364" s="128"/>
      <c r="N364" s="128"/>
      <c r="O364" s="18">
        <f t="shared" si="42"/>
        <v>14</v>
      </c>
      <c r="P364" s="18">
        <v>9</v>
      </c>
      <c r="Q364" s="18"/>
      <c r="R364" s="18"/>
      <c r="S364" s="18"/>
      <c r="T364" s="18"/>
      <c r="U364" s="18">
        <f t="shared" si="43"/>
        <v>9</v>
      </c>
      <c r="V364" s="18">
        <v>8</v>
      </c>
      <c r="W364" s="18"/>
      <c r="X364" s="18"/>
      <c r="Y364" s="18"/>
      <c r="Z364" s="18"/>
      <c r="AA364" s="18">
        <f t="shared" si="44"/>
        <v>8</v>
      </c>
      <c r="AB364" s="18">
        <v>75</v>
      </c>
      <c r="AC364" s="18">
        <v>1</v>
      </c>
      <c r="AD364" s="18"/>
      <c r="AE364" s="18"/>
      <c r="AF364" s="18"/>
      <c r="AG364" s="18">
        <f t="shared" si="45"/>
        <v>76</v>
      </c>
      <c r="AH364" s="18">
        <v>20</v>
      </c>
      <c r="AI364" s="18"/>
      <c r="AJ364" s="18"/>
      <c r="AK364" s="18"/>
      <c r="AL364" s="18"/>
      <c r="AM364" s="18">
        <f t="shared" si="46"/>
        <v>20</v>
      </c>
      <c r="AN364" s="18"/>
      <c r="AO364" s="18"/>
      <c r="AP364" s="18">
        <f t="shared" si="40"/>
        <v>0</v>
      </c>
      <c r="AQ364" s="32">
        <f t="shared" si="47"/>
        <v>1374</v>
      </c>
    </row>
    <row r="365" spans="1:43" x14ac:dyDescent="0.35">
      <c r="A365" s="126" t="s">
        <v>964</v>
      </c>
      <c r="B365" s="126" t="s">
        <v>965</v>
      </c>
      <c r="C365" s="126" t="s">
        <v>1294</v>
      </c>
      <c r="D365" s="128">
        <v>1294</v>
      </c>
      <c r="E365" s="128">
        <v>54</v>
      </c>
      <c r="F365" s="128">
        <v>6</v>
      </c>
      <c r="G365" s="128">
        <v>1</v>
      </c>
      <c r="H365" s="128"/>
      <c r="I365" s="18">
        <f t="shared" si="41"/>
        <v>1355</v>
      </c>
      <c r="J365" s="128">
        <v>12</v>
      </c>
      <c r="K365" s="128"/>
      <c r="L365" s="128"/>
      <c r="M365" s="128"/>
      <c r="N365" s="128"/>
      <c r="O365" s="18">
        <f t="shared" si="42"/>
        <v>12</v>
      </c>
      <c r="P365" s="18">
        <v>11</v>
      </c>
      <c r="Q365" s="18"/>
      <c r="R365" s="18"/>
      <c r="S365" s="18"/>
      <c r="T365" s="18"/>
      <c r="U365" s="18">
        <f t="shared" si="43"/>
        <v>11</v>
      </c>
      <c r="V365" s="18">
        <v>3</v>
      </c>
      <c r="W365" s="18"/>
      <c r="X365" s="18"/>
      <c r="Y365" s="18"/>
      <c r="Z365" s="18"/>
      <c r="AA365" s="18">
        <f t="shared" si="44"/>
        <v>3</v>
      </c>
      <c r="AB365" s="18">
        <v>56</v>
      </c>
      <c r="AC365" s="18"/>
      <c r="AD365" s="18">
        <v>1</v>
      </c>
      <c r="AE365" s="18"/>
      <c r="AF365" s="18"/>
      <c r="AG365" s="18">
        <f t="shared" si="45"/>
        <v>57</v>
      </c>
      <c r="AH365" s="18">
        <v>10</v>
      </c>
      <c r="AI365" s="18"/>
      <c r="AJ365" s="18"/>
      <c r="AK365" s="18"/>
      <c r="AL365" s="18"/>
      <c r="AM365" s="18">
        <f t="shared" si="46"/>
        <v>10</v>
      </c>
      <c r="AN365" s="18"/>
      <c r="AO365" s="18"/>
      <c r="AP365" s="18">
        <f t="shared" si="40"/>
        <v>0</v>
      </c>
      <c r="AQ365" s="32">
        <f t="shared" si="47"/>
        <v>1448</v>
      </c>
    </row>
    <row r="366" spans="1:43" x14ac:dyDescent="0.35">
      <c r="A366" s="126" t="s">
        <v>966</v>
      </c>
      <c r="B366" s="126" t="s">
        <v>967</v>
      </c>
      <c r="C366" s="126" t="s">
        <v>1294</v>
      </c>
      <c r="D366" s="128">
        <v>480</v>
      </c>
      <c r="E366" s="128">
        <v>27</v>
      </c>
      <c r="F366" s="128">
        <v>2</v>
      </c>
      <c r="G366" s="128"/>
      <c r="H366" s="128"/>
      <c r="I366" s="18">
        <f t="shared" si="41"/>
        <v>509</v>
      </c>
      <c r="J366" s="128">
        <v>8</v>
      </c>
      <c r="K366" s="128"/>
      <c r="L366" s="128"/>
      <c r="M366" s="128"/>
      <c r="N366" s="128"/>
      <c r="O366" s="18">
        <f t="shared" si="42"/>
        <v>8</v>
      </c>
      <c r="P366" s="18">
        <v>11</v>
      </c>
      <c r="Q366" s="18">
        <v>1</v>
      </c>
      <c r="R366" s="18"/>
      <c r="S366" s="18"/>
      <c r="T366" s="18"/>
      <c r="U366" s="18">
        <f t="shared" si="43"/>
        <v>12</v>
      </c>
      <c r="V366" s="18">
        <v>11</v>
      </c>
      <c r="W366" s="18"/>
      <c r="X366" s="18"/>
      <c r="Y366" s="18"/>
      <c r="Z366" s="18"/>
      <c r="AA366" s="18">
        <f t="shared" si="44"/>
        <v>11</v>
      </c>
      <c r="AB366" s="18">
        <v>35</v>
      </c>
      <c r="AC366" s="18"/>
      <c r="AD366" s="18"/>
      <c r="AE366" s="18"/>
      <c r="AF366" s="18"/>
      <c r="AG366" s="18">
        <f t="shared" si="45"/>
        <v>35</v>
      </c>
      <c r="AH366" s="18">
        <v>5</v>
      </c>
      <c r="AI366" s="18"/>
      <c r="AJ366" s="18"/>
      <c r="AK366" s="18"/>
      <c r="AL366" s="18"/>
      <c r="AM366" s="18">
        <f t="shared" si="46"/>
        <v>5</v>
      </c>
      <c r="AN366" s="18"/>
      <c r="AO366" s="18"/>
      <c r="AP366" s="18">
        <f t="shared" si="40"/>
        <v>0</v>
      </c>
      <c r="AQ366" s="32">
        <f t="shared" si="47"/>
        <v>580</v>
      </c>
    </row>
    <row r="367" spans="1:43" x14ac:dyDescent="0.35">
      <c r="A367" s="126" t="s">
        <v>968</v>
      </c>
      <c r="B367" s="126" t="s">
        <v>969</v>
      </c>
      <c r="C367" s="126" t="s">
        <v>1294</v>
      </c>
      <c r="D367" s="128">
        <v>2035</v>
      </c>
      <c r="E367" s="128">
        <v>85</v>
      </c>
      <c r="F367" s="128">
        <v>23</v>
      </c>
      <c r="G367" s="128">
        <v>10</v>
      </c>
      <c r="H367" s="128"/>
      <c r="I367" s="18">
        <f t="shared" si="41"/>
        <v>2153</v>
      </c>
      <c r="J367" s="128">
        <v>6</v>
      </c>
      <c r="K367" s="128"/>
      <c r="L367" s="128"/>
      <c r="M367" s="128"/>
      <c r="N367" s="128"/>
      <c r="O367" s="18">
        <f t="shared" si="42"/>
        <v>6</v>
      </c>
      <c r="P367" s="18">
        <v>12</v>
      </c>
      <c r="Q367" s="18"/>
      <c r="R367" s="18"/>
      <c r="S367" s="18"/>
      <c r="T367" s="18"/>
      <c r="U367" s="18">
        <f t="shared" si="43"/>
        <v>12</v>
      </c>
      <c r="V367" s="18">
        <v>6</v>
      </c>
      <c r="W367" s="18"/>
      <c r="X367" s="18"/>
      <c r="Y367" s="18"/>
      <c r="Z367" s="18"/>
      <c r="AA367" s="18">
        <f t="shared" si="44"/>
        <v>6</v>
      </c>
      <c r="AB367" s="18">
        <v>32</v>
      </c>
      <c r="AC367" s="18">
        <v>1</v>
      </c>
      <c r="AD367" s="18"/>
      <c r="AE367" s="18"/>
      <c r="AF367" s="18"/>
      <c r="AG367" s="18">
        <f t="shared" si="45"/>
        <v>33</v>
      </c>
      <c r="AH367" s="18">
        <v>8</v>
      </c>
      <c r="AI367" s="18"/>
      <c r="AJ367" s="18"/>
      <c r="AK367" s="18"/>
      <c r="AL367" s="18"/>
      <c r="AM367" s="18">
        <f t="shared" si="46"/>
        <v>8</v>
      </c>
      <c r="AN367" s="18"/>
      <c r="AO367" s="18"/>
      <c r="AP367" s="18">
        <f t="shared" si="40"/>
        <v>0</v>
      </c>
      <c r="AQ367" s="32">
        <f t="shared" si="47"/>
        <v>2218</v>
      </c>
    </row>
    <row r="368" spans="1:43" x14ac:dyDescent="0.35">
      <c r="A368" s="126" t="s">
        <v>970</v>
      </c>
      <c r="B368" s="126" t="s">
        <v>1258</v>
      </c>
      <c r="C368" s="126" t="s">
        <v>1294</v>
      </c>
      <c r="D368" s="128">
        <v>2314</v>
      </c>
      <c r="E368" s="128">
        <v>93</v>
      </c>
      <c r="F368" s="128">
        <v>16</v>
      </c>
      <c r="G368" s="128">
        <v>6</v>
      </c>
      <c r="H368" s="128"/>
      <c r="I368" s="18">
        <f t="shared" si="41"/>
        <v>2429</v>
      </c>
      <c r="J368" s="128">
        <v>25</v>
      </c>
      <c r="K368" s="128">
        <v>1</v>
      </c>
      <c r="L368" s="128"/>
      <c r="M368" s="128"/>
      <c r="N368" s="128"/>
      <c r="O368" s="18">
        <f t="shared" si="42"/>
        <v>26</v>
      </c>
      <c r="P368" s="18">
        <v>11</v>
      </c>
      <c r="Q368" s="18"/>
      <c r="R368" s="18"/>
      <c r="S368" s="18"/>
      <c r="T368" s="18"/>
      <c r="U368" s="18">
        <f t="shared" si="43"/>
        <v>11</v>
      </c>
      <c r="V368" s="18">
        <v>8</v>
      </c>
      <c r="W368" s="18"/>
      <c r="X368" s="18"/>
      <c r="Y368" s="18"/>
      <c r="Z368" s="18"/>
      <c r="AA368" s="18">
        <f t="shared" si="44"/>
        <v>8</v>
      </c>
      <c r="AB368" s="18">
        <v>114</v>
      </c>
      <c r="AC368" s="18">
        <v>1</v>
      </c>
      <c r="AD368" s="18"/>
      <c r="AE368" s="18"/>
      <c r="AF368" s="18"/>
      <c r="AG368" s="18">
        <f t="shared" si="45"/>
        <v>115</v>
      </c>
      <c r="AH368" s="18">
        <v>11</v>
      </c>
      <c r="AI368" s="18">
        <v>2</v>
      </c>
      <c r="AJ368" s="18"/>
      <c r="AK368" s="18"/>
      <c r="AL368" s="18"/>
      <c r="AM368" s="18">
        <f t="shared" si="46"/>
        <v>13</v>
      </c>
      <c r="AN368" s="18"/>
      <c r="AO368" s="18"/>
      <c r="AP368" s="18">
        <f t="shared" si="40"/>
        <v>0</v>
      </c>
      <c r="AQ368" s="32">
        <f t="shared" si="47"/>
        <v>2602</v>
      </c>
    </row>
    <row r="369" spans="1:43" x14ac:dyDescent="0.35">
      <c r="A369" s="126" t="s">
        <v>1200</v>
      </c>
      <c r="B369" s="126" t="s">
        <v>1259</v>
      </c>
      <c r="C369" s="126" t="s">
        <v>1294</v>
      </c>
      <c r="D369" s="128">
        <v>475</v>
      </c>
      <c r="E369" s="128">
        <v>41</v>
      </c>
      <c r="F369" s="128">
        <v>8</v>
      </c>
      <c r="G369" s="128"/>
      <c r="H369" s="128"/>
      <c r="I369" s="18">
        <f t="shared" si="41"/>
        <v>524</v>
      </c>
      <c r="J369" s="128">
        <v>10</v>
      </c>
      <c r="K369" s="128"/>
      <c r="L369" s="128"/>
      <c r="M369" s="128"/>
      <c r="N369" s="128"/>
      <c r="O369" s="18">
        <f t="shared" si="42"/>
        <v>10</v>
      </c>
      <c r="P369" s="18">
        <v>2</v>
      </c>
      <c r="Q369" s="18"/>
      <c r="R369" s="18"/>
      <c r="S369" s="18"/>
      <c r="T369" s="18"/>
      <c r="U369" s="18">
        <f t="shared" si="43"/>
        <v>2</v>
      </c>
      <c r="V369" s="18">
        <v>2</v>
      </c>
      <c r="W369" s="18"/>
      <c r="X369" s="18"/>
      <c r="Y369" s="18"/>
      <c r="Z369" s="18"/>
      <c r="AA369" s="18">
        <f t="shared" si="44"/>
        <v>2</v>
      </c>
      <c r="AB369" s="18">
        <v>22</v>
      </c>
      <c r="AC369" s="18"/>
      <c r="AD369" s="18"/>
      <c r="AE369" s="18"/>
      <c r="AF369" s="18"/>
      <c r="AG369" s="18">
        <f t="shared" si="45"/>
        <v>22</v>
      </c>
      <c r="AH369" s="18">
        <v>7</v>
      </c>
      <c r="AI369" s="18">
        <v>1</v>
      </c>
      <c r="AJ369" s="18"/>
      <c r="AK369" s="18"/>
      <c r="AL369" s="18"/>
      <c r="AM369" s="18">
        <f t="shared" si="46"/>
        <v>8</v>
      </c>
      <c r="AN369" s="18"/>
      <c r="AO369" s="18"/>
      <c r="AP369" s="18">
        <f t="shared" si="40"/>
        <v>0</v>
      </c>
      <c r="AQ369" s="32">
        <f t="shared" si="47"/>
        <v>568</v>
      </c>
    </row>
    <row r="370" spans="1:43" x14ac:dyDescent="0.35">
      <c r="A370" s="126" t="s">
        <v>1201</v>
      </c>
      <c r="B370" s="126" t="s">
        <v>1260</v>
      </c>
      <c r="C370" s="126" t="s">
        <v>1294</v>
      </c>
      <c r="D370" s="128">
        <v>970</v>
      </c>
      <c r="E370" s="128">
        <v>143</v>
      </c>
      <c r="F370" s="128">
        <v>49</v>
      </c>
      <c r="G370" s="128">
        <v>15</v>
      </c>
      <c r="H370" s="128"/>
      <c r="I370" s="18">
        <f t="shared" si="41"/>
        <v>1177</v>
      </c>
      <c r="J370" s="128">
        <v>15</v>
      </c>
      <c r="K370" s="128"/>
      <c r="L370" s="128"/>
      <c r="M370" s="128">
        <v>1</v>
      </c>
      <c r="N370" s="128"/>
      <c r="O370" s="18">
        <f t="shared" si="42"/>
        <v>16</v>
      </c>
      <c r="P370" s="18">
        <v>11</v>
      </c>
      <c r="Q370" s="18"/>
      <c r="R370" s="18">
        <v>1</v>
      </c>
      <c r="S370" s="18"/>
      <c r="T370" s="18"/>
      <c r="U370" s="18">
        <f t="shared" si="43"/>
        <v>12</v>
      </c>
      <c r="V370" s="18">
        <v>17</v>
      </c>
      <c r="W370" s="18"/>
      <c r="X370" s="18">
        <v>1</v>
      </c>
      <c r="Y370" s="18"/>
      <c r="Z370" s="18"/>
      <c r="AA370" s="18">
        <f t="shared" si="44"/>
        <v>18</v>
      </c>
      <c r="AB370" s="18">
        <v>58</v>
      </c>
      <c r="AC370" s="18">
        <v>3</v>
      </c>
      <c r="AD370" s="18">
        <v>2</v>
      </c>
      <c r="AE370" s="18"/>
      <c r="AF370" s="18"/>
      <c r="AG370" s="18">
        <f t="shared" si="45"/>
        <v>63</v>
      </c>
      <c r="AH370" s="18">
        <v>9</v>
      </c>
      <c r="AI370" s="18">
        <v>1</v>
      </c>
      <c r="AJ370" s="18"/>
      <c r="AK370" s="18"/>
      <c r="AL370" s="18"/>
      <c r="AM370" s="18">
        <f t="shared" si="46"/>
        <v>10</v>
      </c>
      <c r="AN370" s="18"/>
      <c r="AO370" s="18"/>
      <c r="AP370" s="18">
        <f t="shared" si="40"/>
        <v>0</v>
      </c>
      <c r="AQ370" s="32">
        <f t="shared" si="47"/>
        <v>1296</v>
      </c>
    </row>
    <row r="371" spans="1:43" x14ac:dyDescent="0.35">
      <c r="A371" s="126" t="s">
        <v>971</v>
      </c>
      <c r="B371" s="126" t="s">
        <v>972</v>
      </c>
      <c r="C371" s="126" t="s">
        <v>1294</v>
      </c>
      <c r="D371" s="128">
        <v>97</v>
      </c>
      <c r="E371" s="128">
        <v>31</v>
      </c>
      <c r="F371" s="128">
        <v>5</v>
      </c>
      <c r="G371" s="128">
        <v>1</v>
      </c>
      <c r="H371" s="128"/>
      <c r="I371" s="18">
        <f t="shared" si="41"/>
        <v>134</v>
      </c>
      <c r="J371" s="128">
        <v>6</v>
      </c>
      <c r="K371" s="128"/>
      <c r="L371" s="128"/>
      <c r="M371" s="128"/>
      <c r="N371" s="128"/>
      <c r="O371" s="18">
        <f t="shared" si="42"/>
        <v>6</v>
      </c>
      <c r="P371" s="18">
        <v>3</v>
      </c>
      <c r="Q371" s="18"/>
      <c r="R371" s="18"/>
      <c r="S371" s="18"/>
      <c r="T371" s="18"/>
      <c r="U371" s="18">
        <f t="shared" si="43"/>
        <v>3</v>
      </c>
      <c r="V371" s="18">
        <v>1</v>
      </c>
      <c r="W371" s="18">
        <v>1</v>
      </c>
      <c r="X371" s="18"/>
      <c r="Y371" s="18"/>
      <c r="Z371" s="18"/>
      <c r="AA371" s="18">
        <f t="shared" si="44"/>
        <v>2</v>
      </c>
      <c r="AB371" s="18">
        <v>13</v>
      </c>
      <c r="AC371" s="18">
        <v>4</v>
      </c>
      <c r="AD371" s="18"/>
      <c r="AE371" s="18"/>
      <c r="AF371" s="18"/>
      <c r="AG371" s="18">
        <f t="shared" si="45"/>
        <v>17</v>
      </c>
      <c r="AH371" s="18">
        <v>2</v>
      </c>
      <c r="AI371" s="18">
        <v>1</v>
      </c>
      <c r="AJ371" s="18"/>
      <c r="AK371" s="18"/>
      <c r="AL371" s="18"/>
      <c r="AM371" s="18">
        <f t="shared" si="46"/>
        <v>3</v>
      </c>
      <c r="AN371" s="18"/>
      <c r="AO371" s="18"/>
      <c r="AP371" s="18">
        <f t="shared" si="40"/>
        <v>0</v>
      </c>
      <c r="AQ371" s="32">
        <f t="shared" si="47"/>
        <v>165</v>
      </c>
    </row>
    <row r="372" spans="1:43" x14ac:dyDescent="0.35">
      <c r="A372" s="126" t="s">
        <v>973</v>
      </c>
      <c r="B372" s="126" t="s">
        <v>1261</v>
      </c>
      <c r="C372" s="126" t="s">
        <v>1294</v>
      </c>
      <c r="D372" s="128">
        <v>72</v>
      </c>
      <c r="E372" s="128">
        <v>6</v>
      </c>
      <c r="F372" s="128">
        <v>1</v>
      </c>
      <c r="G372" s="128">
        <v>1</v>
      </c>
      <c r="H372" s="128"/>
      <c r="I372" s="18">
        <f t="shared" si="41"/>
        <v>80</v>
      </c>
      <c r="J372" s="128">
        <v>2</v>
      </c>
      <c r="K372" s="128"/>
      <c r="L372" s="128"/>
      <c r="M372" s="128"/>
      <c r="N372" s="128"/>
      <c r="O372" s="18">
        <f t="shared" si="42"/>
        <v>2</v>
      </c>
      <c r="P372" s="18">
        <v>1</v>
      </c>
      <c r="Q372" s="18"/>
      <c r="R372" s="18"/>
      <c r="S372" s="18"/>
      <c r="T372" s="18"/>
      <c r="U372" s="18">
        <f t="shared" si="43"/>
        <v>1</v>
      </c>
      <c r="V372" s="18">
        <v>2</v>
      </c>
      <c r="W372" s="18"/>
      <c r="X372" s="18"/>
      <c r="Y372" s="18"/>
      <c r="Z372" s="18"/>
      <c r="AA372" s="18">
        <f t="shared" si="44"/>
        <v>2</v>
      </c>
      <c r="AB372" s="18">
        <v>7</v>
      </c>
      <c r="AC372" s="18"/>
      <c r="AD372" s="18"/>
      <c r="AE372" s="18"/>
      <c r="AF372" s="18"/>
      <c r="AG372" s="18">
        <f t="shared" si="45"/>
        <v>7</v>
      </c>
      <c r="AH372" s="18"/>
      <c r="AI372" s="18"/>
      <c r="AJ372" s="18"/>
      <c r="AK372" s="18"/>
      <c r="AL372" s="18"/>
      <c r="AM372" s="18">
        <f t="shared" si="46"/>
        <v>0</v>
      </c>
      <c r="AN372" s="18"/>
      <c r="AO372" s="18"/>
      <c r="AP372" s="18">
        <f t="shared" si="40"/>
        <v>0</v>
      </c>
      <c r="AQ372" s="32">
        <f t="shared" si="47"/>
        <v>92</v>
      </c>
    </row>
    <row r="373" spans="1:43" x14ac:dyDescent="0.35">
      <c r="A373" s="126" t="s">
        <v>974</v>
      </c>
      <c r="B373" s="126" t="s">
        <v>975</v>
      </c>
      <c r="C373" s="126" t="s">
        <v>1294</v>
      </c>
      <c r="D373" s="128">
        <v>52</v>
      </c>
      <c r="E373" s="128">
        <v>4</v>
      </c>
      <c r="F373" s="128"/>
      <c r="G373" s="128"/>
      <c r="H373" s="128"/>
      <c r="I373" s="18">
        <f t="shared" si="41"/>
        <v>56</v>
      </c>
      <c r="J373" s="128"/>
      <c r="K373" s="128"/>
      <c r="L373" s="128"/>
      <c r="M373" s="128"/>
      <c r="N373" s="128"/>
      <c r="O373" s="18">
        <f t="shared" si="42"/>
        <v>0</v>
      </c>
      <c r="P373" s="18">
        <v>1</v>
      </c>
      <c r="Q373" s="18"/>
      <c r="R373" s="18"/>
      <c r="S373" s="18"/>
      <c r="T373" s="18"/>
      <c r="U373" s="18">
        <f t="shared" si="43"/>
        <v>1</v>
      </c>
      <c r="V373" s="18">
        <v>1</v>
      </c>
      <c r="W373" s="18"/>
      <c r="X373" s="18"/>
      <c r="Y373" s="18"/>
      <c r="Z373" s="18"/>
      <c r="AA373" s="18">
        <f t="shared" si="44"/>
        <v>1</v>
      </c>
      <c r="AB373" s="18">
        <v>4</v>
      </c>
      <c r="AC373" s="18"/>
      <c r="AD373" s="18"/>
      <c r="AE373" s="18"/>
      <c r="AF373" s="18"/>
      <c r="AG373" s="18">
        <f t="shared" si="45"/>
        <v>4</v>
      </c>
      <c r="AH373" s="18"/>
      <c r="AI373" s="18"/>
      <c r="AJ373" s="18"/>
      <c r="AK373" s="18"/>
      <c r="AL373" s="18"/>
      <c r="AM373" s="18">
        <f t="shared" si="46"/>
        <v>0</v>
      </c>
      <c r="AN373" s="18"/>
      <c r="AO373" s="18"/>
      <c r="AP373" s="18">
        <f t="shared" si="40"/>
        <v>0</v>
      </c>
      <c r="AQ373" s="32">
        <f t="shared" si="47"/>
        <v>62</v>
      </c>
    </row>
    <row r="374" spans="1:43" x14ac:dyDescent="0.35">
      <c r="A374" s="126" t="s">
        <v>976</v>
      </c>
      <c r="B374" s="126" t="s">
        <v>977</v>
      </c>
      <c r="C374" s="126" t="s">
        <v>1294</v>
      </c>
      <c r="D374" s="128">
        <v>1386</v>
      </c>
      <c r="E374" s="128">
        <v>58</v>
      </c>
      <c r="F374" s="128">
        <v>13</v>
      </c>
      <c r="G374" s="128">
        <v>5</v>
      </c>
      <c r="H374" s="128"/>
      <c r="I374" s="18">
        <f t="shared" si="41"/>
        <v>1462</v>
      </c>
      <c r="J374" s="128">
        <v>11</v>
      </c>
      <c r="K374" s="128"/>
      <c r="L374" s="128"/>
      <c r="M374" s="128"/>
      <c r="N374" s="128"/>
      <c r="O374" s="18">
        <f t="shared" si="42"/>
        <v>11</v>
      </c>
      <c r="P374" s="18">
        <v>8</v>
      </c>
      <c r="Q374" s="18"/>
      <c r="R374" s="18"/>
      <c r="S374" s="18"/>
      <c r="T374" s="18"/>
      <c r="U374" s="18">
        <f t="shared" si="43"/>
        <v>8</v>
      </c>
      <c r="V374" s="18">
        <v>24</v>
      </c>
      <c r="W374" s="18"/>
      <c r="X374" s="18"/>
      <c r="Y374" s="18"/>
      <c r="Z374" s="18"/>
      <c r="AA374" s="18">
        <f t="shared" si="44"/>
        <v>24</v>
      </c>
      <c r="AB374" s="18">
        <v>103</v>
      </c>
      <c r="AC374" s="18"/>
      <c r="AD374" s="18"/>
      <c r="AE374" s="18"/>
      <c r="AF374" s="18"/>
      <c r="AG374" s="18">
        <f t="shared" si="45"/>
        <v>103</v>
      </c>
      <c r="AH374" s="18">
        <v>8</v>
      </c>
      <c r="AI374" s="18"/>
      <c r="AJ374" s="18"/>
      <c r="AK374" s="18"/>
      <c r="AL374" s="18"/>
      <c r="AM374" s="18">
        <f t="shared" si="46"/>
        <v>8</v>
      </c>
      <c r="AN374" s="18"/>
      <c r="AO374" s="18"/>
      <c r="AP374" s="18">
        <f t="shared" si="40"/>
        <v>0</v>
      </c>
      <c r="AQ374" s="32">
        <f t="shared" si="47"/>
        <v>1616</v>
      </c>
    </row>
    <row r="375" spans="1:43" x14ac:dyDescent="0.35">
      <c r="A375" s="126" t="s">
        <v>978</v>
      </c>
      <c r="B375" s="126" t="s">
        <v>979</v>
      </c>
      <c r="C375" s="126" t="s">
        <v>1294</v>
      </c>
      <c r="D375" s="128">
        <v>39</v>
      </c>
      <c r="E375" s="128">
        <v>2</v>
      </c>
      <c r="F375" s="128">
        <v>2</v>
      </c>
      <c r="G375" s="128"/>
      <c r="H375" s="128"/>
      <c r="I375" s="18">
        <f t="shared" si="41"/>
        <v>43</v>
      </c>
      <c r="J375" s="128"/>
      <c r="K375" s="128"/>
      <c r="L375" s="128"/>
      <c r="M375" s="128"/>
      <c r="N375" s="128"/>
      <c r="O375" s="18">
        <f t="shared" si="42"/>
        <v>0</v>
      </c>
      <c r="P375" s="18"/>
      <c r="Q375" s="18"/>
      <c r="R375" s="18"/>
      <c r="S375" s="18"/>
      <c r="T375" s="18"/>
      <c r="U375" s="18">
        <f t="shared" si="43"/>
        <v>0</v>
      </c>
      <c r="V375" s="18"/>
      <c r="W375" s="18"/>
      <c r="X375" s="18"/>
      <c r="Y375" s="18"/>
      <c r="Z375" s="18"/>
      <c r="AA375" s="18">
        <f t="shared" si="44"/>
        <v>0</v>
      </c>
      <c r="AB375" s="18"/>
      <c r="AC375" s="18"/>
      <c r="AD375" s="18"/>
      <c r="AE375" s="18"/>
      <c r="AF375" s="18"/>
      <c r="AG375" s="18">
        <f t="shared" si="45"/>
        <v>0</v>
      </c>
      <c r="AH375" s="18">
        <v>1</v>
      </c>
      <c r="AI375" s="18"/>
      <c r="AJ375" s="18"/>
      <c r="AK375" s="18"/>
      <c r="AL375" s="18"/>
      <c r="AM375" s="18">
        <f t="shared" si="46"/>
        <v>1</v>
      </c>
      <c r="AN375" s="18"/>
      <c r="AO375" s="18"/>
      <c r="AP375" s="18">
        <f t="shared" si="40"/>
        <v>0</v>
      </c>
      <c r="AQ375" s="32">
        <f t="shared" si="47"/>
        <v>44</v>
      </c>
    </row>
    <row r="376" spans="1:43" x14ac:dyDescent="0.35">
      <c r="A376" s="126" t="s">
        <v>980</v>
      </c>
      <c r="B376" s="126" t="s">
        <v>1262</v>
      </c>
      <c r="C376" s="126" t="s">
        <v>1294</v>
      </c>
      <c r="D376" s="128">
        <v>453</v>
      </c>
      <c r="E376" s="128">
        <v>26</v>
      </c>
      <c r="F376" s="128">
        <v>2</v>
      </c>
      <c r="G376" s="128"/>
      <c r="H376" s="128"/>
      <c r="I376" s="18">
        <f t="shared" si="41"/>
        <v>481</v>
      </c>
      <c r="J376" s="128">
        <v>3</v>
      </c>
      <c r="K376" s="128"/>
      <c r="L376" s="128"/>
      <c r="M376" s="128"/>
      <c r="N376" s="128"/>
      <c r="O376" s="18">
        <f t="shared" si="42"/>
        <v>3</v>
      </c>
      <c r="P376" s="18">
        <v>3</v>
      </c>
      <c r="Q376" s="18"/>
      <c r="R376" s="18"/>
      <c r="S376" s="18"/>
      <c r="T376" s="18"/>
      <c r="U376" s="18">
        <f t="shared" si="43"/>
        <v>3</v>
      </c>
      <c r="V376" s="18">
        <v>3</v>
      </c>
      <c r="W376" s="18"/>
      <c r="X376" s="18"/>
      <c r="Y376" s="18"/>
      <c r="Z376" s="18"/>
      <c r="AA376" s="18">
        <f t="shared" si="44"/>
        <v>3</v>
      </c>
      <c r="AB376" s="18">
        <v>30</v>
      </c>
      <c r="AC376" s="18"/>
      <c r="AD376" s="18"/>
      <c r="AE376" s="18"/>
      <c r="AF376" s="18"/>
      <c r="AG376" s="18">
        <f t="shared" si="45"/>
        <v>30</v>
      </c>
      <c r="AH376" s="18">
        <v>4</v>
      </c>
      <c r="AI376" s="18"/>
      <c r="AJ376" s="18"/>
      <c r="AK376" s="18"/>
      <c r="AL376" s="18"/>
      <c r="AM376" s="18">
        <f t="shared" si="46"/>
        <v>4</v>
      </c>
      <c r="AN376" s="18"/>
      <c r="AO376" s="18"/>
      <c r="AP376" s="18">
        <f t="shared" si="40"/>
        <v>0</v>
      </c>
      <c r="AQ376" s="32">
        <f t="shared" si="47"/>
        <v>524</v>
      </c>
    </row>
    <row r="377" spans="1:43" x14ac:dyDescent="0.35">
      <c r="A377" s="126" t="s">
        <v>981</v>
      </c>
      <c r="B377" s="126" t="s">
        <v>982</v>
      </c>
      <c r="C377" s="126" t="s">
        <v>1294</v>
      </c>
      <c r="D377" s="128">
        <v>182</v>
      </c>
      <c r="E377" s="128">
        <v>4</v>
      </c>
      <c r="F377" s="128"/>
      <c r="G377" s="128"/>
      <c r="H377" s="128"/>
      <c r="I377" s="18">
        <f t="shared" si="41"/>
        <v>186</v>
      </c>
      <c r="J377" s="128">
        <v>14</v>
      </c>
      <c r="K377" s="128"/>
      <c r="L377" s="128"/>
      <c r="M377" s="128"/>
      <c r="N377" s="128"/>
      <c r="O377" s="18">
        <f t="shared" si="42"/>
        <v>14</v>
      </c>
      <c r="P377" s="18">
        <v>20</v>
      </c>
      <c r="Q377" s="18"/>
      <c r="R377" s="18"/>
      <c r="S377" s="18"/>
      <c r="T377" s="18"/>
      <c r="U377" s="18">
        <f t="shared" si="43"/>
        <v>20</v>
      </c>
      <c r="V377" s="18">
        <v>6</v>
      </c>
      <c r="W377" s="18"/>
      <c r="X377" s="18"/>
      <c r="Y377" s="18"/>
      <c r="Z377" s="18"/>
      <c r="AA377" s="18">
        <f t="shared" si="44"/>
        <v>6</v>
      </c>
      <c r="AB377" s="18">
        <v>22</v>
      </c>
      <c r="AC377" s="18"/>
      <c r="AD377" s="18"/>
      <c r="AE377" s="18"/>
      <c r="AF377" s="18"/>
      <c r="AG377" s="18">
        <f t="shared" si="45"/>
        <v>22</v>
      </c>
      <c r="AH377" s="18">
        <v>9</v>
      </c>
      <c r="AI377" s="18"/>
      <c r="AJ377" s="18"/>
      <c r="AK377" s="18"/>
      <c r="AL377" s="18"/>
      <c r="AM377" s="18">
        <f t="shared" si="46"/>
        <v>9</v>
      </c>
      <c r="AN377" s="18"/>
      <c r="AO377" s="18"/>
      <c r="AP377" s="18">
        <f t="shared" si="40"/>
        <v>0</v>
      </c>
      <c r="AQ377" s="32">
        <f t="shared" si="47"/>
        <v>257</v>
      </c>
    </row>
    <row r="378" spans="1:43" x14ac:dyDescent="0.35">
      <c r="A378" s="126" t="s">
        <v>983</v>
      </c>
      <c r="B378" s="126" t="s">
        <v>984</v>
      </c>
      <c r="C378" s="126" t="s">
        <v>1294</v>
      </c>
      <c r="D378" s="128">
        <v>1195</v>
      </c>
      <c r="E378" s="128">
        <v>48</v>
      </c>
      <c r="F378" s="128">
        <v>15</v>
      </c>
      <c r="G378" s="128">
        <v>2</v>
      </c>
      <c r="H378" s="128"/>
      <c r="I378" s="18">
        <f t="shared" si="41"/>
        <v>1260</v>
      </c>
      <c r="J378" s="128">
        <v>9</v>
      </c>
      <c r="K378" s="128"/>
      <c r="L378" s="128"/>
      <c r="M378" s="128"/>
      <c r="N378" s="128"/>
      <c r="O378" s="18">
        <f t="shared" si="42"/>
        <v>9</v>
      </c>
      <c r="P378" s="18">
        <v>16</v>
      </c>
      <c r="Q378" s="18"/>
      <c r="R378" s="18"/>
      <c r="S378" s="18"/>
      <c r="T378" s="18"/>
      <c r="U378" s="18">
        <f t="shared" si="43"/>
        <v>16</v>
      </c>
      <c r="V378" s="18">
        <v>11</v>
      </c>
      <c r="W378" s="18"/>
      <c r="X378" s="18"/>
      <c r="Y378" s="18"/>
      <c r="Z378" s="18"/>
      <c r="AA378" s="18">
        <f t="shared" si="44"/>
        <v>11</v>
      </c>
      <c r="AB378" s="18">
        <v>50</v>
      </c>
      <c r="AC378" s="18">
        <v>1</v>
      </c>
      <c r="AD378" s="18"/>
      <c r="AE378" s="18"/>
      <c r="AF378" s="18"/>
      <c r="AG378" s="18">
        <f t="shared" si="45"/>
        <v>51</v>
      </c>
      <c r="AH378" s="18">
        <v>10</v>
      </c>
      <c r="AI378" s="18"/>
      <c r="AJ378" s="18"/>
      <c r="AK378" s="18"/>
      <c r="AL378" s="18"/>
      <c r="AM378" s="18">
        <f t="shared" si="46"/>
        <v>10</v>
      </c>
      <c r="AN378" s="18"/>
      <c r="AO378" s="18"/>
      <c r="AP378" s="18">
        <f t="shared" si="40"/>
        <v>0</v>
      </c>
      <c r="AQ378" s="32">
        <f t="shared" si="47"/>
        <v>1357</v>
      </c>
    </row>
    <row r="379" spans="1:43" x14ac:dyDescent="0.35">
      <c r="A379" s="126" t="s">
        <v>985</v>
      </c>
      <c r="B379" s="126" t="s">
        <v>219</v>
      </c>
      <c r="C379" s="126" t="s">
        <v>1294</v>
      </c>
      <c r="D379" s="128">
        <v>270</v>
      </c>
      <c r="E379" s="128">
        <v>10</v>
      </c>
      <c r="F379" s="128">
        <v>1</v>
      </c>
      <c r="G379" s="128"/>
      <c r="H379" s="128"/>
      <c r="I379" s="18">
        <f t="shared" si="41"/>
        <v>281</v>
      </c>
      <c r="J379" s="128">
        <v>18</v>
      </c>
      <c r="K379" s="128"/>
      <c r="L379" s="128"/>
      <c r="M379" s="128"/>
      <c r="N379" s="128"/>
      <c r="O379" s="18">
        <f t="shared" si="42"/>
        <v>18</v>
      </c>
      <c r="P379" s="18">
        <v>6</v>
      </c>
      <c r="Q379" s="18"/>
      <c r="R379" s="18"/>
      <c r="S379" s="18"/>
      <c r="T379" s="18"/>
      <c r="U379" s="18">
        <f t="shared" si="43"/>
        <v>6</v>
      </c>
      <c r="V379" s="18">
        <v>5</v>
      </c>
      <c r="W379" s="18"/>
      <c r="X379" s="18"/>
      <c r="Y379" s="18"/>
      <c r="Z379" s="18"/>
      <c r="AA379" s="18">
        <f t="shared" si="44"/>
        <v>5</v>
      </c>
      <c r="AB379" s="18">
        <v>53</v>
      </c>
      <c r="AC379" s="18">
        <v>1</v>
      </c>
      <c r="AD379" s="18"/>
      <c r="AE379" s="18"/>
      <c r="AF379" s="18"/>
      <c r="AG379" s="18">
        <f t="shared" si="45"/>
        <v>54</v>
      </c>
      <c r="AH379" s="18">
        <v>3</v>
      </c>
      <c r="AI379" s="18"/>
      <c r="AJ379" s="18"/>
      <c r="AK379" s="18"/>
      <c r="AL379" s="18"/>
      <c r="AM379" s="18">
        <f t="shared" si="46"/>
        <v>3</v>
      </c>
      <c r="AN379" s="18"/>
      <c r="AO379" s="18"/>
      <c r="AP379" s="18">
        <f t="shared" ref="AP379:AP442" si="48">+AO379+AN379</f>
        <v>0</v>
      </c>
      <c r="AQ379" s="32">
        <f t="shared" si="47"/>
        <v>367</v>
      </c>
    </row>
    <row r="380" spans="1:43" x14ac:dyDescent="0.35">
      <c r="A380" s="126" t="s">
        <v>986</v>
      </c>
      <c r="B380" s="126" t="s">
        <v>987</v>
      </c>
      <c r="C380" s="126" t="s">
        <v>1294</v>
      </c>
      <c r="D380" s="128">
        <v>147</v>
      </c>
      <c r="E380" s="128">
        <v>2</v>
      </c>
      <c r="F380" s="128"/>
      <c r="G380" s="128">
        <v>1</v>
      </c>
      <c r="H380" s="128"/>
      <c r="I380" s="18">
        <f t="shared" si="41"/>
        <v>150</v>
      </c>
      <c r="J380" s="128">
        <v>12</v>
      </c>
      <c r="K380" s="128"/>
      <c r="L380" s="128"/>
      <c r="M380" s="128"/>
      <c r="N380" s="128"/>
      <c r="O380" s="18">
        <f t="shared" si="42"/>
        <v>12</v>
      </c>
      <c r="P380" s="18"/>
      <c r="Q380" s="18"/>
      <c r="R380" s="18"/>
      <c r="S380" s="18"/>
      <c r="T380" s="18"/>
      <c r="U380" s="18">
        <f t="shared" si="43"/>
        <v>0</v>
      </c>
      <c r="V380" s="18">
        <v>4</v>
      </c>
      <c r="W380" s="18"/>
      <c r="X380" s="18"/>
      <c r="Y380" s="18"/>
      <c r="Z380" s="18"/>
      <c r="AA380" s="18">
        <f t="shared" si="44"/>
        <v>4</v>
      </c>
      <c r="AB380" s="18">
        <v>18</v>
      </c>
      <c r="AC380" s="18"/>
      <c r="AD380" s="18"/>
      <c r="AE380" s="18"/>
      <c r="AF380" s="18"/>
      <c r="AG380" s="18">
        <f t="shared" si="45"/>
        <v>18</v>
      </c>
      <c r="AH380" s="18">
        <v>4</v>
      </c>
      <c r="AI380" s="18"/>
      <c r="AJ380" s="18"/>
      <c r="AK380" s="18"/>
      <c r="AL380" s="18"/>
      <c r="AM380" s="18">
        <f t="shared" si="46"/>
        <v>4</v>
      </c>
      <c r="AN380" s="18"/>
      <c r="AO380" s="18"/>
      <c r="AP380" s="18">
        <f t="shared" si="48"/>
        <v>0</v>
      </c>
      <c r="AQ380" s="32">
        <f t="shared" si="47"/>
        <v>188</v>
      </c>
    </row>
    <row r="381" spans="1:43" x14ac:dyDescent="0.35">
      <c r="A381" s="126" t="s">
        <v>988</v>
      </c>
      <c r="B381" s="126" t="s">
        <v>989</v>
      </c>
      <c r="C381" s="126" t="s">
        <v>1294</v>
      </c>
      <c r="D381" s="128">
        <v>25</v>
      </c>
      <c r="E381" s="128"/>
      <c r="F381" s="128"/>
      <c r="G381" s="128"/>
      <c r="H381" s="128"/>
      <c r="I381" s="18">
        <f t="shared" si="41"/>
        <v>25</v>
      </c>
      <c r="J381" s="128">
        <v>1</v>
      </c>
      <c r="K381" s="128"/>
      <c r="L381" s="128"/>
      <c r="M381" s="128"/>
      <c r="N381" s="128"/>
      <c r="O381" s="18">
        <f t="shared" si="42"/>
        <v>1</v>
      </c>
      <c r="P381" s="18"/>
      <c r="Q381" s="18"/>
      <c r="R381" s="18"/>
      <c r="S381" s="18"/>
      <c r="T381" s="18"/>
      <c r="U381" s="18">
        <f t="shared" si="43"/>
        <v>0</v>
      </c>
      <c r="V381" s="18"/>
      <c r="W381" s="18"/>
      <c r="X381" s="18"/>
      <c r="Y381" s="18"/>
      <c r="Z381" s="18"/>
      <c r="AA381" s="18">
        <f t="shared" si="44"/>
        <v>0</v>
      </c>
      <c r="AB381" s="18"/>
      <c r="AC381" s="18"/>
      <c r="AD381" s="18"/>
      <c r="AE381" s="18"/>
      <c r="AF381" s="18"/>
      <c r="AG381" s="18">
        <f t="shared" si="45"/>
        <v>0</v>
      </c>
      <c r="AH381" s="18"/>
      <c r="AI381" s="18"/>
      <c r="AJ381" s="18"/>
      <c r="AK381" s="18"/>
      <c r="AL381" s="18"/>
      <c r="AM381" s="18">
        <f t="shared" si="46"/>
        <v>0</v>
      </c>
      <c r="AN381" s="18"/>
      <c r="AO381" s="18"/>
      <c r="AP381" s="18">
        <f t="shared" si="48"/>
        <v>0</v>
      </c>
      <c r="AQ381" s="32">
        <f t="shared" si="47"/>
        <v>26</v>
      </c>
    </row>
    <row r="382" spans="1:43" x14ac:dyDescent="0.35">
      <c r="A382" s="126" t="s">
        <v>990</v>
      </c>
      <c r="B382" s="126" t="s">
        <v>1263</v>
      </c>
      <c r="C382" s="126" t="s">
        <v>1294</v>
      </c>
      <c r="D382" s="128">
        <v>1</v>
      </c>
      <c r="E382" s="128"/>
      <c r="F382" s="128"/>
      <c r="G382" s="128"/>
      <c r="H382" s="128"/>
      <c r="I382" s="18">
        <f t="shared" si="41"/>
        <v>1</v>
      </c>
      <c r="J382" s="128">
        <v>1</v>
      </c>
      <c r="K382" s="128"/>
      <c r="L382" s="128"/>
      <c r="M382" s="128"/>
      <c r="N382" s="128"/>
      <c r="O382" s="18">
        <f t="shared" si="42"/>
        <v>1</v>
      </c>
      <c r="P382" s="18">
        <v>4</v>
      </c>
      <c r="Q382" s="18"/>
      <c r="R382" s="18"/>
      <c r="S382" s="18"/>
      <c r="T382" s="18"/>
      <c r="U382" s="18">
        <f t="shared" si="43"/>
        <v>4</v>
      </c>
      <c r="V382" s="18"/>
      <c r="W382" s="18"/>
      <c r="X382" s="18"/>
      <c r="Y382" s="18"/>
      <c r="Z382" s="18"/>
      <c r="AA382" s="18">
        <f t="shared" si="44"/>
        <v>0</v>
      </c>
      <c r="AB382" s="18"/>
      <c r="AC382" s="18"/>
      <c r="AD382" s="18"/>
      <c r="AE382" s="18"/>
      <c r="AF382" s="18"/>
      <c r="AG382" s="18">
        <f t="shared" si="45"/>
        <v>0</v>
      </c>
      <c r="AH382" s="18">
        <v>1</v>
      </c>
      <c r="AI382" s="18"/>
      <c r="AJ382" s="18"/>
      <c r="AK382" s="18"/>
      <c r="AL382" s="18"/>
      <c r="AM382" s="18">
        <f t="shared" si="46"/>
        <v>1</v>
      </c>
      <c r="AN382" s="18"/>
      <c r="AO382" s="18"/>
      <c r="AP382" s="18">
        <f t="shared" si="48"/>
        <v>0</v>
      </c>
      <c r="AQ382" s="32">
        <f t="shared" si="47"/>
        <v>7</v>
      </c>
    </row>
    <row r="383" spans="1:43" x14ac:dyDescent="0.35">
      <c r="A383" s="126" t="s">
        <v>991</v>
      </c>
      <c r="B383" s="126" t="s">
        <v>992</v>
      </c>
      <c r="C383" s="126" t="s">
        <v>1294</v>
      </c>
      <c r="D383" s="128">
        <v>141</v>
      </c>
      <c r="E383" s="128">
        <v>3</v>
      </c>
      <c r="F383" s="128"/>
      <c r="G383" s="128"/>
      <c r="H383" s="128"/>
      <c r="I383" s="18">
        <f t="shared" si="41"/>
        <v>144</v>
      </c>
      <c r="J383" s="128">
        <v>1</v>
      </c>
      <c r="K383" s="128"/>
      <c r="L383" s="128"/>
      <c r="M383" s="128"/>
      <c r="N383" s="128"/>
      <c r="O383" s="18">
        <f t="shared" si="42"/>
        <v>1</v>
      </c>
      <c r="P383" s="18">
        <v>4</v>
      </c>
      <c r="Q383" s="18"/>
      <c r="R383" s="18"/>
      <c r="S383" s="18"/>
      <c r="T383" s="18"/>
      <c r="U383" s="18">
        <f t="shared" si="43"/>
        <v>4</v>
      </c>
      <c r="V383" s="18">
        <v>2</v>
      </c>
      <c r="W383" s="18"/>
      <c r="X383" s="18"/>
      <c r="Y383" s="18"/>
      <c r="Z383" s="18"/>
      <c r="AA383" s="18">
        <f t="shared" si="44"/>
        <v>2</v>
      </c>
      <c r="AB383" s="18">
        <v>9</v>
      </c>
      <c r="AC383" s="18"/>
      <c r="AD383" s="18"/>
      <c r="AE383" s="18"/>
      <c r="AF383" s="18"/>
      <c r="AG383" s="18">
        <f t="shared" si="45"/>
        <v>9</v>
      </c>
      <c r="AH383" s="18"/>
      <c r="AI383" s="18"/>
      <c r="AJ383" s="18"/>
      <c r="AK383" s="18"/>
      <c r="AL383" s="18"/>
      <c r="AM383" s="18">
        <f t="shared" si="46"/>
        <v>0</v>
      </c>
      <c r="AN383" s="18"/>
      <c r="AO383" s="18"/>
      <c r="AP383" s="18">
        <f t="shared" si="48"/>
        <v>0</v>
      </c>
      <c r="AQ383" s="32">
        <f t="shared" si="47"/>
        <v>160</v>
      </c>
    </row>
    <row r="384" spans="1:43" x14ac:dyDescent="0.35">
      <c r="A384" s="126" t="s">
        <v>993</v>
      </c>
      <c r="B384" s="126" t="s">
        <v>994</v>
      </c>
      <c r="C384" s="126" t="s">
        <v>1294</v>
      </c>
      <c r="D384" s="128">
        <v>285</v>
      </c>
      <c r="E384" s="128">
        <v>34</v>
      </c>
      <c r="F384" s="128">
        <v>11</v>
      </c>
      <c r="G384" s="128">
        <v>4</v>
      </c>
      <c r="H384" s="128"/>
      <c r="I384" s="18">
        <f t="shared" si="41"/>
        <v>334</v>
      </c>
      <c r="J384" s="128">
        <v>15</v>
      </c>
      <c r="K384" s="128"/>
      <c r="L384" s="128"/>
      <c r="M384" s="128"/>
      <c r="N384" s="128"/>
      <c r="O384" s="18">
        <f t="shared" si="42"/>
        <v>15</v>
      </c>
      <c r="P384" s="18">
        <v>6</v>
      </c>
      <c r="Q384" s="18">
        <v>1</v>
      </c>
      <c r="R384" s="18"/>
      <c r="S384" s="18"/>
      <c r="T384" s="18"/>
      <c r="U384" s="18">
        <f t="shared" si="43"/>
        <v>7</v>
      </c>
      <c r="V384" s="18">
        <v>39</v>
      </c>
      <c r="W384" s="18">
        <v>3</v>
      </c>
      <c r="X384" s="18"/>
      <c r="Y384" s="18"/>
      <c r="Z384" s="18"/>
      <c r="AA384" s="18">
        <f t="shared" si="44"/>
        <v>42</v>
      </c>
      <c r="AB384" s="18">
        <v>35</v>
      </c>
      <c r="AC384" s="18">
        <v>2</v>
      </c>
      <c r="AD384" s="18">
        <v>3</v>
      </c>
      <c r="AE384" s="18">
        <v>1</v>
      </c>
      <c r="AF384" s="18"/>
      <c r="AG384" s="18">
        <f t="shared" si="45"/>
        <v>41</v>
      </c>
      <c r="AH384" s="18">
        <v>8</v>
      </c>
      <c r="AI384" s="18"/>
      <c r="AJ384" s="18"/>
      <c r="AK384" s="18"/>
      <c r="AL384" s="18"/>
      <c r="AM384" s="18">
        <f t="shared" si="46"/>
        <v>8</v>
      </c>
      <c r="AN384" s="18"/>
      <c r="AO384" s="18"/>
      <c r="AP384" s="18">
        <f t="shared" si="48"/>
        <v>0</v>
      </c>
      <c r="AQ384" s="32">
        <f t="shared" si="47"/>
        <v>447</v>
      </c>
    </row>
    <row r="385" spans="1:43" x14ac:dyDescent="0.35">
      <c r="A385" s="126" t="s">
        <v>995</v>
      </c>
      <c r="B385" s="126" t="s">
        <v>996</v>
      </c>
      <c r="C385" s="126" t="s">
        <v>1294</v>
      </c>
      <c r="D385" s="128">
        <v>20</v>
      </c>
      <c r="E385" s="128">
        <v>4</v>
      </c>
      <c r="F385" s="128"/>
      <c r="G385" s="128"/>
      <c r="H385" s="128"/>
      <c r="I385" s="18">
        <f t="shared" si="41"/>
        <v>24</v>
      </c>
      <c r="J385" s="128"/>
      <c r="K385" s="128"/>
      <c r="L385" s="128"/>
      <c r="M385" s="128"/>
      <c r="N385" s="128"/>
      <c r="O385" s="18">
        <f t="shared" si="42"/>
        <v>0</v>
      </c>
      <c r="P385" s="18"/>
      <c r="Q385" s="18"/>
      <c r="R385" s="18"/>
      <c r="S385" s="18"/>
      <c r="T385" s="18"/>
      <c r="U385" s="18">
        <f t="shared" si="43"/>
        <v>0</v>
      </c>
      <c r="V385" s="18"/>
      <c r="W385" s="18"/>
      <c r="X385" s="18"/>
      <c r="Y385" s="18"/>
      <c r="Z385" s="18"/>
      <c r="AA385" s="18">
        <f t="shared" si="44"/>
        <v>0</v>
      </c>
      <c r="AB385" s="18">
        <v>1</v>
      </c>
      <c r="AC385" s="18"/>
      <c r="AD385" s="18"/>
      <c r="AE385" s="18"/>
      <c r="AF385" s="18"/>
      <c r="AG385" s="18">
        <f t="shared" si="45"/>
        <v>1</v>
      </c>
      <c r="AH385" s="18"/>
      <c r="AI385" s="18"/>
      <c r="AJ385" s="18"/>
      <c r="AK385" s="18"/>
      <c r="AL385" s="18"/>
      <c r="AM385" s="18">
        <f t="shared" si="46"/>
        <v>0</v>
      </c>
      <c r="AN385" s="18"/>
      <c r="AO385" s="18"/>
      <c r="AP385" s="18">
        <f t="shared" si="48"/>
        <v>0</v>
      </c>
      <c r="AQ385" s="32">
        <f t="shared" si="47"/>
        <v>25</v>
      </c>
    </row>
    <row r="386" spans="1:43" x14ac:dyDescent="0.35">
      <c r="A386" s="126" t="s">
        <v>997</v>
      </c>
      <c r="B386" s="126" t="s">
        <v>1264</v>
      </c>
      <c r="C386" s="126" t="s">
        <v>1294</v>
      </c>
      <c r="D386" s="128">
        <v>33</v>
      </c>
      <c r="E386" s="128">
        <v>1</v>
      </c>
      <c r="F386" s="128">
        <v>1</v>
      </c>
      <c r="G386" s="128"/>
      <c r="H386" s="128"/>
      <c r="I386" s="18">
        <f t="shared" si="41"/>
        <v>35</v>
      </c>
      <c r="J386" s="128">
        <v>1</v>
      </c>
      <c r="K386" s="128"/>
      <c r="L386" s="128"/>
      <c r="M386" s="128"/>
      <c r="N386" s="128"/>
      <c r="O386" s="18">
        <f t="shared" si="42"/>
        <v>1</v>
      </c>
      <c r="P386" s="18"/>
      <c r="Q386" s="18"/>
      <c r="R386" s="18"/>
      <c r="S386" s="18"/>
      <c r="T386" s="18"/>
      <c r="U386" s="18">
        <f t="shared" si="43"/>
        <v>0</v>
      </c>
      <c r="V386" s="18"/>
      <c r="W386" s="18"/>
      <c r="X386" s="18"/>
      <c r="Y386" s="18"/>
      <c r="Z386" s="18"/>
      <c r="AA386" s="18">
        <f t="shared" si="44"/>
        <v>0</v>
      </c>
      <c r="AB386" s="18">
        <v>2</v>
      </c>
      <c r="AC386" s="18"/>
      <c r="AD386" s="18"/>
      <c r="AE386" s="18"/>
      <c r="AF386" s="18"/>
      <c r="AG386" s="18">
        <f t="shared" si="45"/>
        <v>2</v>
      </c>
      <c r="AH386" s="18"/>
      <c r="AI386" s="18"/>
      <c r="AJ386" s="18"/>
      <c r="AK386" s="18"/>
      <c r="AL386" s="18"/>
      <c r="AM386" s="18">
        <f t="shared" si="46"/>
        <v>0</v>
      </c>
      <c r="AN386" s="18"/>
      <c r="AO386" s="18"/>
      <c r="AP386" s="18">
        <f t="shared" si="48"/>
        <v>0</v>
      </c>
      <c r="AQ386" s="32">
        <f t="shared" si="47"/>
        <v>38</v>
      </c>
    </row>
    <row r="387" spans="1:43" x14ac:dyDescent="0.35">
      <c r="A387" s="126" t="s">
        <v>998</v>
      </c>
      <c r="B387" s="126" t="s">
        <v>1265</v>
      </c>
      <c r="C387" s="126" t="s">
        <v>1294</v>
      </c>
      <c r="D387" s="128">
        <v>25</v>
      </c>
      <c r="E387" s="128">
        <v>7</v>
      </c>
      <c r="F387" s="128">
        <v>6</v>
      </c>
      <c r="G387" s="128">
        <v>19</v>
      </c>
      <c r="H387" s="128"/>
      <c r="I387" s="18">
        <f t="shared" si="41"/>
        <v>57</v>
      </c>
      <c r="J387" s="128"/>
      <c r="K387" s="128"/>
      <c r="L387" s="128"/>
      <c r="M387" s="128"/>
      <c r="N387" s="128"/>
      <c r="O387" s="18">
        <f t="shared" si="42"/>
        <v>0</v>
      </c>
      <c r="P387" s="18"/>
      <c r="Q387" s="18"/>
      <c r="R387" s="18"/>
      <c r="S387" s="18"/>
      <c r="T387" s="18"/>
      <c r="U387" s="18">
        <f t="shared" si="43"/>
        <v>0</v>
      </c>
      <c r="V387" s="18"/>
      <c r="W387" s="18"/>
      <c r="X387" s="18"/>
      <c r="Y387" s="18"/>
      <c r="Z387" s="18"/>
      <c r="AA387" s="18">
        <f t="shared" si="44"/>
        <v>0</v>
      </c>
      <c r="AB387" s="18">
        <v>1</v>
      </c>
      <c r="AC387" s="18"/>
      <c r="AD387" s="18"/>
      <c r="AE387" s="18"/>
      <c r="AF387" s="18"/>
      <c r="AG387" s="18">
        <f t="shared" si="45"/>
        <v>1</v>
      </c>
      <c r="AH387" s="18">
        <v>1</v>
      </c>
      <c r="AI387" s="18"/>
      <c r="AJ387" s="18"/>
      <c r="AK387" s="18"/>
      <c r="AL387" s="18"/>
      <c r="AM387" s="18">
        <f t="shared" si="46"/>
        <v>1</v>
      </c>
      <c r="AN387" s="18"/>
      <c r="AO387" s="18"/>
      <c r="AP387" s="18">
        <f t="shared" si="48"/>
        <v>0</v>
      </c>
      <c r="AQ387" s="32">
        <f t="shared" si="47"/>
        <v>59</v>
      </c>
    </row>
    <row r="388" spans="1:43" x14ac:dyDescent="0.35">
      <c r="A388" s="126" t="s">
        <v>999</v>
      </c>
      <c r="B388" s="126" t="s">
        <v>1266</v>
      </c>
      <c r="C388" s="126" t="s">
        <v>1294</v>
      </c>
      <c r="D388" s="128">
        <v>58</v>
      </c>
      <c r="E388" s="128">
        <v>6</v>
      </c>
      <c r="F388" s="128">
        <v>2</v>
      </c>
      <c r="G388" s="128">
        <v>1</v>
      </c>
      <c r="H388" s="128"/>
      <c r="I388" s="18">
        <f t="shared" si="41"/>
        <v>67</v>
      </c>
      <c r="J388" s="128"/>
      <c r="K388" s="128"/>
      <c r="L388" s="128"/>
      <c r="M388" s="128"/>
      <c r="N388" s="128"/>
      <c r="O388" s="18">
        <f t="shared" si="42"/>
        <v>0</v>
      </c>
      <c r="P388" s="18"/>
      <c r="Q388" s="18"/>
      <c r="R388" s="18"/>
      <c r="S388" s="18"/>
      <c r="T388" s="18"/>
      <c r="U388" s="18">
        <f t="shared" si="43"/>
        <v>0</v>
      </c>
      <c r="V388" s="18"/>
      <c r="W388" s="18"/>
      <c r="X388" s="18"/>
      <c r="Y388" s="18"/>
      <c r="Z388" s="18"/>
      <c r="AA388" s="18">
        <f t="shared" si="44"/>
        <v>0</v>
      </c>
      <c r="AB388" s="18">
        <v>7</v>
      </c>
      <c r="AC388" s="18"/>
      <c r="AD388" s="18"/>
      <c r="AE388" s="18"/>
      <c r="AF388" s="18"/>
      <c r="AG388" s="18">
        <f t="shared" si="45"/>
        <v>7</v>
      </c>
      <c r="AH388" s="18">
        <v>1</v>
      </c>
      <c r="AI388" s="18"/>
      <c r="AJ388" s="18"/>
      <c r="AK388" s="18"/>
      <c r="AL388" s="18"/>
      <c r="AM388" s="18">
        <f t="shared" si="46"/>
        <v>1</v>
      </c>
      <c r="AN388" s="18"/>
      <c r="AO388" s="18"/>
      <c r="AP388" s="18">
        <f t="shared" si="48"/>
        <v>0</v>
      </c>
      <c r="AQ388" s="32">
        <f t="shared" si="47"/>
        <v>75</v>
      </c>
    </row>
    <row r="389" spans="1:43" x14ac:dyDescent="0.35">
      <c r="A389" s="126" t="s">
        <v>1000</v>
      </c>
      <c r="B389" s="126" t="s">
        <v>1001</v>
      </c>
      <c r="C389" s="126" t="s">
        <v>1294</v>
      </c>
      <c r="D389" s="128">
        <v>644</v>
      </c>
      <c r="E389" s="128">
        <v>22</v>
      </c>
      <c r="F389" s="128">
        <v>4</v>
      </c>
      <c r="G389" s="128"/>
      <c r="H389" s="128"/>
      <c r="I389" s="18">
        <f t="shared" si="41"/>
        <v>670</v>
      </c>
      <c r="J389" s="128">
        <v>49</v>
      </c>
      <c r="K389" s="128"/>
      <c r="L389" s="128"/>
      <c r="M389" s="128"/>
      <c r="N389" s="128"/>
      <c r="O389" s="18">
        <f t="shared" si="42"/>
        <v>49</v>
      </c>
      <c r="P389" s="18">
        <v>11</v>
      </c>
      <c r="Q389" s="18"/>
      <c r="R389" s="18"/>
      <c r="S389" s="18"/>
      <c r="T389" s="18"/>
      <c r="U389" s="18">
        <f t="shared" si="43"/>
        <v>11</v>
      </c>
      <c r="V389" s="18">
        <v>2</v>
      </c>
      <c r="W389" s="18"/>
      <c r="X389" s="18"/>
      <c r="Y389" s="18"/>
      <c r="Z389" s="18"/>
      <c r="AA389" s="18">
        <f t="shared" si="44"/>
        <v>2</v>
      </c>
      <c r="AB389" s="18">
        <v>115</v>
      </c>
      <c r="AC389" s="18"/>
      <c r="AD389" s="18"/>
      <c r="AE389" s="18"/>
      <c r="AF389" s="18"/>
      <c r="AG389" s="18">
        <f t="shared" si="45"/>
        <v>115</v>
      </c>
      <c r="AH389" s="18">
        <v>9</v>
      </c>
      <c r="AI389" s="18"/>
      <c r="AJ389" s="18"/>
      <c r="AK389" s="18"/>
      <c r="AL389" s="18"/>
      <c r="AM389" s="18">
        <f t="shared" si="46"/>
        <v>9</v>
      </c>
      <c r="AN389" s="18"/>
      <c r="AO389" s="18"/>
      <c r="AP389" s="18">
        <f t="shared" si="48"/>
        <v>0</v>
      </c>
      <c r="AQ389" s="32">
        <f t="shared" si="47"/>
        <v>856</v>
      </c>
    </row>
    <row r="390" spans="1:43" x14ac:dyDescent="0.35">
      <c r="A390" s="126" t="s">
        <v>1002</v>
      </c>
      <c r="B390" s="126" t="s">
        <v>1003</v>
      </c>
      <c r="C390" s="126" t="s">
        <v>1294</v>
      </c>
      <c r="D390" s="128">
        <v>481</v>
      </c>
      <c r="E390" s="128">
        <v>12</v>
      </c>
      <c r="F390" s="128">
        <v>3</v>
      </c>
      <c r="G390" s="128"/>
      <c r="H390" s="128"/>
      <c r="I390" s="18">
        <f t="shared" ref="I390:I453" si="49">+SUM(D390:H390)</f>
        <v>496</v>
      </c>
      <c r="J390" s="128">
        <v>72</v>
      </c>
      <c r="K390" s="128"/>
      <c r="L390" s="128"/>
      <c r="M390" s="128"/>
      <c r="N390" s="128"/>
      <c r="O390" s="18">
        <f t="shared" ref="O390:O453" si="50">+SUM(J390:N390)</f>
        <v>72</v>
      </c>
      <c r="P390" s="18">
        <v>12</v>
      </c>
      <c r="Q390" s="18"/>
      <c r="R390" s="18"/>
      <c r="S390" s="18"/>
      <c r="T390" s="18"/>
      <c r="U390" s="18">
        <f t="shared" ref="U390:U453" si="51">+SUM(P390:T390)</f>
        <v>12</v>
      </c>
      <c r="V390" s="18">
        <v>1</v>
      </c>
      <c r="W390" s="18"/>
      <c r="X390" s="18"/>
      <c r="Y390" s="18"/>
      <c r="Z390" s="18"/>
      <c r="AA390" s="18">
        <f t="shared" ref="AA390:AA453" si="52">+SUM(V390:Z390)</f>
        <v>1</v>
      </c>
      <c r="AB390" s="18">
        <v>83</v>
      </c>
      <c r="AC390" s="18"/>
      <c r="AD390" s="18"/>
      <c r="AE390" s="18"/>
      <c r="AF390" s="18"/>
      <c r="AG390" s="18">
        <f t="shared" ref="AG390:AG453" si="53">+SUM(AB390:AF390)</f>
        <v>83</v>
      </c>
      <c r="AH390" s="18">
        <v>17</v>
      </c>
      <c r="AI390" s="18"/>
      <c r="AJ390" s="18"/>
      <c r="AK390" s="18"/>
      <c r="AL390" s="18"/>
      <c r="AM390" s="18">
        <f t="shared" ref="AM390:AM453" si="54">+SUM(AH390:AL390)</f>
        <v>17</v>
      </c>
      <c r="AN390" s="18"/>
      <c r="AO390" s="18"/>
      <c r="AP390" s="18">
        <f t="shared" si="48"/>
        <v>0</v>
      </c>
      <c r="AQ390" s="32">
        <f t="shared" ref="AQ390:AQ453" si="55">+AP390+AM390+AG390+AA390+U390+O390+I390</f>
        <v>681</v>
      </c>
    </row>
    <row r="391" spans="1:43" x14ac:dyDescent="0.35">
      <c r="A391" s="126" t="s">
        <v>1004</v>
      </c>
      <c r="B391" s="126" t="s">
        <v>1005</v>
      </c>
      <c r="C391" s="126" t="s">
        <v>1294</v>
      </c>
      <c r="D391" s="128">
        <v>149</v>
      </c>
      <c r="E391" s="128">
        <v>3</v>
      </c>
      <c r="F391" s="128"/>
      <c r="G391" s="128"/>
      <c r="H391" s="128"/>
      <c r="I391" s="18">
        <f t="shared" si="49"/>
        <v>152</v>
      </c>
      <c r="J391" s="128">
        <v>6</v>
      </c>
      <c r="K391" s="128"/>
      <c r="L391" s="128"/>
      <c r="M391" s="128"/>
      <c r="N391" s="128"/>
      <c r="O391" s="18">
        <f t="shared" si="50"/>
        <v>6</v>
      </c>
      <c r="P391" s="18">
        <v>2</v>
      </c>
      <c r="Q391" s="18"/>
      <c r="R391" s="18"/>
      <c r="S391" s="18"/>
      <c r="T391" s="18"/>
      <c r="U391" s="18">
        <f t="shared" si="51"/>
        <v>2</v>
      </c>
      <c r="V391" s="18"/>
      <c r="W391" s="18"/>
      <c r="X391" s="18"/>
      <c r="Y391" s="18"/>
      <c r="Z391" s="18"/>
      <c r="AA391" s="18">
        <f t="shared" si="52"/>
        <v>0</v>
      </c>
      <c r="AB391" s="18">
        <v>9</v>
      </c>
      <c r="AC391" s="18"/>
      <c r="AD391" s="18"/>
      <c r="AE391" s="18"/>
      <c r="AF391" s="18"/>
      <c r="AG391" s="18">
        <f t="shared" si="53"/>
        <v>9</v>
      </c>
      <c r="AH391" s="18">
        <v>5</v>
      </c>
      <c r="AI391" s="18"/>
      <c r="AJ391" s="18"/>
      <c r="AK391" s="18"/>
      <c r="AL391" s="18"/>
      <c r="AM391" s="18">
        <f t="shared" si="54"/>
        <v>5</v>
      </c>
      <c r="AN391" s="18"/>
      <c r="AO391" s="18"/>
      <c r="AP391" s="18">
        <f t="shared" si="48"/>
        <v>0</v>
      </c>
      <c r="AQ391" s="32">
        <f t="shared" si="55"/>
        <v>174</v>
      </c>
    </row>
    <row r="392" spans="1:43" x14ac:dyDescent="0.35">
      <c r="A392" s="126" t="s">
        <v>1006</v>
      </c>
      <c r="B392" s="126" t="s">
        <v>1007</v>
      </c>
      <c r="C392" s="126" t="s">
        <v>1294</v>
      </c>
      <c r="D392" s="128">
        <v>28</v>
      </c>
      <c r="E392" s="128">
        <v>12</v>
      </c>
      <c r="F392" s="128">
        <v>11</v>
      </c>
      <c r="G392" s="128">
        <v>10</v>
      </c>
      <c r="H392" s="128"/>
      <c r="I392" s="18">
        <f t="shared" si="49"/>
        <v>61</v>
      </c>
      <c r="J392" s="128"/>
      <c r="K392" s="128"/>
      <c r="L392" s="128"/>
      <c r="M392" s="128"/>
      <c r="N392" s="128"/>
      <c r="O392" s="18">
        <f t="shared" si="50"/>
        <v>0</v>
      </c>
      <c r="P392" s="18"/>
      <c r="Q392" s="18"/>
      <c r="R392" s="18"/>
      <c r="S392" s="18"/>
      <c r="T392" s="18"/>
      <c r="U392" s="18">
        <f t="shared" si="51"/>
        <v>0</v>
      </c>
      <c r="V392" s="18"/>
      <c r="W392" s="18"/>
      <c r="X392" s="18"/>
      <c r="Y392" s="18"/>
      <c r="Z392" s="18"/>
      <c r="AA392" s="18">
        <f t="shared" si="52"/>
        <v>0</v>
      </c>
      <c r="AB392" s="18">
        <v>5</v>
      </c>
      <c r="AC392" s="18"/>
      <c r="AD392" s="18"/>
      <c r="AE392" s="18"/>
      <c r="AF392" s="18"/>
      <c r="AG392" s="18">
        <f t="shared" si="53"/>
        <v>5</v>
      </c>
      <c r="AH392" s="18"/>
      <c r="AI392" s="18"/>
      <c r="AJ392" s="18"/>
      <c r="AK392" s="18"/>
      <c r="AL392" s="18"/>
      <c r="AM392" s="18">
        <f t="shared" si="54"/>
        <v>0</v>
      </c>
      <c r="AN392" s="18"/>
      <c r="AO392" s="18"/>
      <c r="AP392" s="18">
        <f t="shared" si="48"/>
        <v>0</v>
      </c>
      <c r="AQ392" s="32">
        <f t="shared" si="55"/>
        <v>66</v>
      </c>
    </row>
    <row r="393" spans="1:43" x14ac:dyDescent="0.35">
      <c r="A393" s="126" t="s">
        <v>1008</v>
      </c>
      <c r="B393" s="126" t="s">
        <v>1009</v>
      </c>
      <c r="C393" s="126" t="s">
        <v>1294</v>
      </c>
      <c r="D393" s="128">
        <v>138</v>
      </c>
      <c r="E393" s="128">
        <v>8</v>
      </c>
      <c r="F393" s="128">
        <v>2</v>
      </c>
      <c r="G393" s="128"/>
      <c r="H393" s="128"/>
      <c r="I393" s="18">
        <f t="shared" si="49"/>
        <v>148</v>
      </c>
      <c r="J393" s="128">
        <v>6</v>
      </c>
      <c r="K393" s="128"/>
      <c r="L393" s="128"/>
      <c r="M393" s="128"/>
      <c r="N393" s="128"/>
      <c r="O393" s="18">
        <f t="shared" si="50"/>
        <v>6</v>
      </c>
      <c r="P393" s="18">
        <v>4</v>
      </c>
      <c r="Q393" s="18"/>
      <c r="R393" s="18"/>
      <c r="S393" s="18"/>
      <c r="T393" s="18"/>
      <c r="U393" s="18">
        <f t="shared" si="51"/>
        <v>4</v>
      </c>
      <c r="V393" s="18">
        <v>1</v>
      </c>
      <c r="W393" s="18"/>
      <c r="X393" s="18"/>
      <c r="Y393" s="18"/>
      <c r="Z393" s="18"/>
      <c r="AA393" s="18">
        <f t="shared" si="52"/>
        <v>1</v>
      </c>
      <c r="AB393" s="18">
        <v>27</v>
      </c>
      <c r="AC393" s="18"/>
      <c r="AD393" s="18"/>
      <c r="AE393" s="18"/>
      <c r="AF393" s="18"/>
      <c r="AG393" s="18">
        <f t="shared" si="53"/>
        <v>27</v>
      </c>
      <c r="AH393" s="18">
        <v>3</v>
      </c>
      <c r="AI393" s="18"/>
      <c r="AJ393" s="18"/>
      <c r="AK393" s="18"/>
      <c r="AL393" s="18"/>
      <c r="AM393" s="18">
        <f t="shared" si="54"/>
        <v>3</v>
      </c>
      <c r="AN393" s="18"/>
      <c r="AO393" s="18"/>
      <c r="AP393" s="18">
        <f t="shared" si="48"/>
        <v>0</v>
      </c>
      <c r="AQ393" s="32">
        <f t="shared" si="55"/>
        <v>189</v>
      </c>
    </row>
    <row r="394" spans="1:43" x14ac:dyDescent="0.35">
      <c r="A394" s="126" t="s">
        <v>1010</v>
      </c>
      <c r="B394" s="126" t="s">
        <v>1011</v>
      </c>
      <c r="C394" s="126" t="s">
        <v>1294</v>
      </c>
      <c r="D394" s="128">
        <v>18</v>
      </c>
      <c r="E394" s="128">
        <v>1</v>
      </c>
      <c r="F394" s="128"/>
      <c r="G394" s="128"/>
      <c r="H394" s="128"/>
      <c r="I394" s="18">
        <f t="shared" si="49"/>
        <v>19</v>
      </c>
      <c r="J394" s="128"/>
      <c r="K394" s="128"/>
      <c r="L394" s="128"/>
      <c r="M394" s="128"/>
      <c r="N394" s="128"/>
      <c r="O394" s="18">
        <f t="shared" si="50"/>
        <v>0</v>
      </c>
      <c r="P394" s="18"/>
      <c r="Q394" s="18"/>
      <c r="R394" s="18"/>
      <c r="S394" s="18"/>
      <c r="T394" s="18"/>
      <c r="U394" s="18">
        <f t="shared" si="51"/>
        <v>0</v>
      </c>
      <c r="V394" s="18"/>
      <c r="W394" s="18"/>
      <c r="X394" s="18"/>
      <c r="Y394" s="18"/>
      <c r="Z394" s="18"/>
      <c r="AA394" s="18">
        <f t="shared" si="52"/>
        <v>0</v>
      </c>
      <c r="AB394" s="18">
        <v>3</v>
      </c>
      <c r="AC394" s="18"/>
      <c r="AD394" s="18"/>
      <c r="AE394" s="18"/>
      <c r="AF394" s="18"/>
      <c r="AG394" s="18">
        <f t="shared" si="53"/>
        <v>3</v>
      </c>
      <c r="AH394" s="18"/>
      <c r="AI394" s="18"/>
      <c r="AJ394" s="18"/>
      <c r="AK394" s="18"/>
      <c r="AL394" s="18"/>
      <c r="AM394" s="18">
        <f t="shared" si="54"/>
        <v>0</v>
      </c>
      <c r="AN394" s="18"/>
      <c r="AO394" s="18"/>
      <c r="AP394" s="18">
        <f t="shared" si="48"/>
        <v>0</v>
      </c>
      <c r="AQ394" s="32">
        <f t="shared" si="55"/>
        <v>22</v>
      </c>
    </row>
    <row r="395" spans="1:43" x14ac:dyDescent="0.35">
      <c r="A395" s="126" t="s">
        <v>1012</v>
      </c>
      <c r="B395" s="126" t="s">
        <v>1013</v>
      </c>
      <c r="C395" s="126" t="s">
        <v>1294</v>
      </c>
      <c r="D395" s="128">
        <v>56</v>
      </c>
      <c r="E395" s="128">
        <v>1</v>
      </c>
      <c r="F395" s="128"/>
      <c r="G395" s="128"/>
      <c r="H395" s="128"/>
      <c r="I395" s="18">
        <f t="shared" si="49"/>
        <v>57</v>
      </c>
      <c r="J395" s="128">
        <v>1</v>
      </c>
      <c r="K395" s="128"/>
      <c r="L395" s="128"/>
      <c r="M395" s="128"/>
      <c r="N395" s="128"/>
      <c r="O395" s="18">
        <f t="shared" si="50"/>
        <v>1</v>
      </c>
      <c r="P395" s="18">
        <v>3</v>
      </c>
      <c r="Q395" s="18"/>
      <c r="R395" s="18"/>
      <c r="S395" s="18"/>
      <c r="T395" s="18"/>
      <c r="U395" s="18">
        <f t="shared" si="51"/>
        <v>3</v>
      </c>
      <c r="V395" s="18"/>
      <c r="W395" s="18"/>
      <c r="X395" s="18"/>
      <c r="Y395" s="18"/>
      <c r="Z395" s="18"/>
      <c r="AA395" s="18">
        <f t="shared" si="52"/>
        <v>0</v>
      </c>
      <c r="AB395" s="18">
        <v>6</v>
      </c>
      <c r="AC395" s="18"/>
      <c r="AD395" s="18"/>
      <c r="AE395" s="18"/>
      <c r="AF395" s="18"/>
      <c r="AG395" s="18">
        <f t="shared" si="53"/>
        <v>6</v>
      </c>
      <c r="AH395" s="18">
        <v>3</v>
      </c>
      <c r="AI395" s="18"/>
      <c r="AJ395" s="18"/>
      <c r="AK395" s="18"/>
      <c r="AL395" s="18"/>
      <c r="AM395" s="18">
        <f t="shared" si="54"/>
        <v>3</v>
      </c>
      <c r="AN395" s="18"/>
      <c r="AO395" s="18"/>
      <c r="AP395" s="18">
        <f t="shared" si="48"/>
        <v>0</v>
      </c>
      <c r="AQ395" s="32">
        <f t="shared" si="55"/>
        <v>70</v>
      </c>
    </row>
    <row r="396" spans="1:43" x14ac:dyDescent="0.35">
      <c r="A396" s="126" t="s">
        <v>1014</v>
      </c>
      <c r="B396" s="126" t="s">
        <v>1015</v>
      </c>
      <c r="C396" s="126" t="s">
        <v>1294</v>
      </c>
      <c r="D396" s="128">
        <v>98</v>
      </c>
      <c r="E396" s="128">
        <v>5</v>
      </c>
      <c r="F396" s="128">
        <v>6</v>
      </c>
      <c r="G396" s="128">
        <v>3</v>
      </c>
      <c r="H396" s="128"/>
      <c r="I396" s="18">
        <f t="shared" si="49"/>
        <v>112</v>
      </c>
      <c r="J396" s="128"/>
      <c r="K396" s="128"/>
      <c r="L396" s="128"/>
      <c r="M396" s="128"/>
      <c r="N396" s="128"/>
      <c r="O396" s="18">
        <f t="shared" si="50"/>
        <v>0</v>
      </c>
      <c r="P396" s="18">
        <v>3</v>
      </c>
      <c r="Q396" s="18"/>
      <c r="R396" s="18"/>
      <c r="S396" s="18"/>
      <c r="T396" s="18"/>
      <c r="U396" s="18">
        <f t="shared" si="51"/>
        <v>3</v>
      </c>
      <c r="V396" s="18"/>
      <c r="W396" s="18"/>
      <c r="X396" s="18"/>
      <c r="Y396" s="18"/>
      <c r="Z396" s="18"/>
      <c r="AA396" s="18">
        <f t="shared" si="52"/>
        <v>0</v>
      </c>
      <c r="AB396" s="18">
        <v>16</v>
      </c>
      <c r="AC396" s="18"/>
      <c r="AD396" s="18">
        <v>1</v>
      </c>
      <c r="AE396" s="18"/>
      <c r="AF396" s="18"/>
      <c r="AG396" s="18">
        <f t="shared" si="53"/>
        <v>17</v>
      </c>
      <c r="AH396" s="18">
        <v>1</v>
      </c>
      <c r="AI396" s="18"/>
      <c r="AJ396" s="18"/>
      <c r="AK396" s="18"/>
      <c r="AL396" s="18"/>
      <c r="AM396" s="18">
        <f t="shared" si="54"/>
        <v>1</v>
      </c>
      <c r="AN396" s="18"/>
      <c r="AO396" s="18"/>
      <c r="AP396" s="18">
        <f t="shared" si="48"/>
        <v>0</v>
      </c>
      <c r="AQ396" s="32">
        <f t="shared" si="55"/>
        <v>133</v>
      </c>
    </row>
    <row r="397" spans="1:43" x14ac:dyDescent="0.35">
      <c r="A397" s="126" t="s">
        <v>1016</v>
      </c>
      <c r="B397" s="126" t="s">
        <v>1017</v>
      </c>
      <c r="C397" s="126" t="s">
        <v>1294</v>
      </c>
      <c r="D397" s="128">
        <v>177</v>
      </c>
      <c r="E397" s="128">
        <v>15</v>
      </c>
      <c r="F397" s="128">
        <v>1</v>
      </c>
      <c r="G397" s="128">
        <v>4</v>
      </c>
      <c r="H397" s="128"/>
      <c r="I397" s="18">
        <f t="shared" si="49"/>
        <v>197</v>
      </c>
      <c r="J397" s="128">
        <v>6</v>
      </c>
      <c r="K397" s="128"/>
      <c r="L397" s="128"/>
      <c r="M397" s="128"/>
      <c r="N397" s="128"/>
      <c r="O397" s="18">
        <f t="shared" si="50"/>
        <v>6</v>
      </c>
      <c r="P397" s="18">
        <v>1</v>
      </c>
      <c r="Q397" s="18"/>
      <c r="R397" s="18"/>
      <c r="S397" s="18"/>
      <c r="T397" s="18"/>
      <c r="U397" s="18">
        <f t="shared" si="51"/>
        <v>1</v>
      </c>
      <c r="V397" s="18">
        <v>2</v>
      </c>
      <c r="W397" s="18"/>
      <c r="X397" s="18"/>
      <c r="Y397" s="18"/>
      <c r="Z397" s="18"/>
      <c r="AA397" s="18">
        <f t="shared" si="52"/>
        <v>2</v>
      </c>
      <c r="AB397" s="18">
        <v>39</v>
      </c>
      <c r="AC397" s="18"/>
      <c r="AD397" s="18"/>
      <c r="AE397" s="18"/>
      <c r="AF397" s="18"/>
      <c r="AG397" s="18">
        <f t="shared" si="53"/>
        <v>39</v>
      </c>
      <c r="AH397" s="18">
        <v>3</v>
      </c>
      <c r="AI397" s="18"/>
      <c r="AJ397" s="18"/>
      <c r="AK397" s="18"/>
      <c r="AL397" s="18"/>
      <c r="AM397" s="18">
        <f t="shared" si="54"/>
        <v>3</v>
      </c>
      <c r="AN397" s="18"/>
      <c r="AO397" s="18"/>
      <c r="AP397" s="18">
        <f t="shared" si="48"/>
        <v>0</v>
      </c>
      <c r="AQ397" s="32">
        <f t="shared" si="55"/>
        <v>248</v>
      </c>
    </row>
    <row r="398" spans="1:43" x14ac:dyDescent="0.35">
      <c r="A398" s="126" t="s">
        <v>1018</v>
      </c>
      <c r="B398" s="126" t="s">
        <v>1019</v>
      </c>
      <c r="C398" s="126" t="s">
        <v>1294</v>
      </c>
      <c r="D398" s="128">
        <v>114</v>
      </c>
      <c r="E398" s="128">
        <v>7</v>
      </c>
      <c r="F398" s="128"/>
      <c r="G398" s="128"/>
      <c r="H398" s="128"/>
      <c r="I398" s="18">
        <f t="shared" si="49"/>
        <v>121</v>
      </c>
      <c r="J398" s="128">
        <v>5</v>
      </c>
      <c r="K398" s="128"/>
      <c r="L398" s="128"/>
      <c r="M398" s="128"/>
      <c r="N398" s="128"/>
      <c r="O398" s="18">
        <f t="shared" si="50"/>
        <v>5</v>
      </c>
      <c r="P398" s="18"/>
      <c r="Q398" s="18"/>
      <c r="R398" s="18"/>
      <c r="S398" s="18"/>
      <c r="T398" s="18"/>
      <c r="U398" s="18">
        <f t="shared" si="51"/>
        <v>0</v>
      </c>
      <c r="V398" s="18">
        <v>4</v>
      </c>
      <c r="W398" s="18"/>
      <c r="X398" s="18"/>
      <c r="Y398" s="18"/>
      <c r="Z398" s="18"/>
      <c r="AA398" s="18">
        <f t="shared" si="52"/>
        <v>4</v>
      </c>
      <c r="AB398" s="18">
        <v>15</v>
      </c>
      <c r="AC398" s="18"/>
      <c r="AD398" s="18"/>
      <c r="AE398" s="18"/>
      <c r="AF398" s="18"/>
      <c r="AG398" s="18">
        <f t="shared" si="53"/>
        <v>15</v>
      </c>
      <c r="AH398" s="18">
        <v>6</v>
      </c>
      <c r="AI398" s="18"/>
      <c r="AJ398" s="18"/>
      <c r="AK398" s="18"/>
      <c r="AL398" s="18"/>
      <c r="AM398" s="18">
        <f t="shared" si="54"/>
        <v>6</v>
      </c>
      <c r="AN398" s="18"/>
      <c r="AO398" s="18"/>
      <c r="AP398" s="18">
        <f t="shared" si="48"/>
        <v>0</v>
      </c>
      <c r="AQ398" s="32">
        <f t="shared" si="55"/>
        <v>151</v>
      </c>
    </row>
    <row r="399" spans="1:43" x14ac:dyDescent="0.35">
      <c r="A399" s="126" t="s">
        <v>1020</v>
      </c>
      <c r="B399" s="126" t="s">
        <v>1021</v>
      </c>
      <c r="C399" s="126" t="s">
        <v>1294</v>
      </c>
      <c r="D399" s="128">
        <v>243</v>
      </c>
      <c r="E399" s="128">
        <v>12</v>
      </c>
      <c r="F399" s="128"/>
      <c r="G399" s="128">
        <v>1</v>
      </c>
      <c r="H399" s="128"/>
      <c r="I399" s="18">
        <f t="shared" si="49"/>
        <v>256</v>
      </c>
      <c r="J399" s="128">
        <v>7</v>
      </c>
      <c r="K399" s="128"/>
      <c r="L399" s="128"/>
      <c r="M399" s="128"/>
      <c r="N399" s="128"/>
      <c r="O399" s="18">
        <f t="shared" si="50"/>
        <v>7</v>
      </c>
      <c r="P399" s="18">
        <v>4</v>
      </c>
      <c r="Q399" s="18"/>
      <c r="R399" s="18"/>
      <c r="S399" s="18"/>
      <c r="T399" s="18"/>
      <c r="U399" s="18">
        <f t="shared" si="51"/>
        <v>4</v>
      </c>
      <c r="V399" s="18">
        <v>3</v>
      </c>
      <c r="W399" s="18"/>
      <c r="X399" s="18"/>
      <c r="Y399" s="18"/>
      <c r="Z399" s="18"/>
      <c r="AA399" s="18">
        <f t="shared" si="52"/>
        <v>3</v>
      </c>
      <c r="AB399" s="18">
        <v>16</v>
      </c>
      <c r="AC399" s="18"/>
      <c r="AD399" s="18"/>
      <c r="AE399" s="18"/>
      <c r="AF399" s="18"/>
      <c r="AG399" s="18">
        <f t="shared" si="53"/>
        <v>16</v>
      </c>
      <c r="AH399" s="18">
        <v>2</v>
      </c>
      <c r="AI399" s="18"/>
      <c r="AJ399" s="18"/>
      <c r="AK399" s="18"/>
      <c r="AL399" s="18"/>
      <c r="AM399" s="18">
        <f t="shared" si="54"/>
        <v>2</v>
      </c>
      <c r="AN399" s="18"/>
      <c r="AO399" s="18"/>
      <c r="AP399" s="18">
        <f t="shared" si="48"/>
        <v>0</v>
      </c>
      <c r="AQ399" s="32">
        <f t="shared" si="55"/>
        <v>288</v>
      </c>
    </row>
    <row r="400" spans="1:43" x14ac:dyDescent="0.35">
      <c r="A400" s="126" t="s">
        <v>1022</v>
      </c>
      <c r="B400" s="126" t="s">
        <v>1023</v>
      </c>
      <c r="C400" s="126" t="s">
        <v>1294</v>
      </c>
      <c r="D400" s="128">
        <v>74</v>
      </c>
      <c r="E400" s="128">
        <v>3</v>
      </c>
      <c r="F400" s="128"/>
      <c r="G400" s="128"/>
      <c r="H400" s="128"/>
      <c r="I400" s="18">
        <f t="shared" si="49"/>
        <v>77</v>
      </c>
      <c r="J400" s="128">
        <v>3</v>
      </c>
      <c r="K400" s="128"/>
      <c r="L400" s="128"/>
      <c r="M400" s="128"/>
      <c r="N400" s="128"/>
      <c r="O400" s="18">
        <f t="shared" si="50"/>
        <v>3</v>
      </c>
      <c r="P400" s="18">
        <v>1</v>
      </c>
      <c r="Q400" s="18"/>
      <c r="R400" s="18"/>
      <c r="S400" s="18"/>
      <c r="T400" s="18"/>
      <c r="U400" s="18">
        <f t="shared" si="51"/>
        <v>1</v>
      </c>
      <c r="V400" s="18">
        <v>4</v>
      </c>
      <c r="W400" s="18"/>
      <c r="X400" s="18"/>
      <c r="Y400" s="18"/>
      <c r="Z400" s="18"/>
      <c r="AA400" s="18">
        <f t="shared" si="52"/>
        <v>4</v>
      </c>
      <c r="AB400" s="18">
        <v>10</v>
      </c>
      <c r="AC400" s="18"/>
      <c r="AD400" s="18"/>
      <c r="AE400" s="18"/>
      <c r="AF400" s="18"/>
      <c r="AG400" s="18">
        <f t="shared" si="53"/>
        <v>10</v>
      </c>
      <c r="AH400" s="18">
        <v>1</v>
      </c>
      <c r="AI400" s="18"/>
      <c r="AJ400" s="18"/>
      <c r="AK400" s="18"/>
      <c r="AL400" s="18"/>
      <c r="AM400" s="18">
        <f t="shared" si="54"/>
        <v>1</v>
      </c>
      <c r="AN400" s="18"/>
      <c r="AO400" s="18"/>
      <c r="AP400" s="18">
        <f t="shared" si="48"/>
        <v>0</v>
      </c>
      <c r="AQ400" s="32">
        <f t="shared" si="55"/>
        <v>96</v>
      </c>
    </row>
    <row r="401" spans="1:43" x14ac:dyDescent="0.35">
      <c r="A401" s="126" t="s">
        <v>1024</v>
      </c>
      <c r="B401" s="126" t="s">
        <v>1267</v>
      </c>
      <c r="C401" s="126" t="s">
        <v>1294</v>
      </c>
      <c r="D401" s="128">
        <v>192</v>
      </c>
      <c r="E401" s="128">
        <v>36</v>
      </c>
      <c r="F401" s="128">
        <v>13</v>
      </c>
      <c r="G401" s="128">
        <v>8</v>
      </c>
      <c r="H401" s="128"/>
      <c r="I401" s="18">
        <f t="shared" si="49"/>
        <v>249</v>
      </c>
      <c r="J401" s="128"/>
      <c r="K401" s="128"/>
      <c r="L401" s="128"/>
      <c r="M401" s="128"/>
      <c r="N401" s="128"/>
      <c r="O401" s="18">
        <f t="shared" si="50"/>
        <v>0</v>
      </c>
      <c r="P401" s="18">
        <v>1</v>
      </c>
      <c r="Q401" s="18"/>
      <c r="R401" s="18"/>
      <c r="S401" s="18"/>
      <c r="T401" s="18"/>
      <c r="U401" s="18">
        <f t="shared" si="51"/>
        <v>1</v>
      </c>
      <c r="V401" s="18"/>
      <c r="W401" s="18"/>
      <c r="X401" s="18"/>
      <c r="Y401" s="18"/>
      <c r="Z401" s="18"/>
      <c r="AA401" s="18">
        <f t="shared" si="52"/>
        <v>0</v>
      </c>
      <c r="AB401" s="18">
        <v>12</v>
      </c>
      <c r="AC401" s="18"/>
      <c r="AD401" s="18"/>
      <c r="AE401" s="18">
        <v>2</v>
      </c>
      <c r="AF401" s="18"/>
      <c r="AG401" s="18">
        <f t="shared" si="53"/>
        <v>14</v>
      </c>
      <c r="AH401" s="18"/>
      <c r="AI401" s="18"/>
      <c r="AJ401" s="18"/>
      <c r="AK401" s="18"/>
      <c r="AL401" s="18"/>
      <c r="AM401" s="18">
        <f t="shared" si="54"/>
        <v>0</v>
      </c>
      <c r="AN401" s="18"/>
      <c r="AO401" s="18"/>
      <c r="AP401" s="18">
        <f t="shared" si="48"/>
        <v>0</v>
      </c>
      <c r="AQ401" s="32">
        <f t="shared" si="55"/>
        <v>264</v>
      </c>
    </row>
    <row r="402" spans="1:43" x14ac:dyDescent="0.35">
      <c r="A402" s="126" t="s">
        <v>1025</v>
      </c>
      <c r="B402" s="126" t="s">
        <v>1026</v>
      </c>
      <c r="C402" s="126" t="s">
        <v>1294</v>
      </c>
      <c r="D402" s="128">
        <v>376</v>
      </c>
      <c r="E402" s="128">
        <v>33</v>
      </c>
      <c r="F402" s="128">
        <v>9</v>
      </c>
      <c r="G402" s="128">
        <v>5</v>
      </c>
      <c r="H402" s="128"/>
      <c r="I402" s="18">
        <f t="shared" si="49"/>
        <v>423</v>
      </c>
      <c r="J402" s="128">
        <v>9</v>
      </c>
      <c r="K402" s="128"/>
      <c r="L402" s="128"/>
      <c r="M402" s="128"/>
      <c r="N402" s="128"/>
      <c r="O402" s="18">
        <f t="shared" si="50"/>
        <v>9</v>
      </c>
      <c r="P402" s="18">
        <v>5</v>
      </c>
      <c r="Q402" s="18"/>
      <c r="R402" s="18"/>
      <c r="S402" s="18"/>
      <c r="T402" s="18"/>
      <c r="U402" s="18">
        <f t="shared" si="51"/>
        <v>5</v>
      </c>
      <c r="V402" s="18">
        <v>4</v>
      </c>
      <c r="W402" s="18"/>
      <c r="X402" s="18"/>
      <c r="Y402" s="18"/>
      <c r="Z402" s="18"/>
      <c r="AA402" s="18">
        <f t="shared" si="52"/>
        <v>4</v>
      </c>
      <c r="AB402" s="18">
        <v>30</v>
      </c>
      <c r="AC402" s="18"/>
      <c r="AD402" s="18"/>
      <c r="AE402" s="18"/>
      <c r="AF402" s="18"/>
      <c r="AG402" s="18">
        <f t="shared" si="53"/>
        <v>30</v>
      </c>
      <c r="AH402" s="18">
        <v>2</v>
      </c>
      <c r="AI402" s="18"/>
      <c r="AJ402" s="18"/>
      <c r="AK402" s="18"/>
      <c r="AL402" s="18"/>
      <c r="AM402" s="18">
        <f t="shared" si="54"/>
        <v>2</v>
      </c>
      <c r="AN402" s="18"/>
      <c r="AO402" s="18"/>
      <c r="AP402" s="18">
        <f t="shared" si="48"/>
        <v>0</v>
      </c>
      <c r="AQ402" s="32">
        <f t="shared" si="55"/>
        <v>473</v>
      </c>
    </row>
    <row r="403" spans="1:43" x14ac:dyDescent="0.35">
      <c r="A403" s="126" t="s">
        <v>1027</v>
      </c>
      <c r="B403" s="126" t="s">
        <v>1028</v>
      </c>
      <c r="C403" s="126" t="s">
        <v>1294</v>
      </c>
      <c r="D403" s="128">
        <v>36</v>
      </c>
      <c r="E403" s="128">
        <v>4</v>
      </c>
      <c r="F403" s="128">
        <v>2</v>
      </c>
      <c r="G403" s="128"/>
      <c r="H403" s="128"/>
      <c r="I403" s="18">
        <f t="shared" si="49"/>
        <v>42</v>
      </c>
      <c r="J403" s="128"/>
      <c r="K403" s="128"/>
      <c r="L403" s="128"/>
      <c r="M403" s="128"/>
      <c r="N403" s="128"/>
      <c r="O403" s="18">
        <f t="shared" si="50"/>
        <v>0</v>
      </c>
      <c r="P403" s="18"/>
      <c r="Q403" s="18"/>
      <c r="R403" s="18"/>
      <c r="S403" s="18"/>
      <c r="T403" s="18"/>
      <c r="U403" s="18">
        <f t="shared" si="51"/>
        <v>0</v>
      </c>
      <c r="V403" s="18"/>
      <c r="W403" s="18"/>
      <c r="X403" s="18"/>
      <c r="Y403" s="18"/>
      <c r="Z403" s="18"/>
      <c r="AA403" s="18">
        <f t="shared" si="52"/>
        <v>0</v>
      </c>
      <c r="AB403" s="18">
        <v>4</v>
      </c>
      <c r="AC403" s="18"/>
      <c r="AD403" s="18"/>
      <c r="AE403" s="18"/>
      <c r="AF403" s="18"/>
      <c r="AG403" s="18">
        <f t="shared" si="53"/>
        <v>4</v>
      </c>
      <c r="AH403" s="18">
        <v>1</v>
      </c>
      <c r="AI403" s="18"/>
      <c r="AJ403" s="18"/>
      <c r="AK403" s="18"/>
      <c r="AL403" s="18"/>
      <c r="AM403" s="18">
        <f t="shared" si="54"/>
        <v>1</v>
      </c>
      <c r="AN403" s="18"/>
      <c r="AO403" s="18"/>
      <c r="AP403" s="18">
        <f t="shared" si="48"/>
        <v>0</v>
      </c>
      <c r="AQ403" s="32">
        <f t="shared" si="55"/>
        <v>47</v>
      </c>
    </row>
    <row r="404" spans="1:43" x14ac:dyDescent="0.35">
      <c r="A404" s="126" t="s">
        <v>1029</v>
      </c>
      <c r="B404" s="126" t="s">
        <v>1030</v>
      </c>
      <c r="C404" s="126" t="s">
        <v>1294</v>
      </c>
      <c r="D404" s="128">
        <v>23</v>
      </c>
      <c r="E404" s="128"/>
      <c r="F404" s="128">
        <v>3</v>
      </c>
      <c r="G404" s="128">
        <v>3</v>
      </c>
      <c r="H404" s="128"/>
      <c r="I404" s="18">
        <f t="shared" si="49"/>
        <v>29</v>
      </c>
      <c r="J404" s="128">
        <v>1</v>
      </c>
      <c r="K404" s="128"/>
      <c r="L404" s="128"/>
      <c r="M404" s="128"/>
      <c r="N404" s="128"/>
      <c r="O404" s="18">
        <f t="shared" si="50"/>
        <v>1</v>
      </c>
      <c r="P404" s="18"/>
      <c r="Q404" s="18"/>
      <c r="R404" s="18"/>
      <c r="S404" s="18"/>
      <c r="T404" s="18"/>
      <c r="U404" s="18">
        <f t="shared" si="51"/>
        <v>0</v>
      </c>
      <c r="V404" s="18"/>
      <c r="W404" s="18"/>
      <c r="X404" s="18"/>
      <c r="Y404" s="18"/>
      <c r="Z404" s="18"/>
      <c r="AA404" s="18">
        <f t="shared" si="52"/>
        <v>0</v>
      </c>
      <c r="AB404" s="18">
        <v>4</v>
      </c>
      <c r="AC404" s="18">
        <v>1</v>
      </c>
      <c r="AD404" s="18"/>
      <c r="AE404" s="18"/>
      <c r="AF404" s="18"/>
      <c r="AG404" s="18">
        <f t="shared" si="53"/>
        <v>5</v>
      </c>
      <c r="AH404" s="18">
        <v>1</v>
      </c>
      <c r="AI404" s="18"/>
      <c r="AJ404" s="18"/>
      <c r="AK404" s="18"/>
      <c r="AL404" s="18"/>
      <c r="AM404" s="18">
        <f t="shared" si="54"/>
        <v>1</v>
      </c>
      <c r="AN404" s="18"/>
      <c r="AO404" s="18"/>
      <c r="AP404" s="18">
        <f t="shared" si="48"/>
        <v>0</v>
      </c>
      <c r="AQ404" s="32">
        <f t="shared" si="55"/>
        <v>36</v>
      </c>
    </row>
    <row r="405" spans="1:43" x14ac:dyDescent="0.35">
      <c r="A405" s="126" t="s">
        <v>1031</v>
      </c>
      <c r="B405" s="126" t="s">
        <v>1032</v>
      </c>
      <c r="C405" s="126" t="s">
        <v>1294</v>
      </c>
      <c r="D405" s="128">
        <v>1492</v>
      </c>
      <c r="E405" s="128">
        <v>44</v>
      </c>
      <c r="F405" s="128">
        <v>12</v>
      </c>
      <c r="G405" s="128">
        <v>5</v>
      </c>
      <c r="H405" s="128"/>
      <c r="I405" s="18">
        <f t="shared" si="49"/>
        <v>1553</v>
      </c>
      <c r="J405" s="128">
        <v>44</v>
      </c>
      <c r="K405" s="128">
        <v>1</v>
      </c>
      <c r="L405" s="128">
        <v>1</v>
      </c>
      <c r="M405" s="128"/>
      <c r="N405" s="128"/>
      <c r="O405" s="18">
        <f t="shared" si="50"/>
        <v>46</v>
      </c>
      <c r="P405" s="18">
        <v>45</v>
      </c>
      <c r="Q405" s="18"/>
      <c r="R405" s="18"/>
      <c r="S405" s="18"/>
      <c r="T405" s="18"/>
      <c r="U405" s="18">
        <f t="shared" si="51"/>
        <v>45</v>
      </c>
      <c r="V405" s="18">
        <v>25</v>
      </c>
      <c r="W405" s="18"/>
      <c r="X405" s="18"/>
      <c r="Y405" s="18"/>
      <c r="Z405" s="18"/>
      <c r="AA405" s="18">
        <f t="shared" si="52"/>
        <v>25</v>
      </c>
      <c r="AB405" s="18">
        <v>164</v>
      </c>
      <c r="AC405" s="18"/>
      <c r="AD405" s="18"/>
      <c r="AE405" s="18"/>
      <c r="AF405" s="18"/>
      <c r="AG405" s="18">
        <f t="shared" si="53"/>
        <v>164</v>
      </c>
      <c r="AH405" s="18">
        <v>16</v>
      </c>
      <c r="AI405" s="18">
        <v>4</v>
      </c>
      <c r="AJ405" s="18"/>
      <c r="AK405" s="18"/>
      <c r="AL405" s="18"/>
      <c r="AM405" s="18">
        <f t="shared" si="54"/>
        <v>20</v>
      </c>
      <c r="AN405" s="18"/>
      <c r="AO405" s="18"/>
      <c r="AP405" s="18">
        <f t="shared" si="48"/>
        <v>0</v>
      </c>
      <c r="AQ405" s="32">
        <f t="shared" si="55"/>
        <v>1853</v>
      </c>
    </row>
    <row r="406" spans="1:43" x14ac:dyDescent="0.35">
      <c r="A406" s="126" t="s">
        <v>1033</v>
      </c>
      <c r="B406" s="126" t="s">
        <v>1034</v>
      </c>
      <c r="C406" s="126" t="s">
        <v>1294</v>
      </c>
      <c r="D406" s="128">
        <v>1</v>
      </c>
      <c r="E406" s="128">
        <v>2</v>
      </c>
      <c r="F406" s="128"/>
      <c r="G406" s="128"/>
      <c r="H406" s="128"/>
      <c r="I406" s="18">
        <f t="shared" si="49"/>
        <v>3</v>
      </c>
      <c r="J406" s="128">
        <v>1</v>
      </c>
      <c r="K406" s="128"/>
      <c r="L406" s="128"/>
      <c r="M406" s="128"/>
      <c r="N406" s="128"/>
      <c r="O406" s="18">
        <f t="shared" si="50"/>
        <v>1</v>
      </c>
      <c r="P406" s="18"/>
      <c r="Q406" s="18"/>
      <c r="R406" s="18"/>
      <c r="S406" s="18"/>
      <c r="T406" s="18"/>
      <c r="U406" s="18">
        <f t="shared" si="51"/>
        <v>0</v>
      </c>
      <c r="V406" s="18"/>
      <c r="W406" s="18"/>
      <c r="X406" s="18"/>
      <c r="Y406" s="18"/>
      <c r="Z406" s="18"/>
      <c r="AA406" s="18">
        <f t="shared" si="52"/>
        <v>0</v>
      </c>
      <c r="AB406" s="18"/>
      <c r="AC406" s="18"/>
      <c r="AD406" s="18"/>
      <c r="AE406" s="18"/>
      <c r="AF406" s="18"/>
      <c r="AG406" s="18">
        <f t="shared" si="53"/>
        <v>0</v>
      </c>
      <c r="AH406" s="18"/>
      <c r="AI406" s="18"/>
      <c r="AJ406" s="18"/>
      <c r="AK406" s="18"/>
      <c r="AL406" s="18"/>
      <c r="AM406" s="18">
        <f t="shared" si="54"/>
        <v>0</v>
      </c>
      <c r="AN406" s="18"/>
      <c r="AO406" s="18"/>
      <c r="AP406" s="18">
        <f t="shared" si="48"/>
        <v>0</v>
      </c>
      <c r="AQ406" s="32">
        <f t="shared" si="55"/>
        <v>4</v>
      </c>
    </row>
    <row r="407" spans="1:43" x14ac:dyDescent="0.35">
      <c r="A407" s="126" t="s">
        <v>1035</v>
      </c>
      <c r="B407" s="126" t="s">
        <v>1268</v>
      </c>
      <c r="C407" s="126" t="s">
        <v>1294</v>
      </c>
      <c r="D407" s="128">
        <v>11</v>
      </c>
      <c r="E407" s="128"/>
      <c r="F407" s="128"/>
      <c r="G407" s="128"/>
      <c r="H407" s="128"/>
      <c r="I407" s="18">
        <f t="shared" si="49"/>
        <v>11</v>
      </c>
      <c r="J407" s="128"/>
      <c r="K407" s="128"/>
      <c r="L407" s="128"/>
      <c r="M407" s="128"/>
      <c r="N407" s="128"/>
      <c r="O407" s="18">
        <f t="shared" si="50"/>
        <v>0</v>
      </c>
      <c r="P407" s="18"/>
      <c r="Q407" s="18"/>
      <c r="R407" s="18"/>
      <c r="S407" s="18"/>
      <c r="T407" s="18"/>
      <c r="U407" s="18">
        <f t="shared" si="51"/>
        <v>0</v>
      </c>
      <c r="V407" s="18"/>
      <c r="W407" s="18"/>
      <c r="X407" s="18"/>
      <c r="Y407" s="18"/>
      <c r="Z407" s="18"/>
      <c r="AA407" s="18">
        <f t="shared" si="52"/>
        <v>0</v>
      </c>
      <c r="AB407" s="18">
        <v>1</v>
      </c>
      <c r="AC407" s="18"/>
      <c r="AD407" s="18"/>
      <c r="AE407" s="18"/>
      <c r="AF407" s="18"/>
      <c r="AG407" s="18">
        <f t="shared" si="53"/>
        <v>1</v>
      </c>
      <c r="AH407" s="18"/>
      <c r="AI407" s="18"/>
      <c r="AJ407" s="18"/>
      <c r="AK407" s="18"/>
      <c r="AL407" s="18"/>
      <c r="AM407" s="18">
        <f t="shared" si="54"/>
        <v>0</v>
      </c>
      <c r="AN407" s="18"/>
      <c r="AO407" s="18"/>
      <c r="AP407" s="18">
        <f t="shared" si="48"/>
        <v>0</v>
      </c>
      <c r="AQ407" s="32">
        <f t="shared" si="55"/>
        <v>12</v>
      </c>
    </row>
    <row r="408" spans="1:43" x14ac:dyDescent="0.35">
      <c r="A408" s="126" t="s">
        <v>1036</v>
      </c>
      <c r="B408" s="126" t="s">
        <v>1037</v>
      </c>
      <c r="C408" s="126" t="s">
        <v>1294</v>
      </c>
      <c r="D408" s="128">
        <v>5</v>
      </c>
      <c r="E408" s="128"/>
      <c r="F408" s="128"/>
      <c r="G408" s="128"/>
      <c r="H408" s="128"/>
      <c r="I408" s="18">
        <f t="shared" si="49"/>
        <v>5</v>
      </c>
      <c r="J408" s="128"/>
      <c r="K408" s="128"/>
      <c r="L408" s="128"/>
      <c r="M408" s="128"/>
      <c r="N408" s="128"/>
      <c r="O408" s="18">
        <f t="shared" si="50"/>
        <v>0</v>
      </c>
      <c r="P408" s="18"/>
      <c r="Q408" s="18"/>
      <c r="R408" s="18"/>
      <c r="S408" s="18"/>
      <c r="T408" s="18"/>
      <c r="U408" s="18">
        <f t="shared" si="51"/>
        <v>0</v>
      </c>
      <c r="V408" s="18"/>
      <c r="W408" s="18"/>
      <c r="X408" s="18"/>
      <c r="Y408" s="18"/>
      <c r="Z408" s="18"/>
      <c r="AA408" s="18">
        <f t="shared" si="52"/>
        <v>0</v>
      </c>
      <c r="AB408" s="18"/>
      <c r="AC408" s="18"/>
      <c r="AD408" s="18"/>
      <c r="AE408" s="18"/>
      <c r="AF408" s="18"/>
      <c r="AG408" s="18">
        <f t="shared" si="53"/>
        <v>0</v>
      </c>
      <c r="AH408" s="18"/>
      <c r="AI408" s="18"/>
      <c r="AJ408" s="18"/>
      <c r="AK408" s="18"/>
      <c r="AL408" s="18"/>
      <c r="AM408" s="18">
        <f t="shared" si="54"/>
        <v>0</v>
      </c>
      <c r="AN408" s="18"/>
      <c r="AO408" s="18"/>
      <c r="AP408" s="18">
        <f t="shared" si="48"/>
        <v>0</v>
      </c>
      <c r="AQ408" s="32">
        <f t="shared" si="55"/>
        <v>5</v>
      </c>
    </row>
    <row r="409" spans="1:43" x14ac:dyDescent="0.35">
      <c r="A409" s="126" t="s">
        <v>1040</v>
      </c>
      <c r="B409" s="126" t="s">
        <v>1041</v>
      </c>
      <c r="C409" s="126" t="s">
        <v>1294</v>
      </c>
      <c r="D409" s="128">
        <v>6</v>
      </c>
      <c r="E409" s="128">
        <v>1</v>
      </c>
      <c r="F409" s="128"/>
      <c r="G409" s="128">
        <v>1</v>
      </c>
      <c r="H409" s="128"/>
      <c r="I409" s="18">
        <f t="shared" si="49"/>
        <v>8</v>
      </c>
      <c r="J409" s="128"/>
      <c r="K409" s="128"/>
      <c r="L409" s="128"/>
      <c r="M409" s="128"/>
      <c r="N409" s="128"/>
      <c r="O409" s="18">
        <f t="shared" si="50"/>
        <v>0</v>
      </c>
      <c r="P409" s="18"/>
      <c r="Q409" s="18"/>
      <c r="R409" s="18"/>
      <c r="S409" s="18"/>
      <c r="T409" s="18"/>
      <c r="U409" s="18">
        <f t="shared" si="51"/>
        <v>0</v>
      </c>
      <c r="V409" s="18"/>
      <c r="W409" s="18"/>
      <c r="X409" s="18"/>
      <c r="Y409" s="18"/>
      <c r="Z409" s="18"/>
      <c r="AA409" s="18">
        <f t="shared" si="52"/>
        <v>0</v>
      </c>
      <c r="AB409" s="18">
        <v>1</v>
      </c>
      <c r="AC409" s="18"/>
      <c r="AD409" s="18"/>
      <c r="AE409" s="18"/>
      <c r="AF409" s="18"/>
      <c r="AG409" s="18">
        <f t="shared" si="53"/>
        <v>1</v>
      </c>
      <c r="AH409" s="18"/>
      <c r="AI409" s="18"/>
      <c r="AJ409" s="18"/>
      <c r="AK409" s="18"/>
      <c r="AL409" s="18"/>
      <c r="AM409" s="18">
        <f t="shared" si="54"/>
        <v>0</v>
      </c>
      <c r="AN409" s="18"/>
      <c r="AO409" s="18"/>
      <c r="AP409" s="18">
        <f t="shared" si="48"/>
        <v>0</v>
      </c>
      <c r="AQ409" s="32">
        <f t="shared" si="55"/>
        <v>9</v>
      </c>
    </row>
    <row r="410" spans="1:43" x14ac:dyDescent="0.35">
      <c r="A410" s="126" t="s">
        <v>1042</v>
      </c>
      <c r="B410" s="126" t="s">
        <v>1043</v>
      </c>
      <c r="C410" s="126" t="s">
        <v>1294</v>
      </c>
      <c r="D410" s="128">
        <v>29</v>
      </c>
      <c r="E410" s="128"/>
      <c r="F410" s="128"/>
      <c r="G410" s="128"/>
      <c r="H410" s="128"/>
      <c r="I410" s="18">
        <f t="shared" si="49"/>
        <v>29</v>
      </c>
      <c r="J410" s="128">
        <v>2</v>
      </c>
      <c r="K410" s="128"/>
      <c r="L410" s="128"/>
      <c r="M410" s="128"/>
      <c r="N410" s="128"/>
      <c r="O410" s="18">
        <f t="shared" si="50"/>
        <v>2</v>
      </c>
      <c r="P410" s="18">
        <v>2</v>
      </c>
      <c r="Q410" s="18"/>
      <c r="R410" s="18"/>
      <c r="S410" s="18"/>
      <c r="T410" s="18"/>
      <c r="U410" s="18">
        <f t="shared" si="51"/>
        <v>2</v>
      </c>
      <c r="V410" s="18">
        <v>6</v>
      </c>
      <c r="W410" s="18"/>
      <c r="X410" s="18"/>
      <c r="Y410" s="18"/>
      <c r="Z410" s="18"/>
      <c r="AA410" s="18">
        <f t="shared" si="52"/>
        <v>6</v>
      </c>
      <c r="AB410" s="18">
        <v>15</v>
      </c>
      <c r="AC410" s="18">
        <v>1</v>
      </c>
      <c r="AD410" s="18"/>
      <c r="AE410" s="18"/>
      <c r="AF410" s="18"/>
      <c r="AG410" s="18">
        <f t="shared" si="53"/>
        <v>16</v>
      </c>
      <c r="AH410" s="18">
        <v>2</v>
      </c>
      <c r="AI410" s="18"/>
      <c r="AJ410" s="18"/>
      <c r="AK410" s="18"/>
      <c r="AL410" s="18"/>
      <c r="AM410" s="18">
        <f t="shared" si="54"/>
        <v>2</v>
      </c>
      <c r="AN410" s="18"/>
      <c r="AO410" s="18"/>
      <c r="AP410" s="18">
        <f t="shared" si="48"/>
        <v>0</v>
      </c>
      <c r="AQ410" s="32">
        <f t="shared" si="55"/>
        <v>57</v>
      </c>
    </row>
    <row r="411" spans="1:43" x14ac:dyDescent="0.35">
      <c r="A411" s="126" t="s">
        <v>1044</v>
      </c>
      <c r="B411" s="126" t="s">
        <v>1045</v>
      </c>
      <c r="C411" s="126" t="s">
        <v>1294</v>
      </c>
      <c r="D411" s="128">
        <v>84</v>
      </c>
      <c r="E411" s="128">
        <v>6</v>
      </c>
      <c r="F411" s="128">
        <v>1</v>
      </c>
      <c r="G411" s="128">
        <v>1</v>
      </c>
      <c r="H411" s="128"/>
      <c r="I411" s="18">
        <f t="shared" si="49"/>
        <v>92</v>
      </c>
      <c r="J411" s="128"/>
      <c r="K411" s="128"/>
      <c r="L411" s="128"/>
      <c r="M411" s="128"/>
      <c r="N411" s="128"/>
      <c r="O411" s="18">
        <f t="shared" si="50"/>
        <v>0</v>
      </c>
      <c r="P411" s="18">
        <v>1</v>
      </c>
      <c r="Q411" s="18"/>
      <c r="R411" s="18"/>
      <c r="S411" s="18"/>
      <c r="T411" s="18"/>
      <c r="U411" s="18">
        <f t="shared" si="51"/>
        <v>1</v>
      </c>
      <c r="V411" s="18">
        <v>3</v>
      </c>
      <c r="W411" s="18"/>
      <c r="X411" s="18"/>
      <c r="Y411" s="18"/>
      <c r="Z411" s="18"/>
      <c r="AA411" s="18">
        <f t="shared" si="52"/>
        <v>3</v>
      </c>
      <c r="AB411" s="18">
        <v>17</v>
      </c>
      <c r="AC411" s="18"/>
      <c r="AD411" s="18"/>
      <c r="AE411" s="18"/>
      <c r="AF411" s="18"/>
      <c r="AG411" s="18">
        <f t="shared" si="53"/>
        <v>17</v>
      </c>
      <c r="AH411" s="18"/>
      <c r="AI411" s="18"/>
      <c r="AJ411" s="18"/>
      <c r="AK411" s="18"/>
      <c r="AL411" s="18"/>
      <c r="AM411" s="18">
        <f t="shared" si="54"/>
        <v>0</v>
      </c>
      <c r="AN411" s="18"/>
      <c r="AO411" s="18"/>
      <c r="AP411" s="18">
        <f t="shared" si="48"/>
        <v>0</v>
      </c>
      <c r="AQ411" s="32">
        <f t="shared" si="55"/>
        <v>113</v>
      </c>
    </row>
    <row r="412" spans="1:43" x14ac:dyDescent="0.35">
      <c r="A412" s="126" t="s">
        <v>1046</v>
      </c>
      <c r="B412" s="126" t="s">
        <v>1047</v>
      </c>
      <c r="C412" s="126" t="s">
        <v>1294</v>
      </c>
      <c r="D412" s="128">
        <v>5</v>
      </c>
      <c r="E412" s="128">
        <v>1</v>
      </c>
      <c r="F412" s="128"/>
      <c r="G412" s="128"/>
      <c r="H412" s="128"/>
      <c r="I412" s="18">
        <f t="shared" si="49"/>
        <v>6</v>
      </c>
      <c r="J412" s="128">
        <v>1</v>
      </c>
      <c r="K412" s="128"/>
      <c r="L412" s="128"/>
      <c r="M412" s="128"/>
      <c r="N412" s="128"/>
      <c r="O412" s="18">
        <f t="shared" si="50"/>
        <v>1</v>
      </c>
      <c r="P412" s="18">
        <v>1</v>
      </c>
      <c r="Q412" s="18"/>
      <c r="R412" s="18"/>
      <c r="S412" s="18"/>
      <c r="T412" s="18"/>
      <c r="U412" s="18">
        <f t="shared" si="51"/>
        <v>1</v>
      </c>
      <c r="V412" s="18">
        <v>2</v>
      </c>
      <c r="W412" s="18"/>
      <c r="X412" s="18"/>
      <c r="Y412" s="18"/>
      <c r="Z412" s="18"/>
      <c r="AA412" s="18">
        <f t="shared" si="52"/>
        <v>2</v>
      </c>
      <c r="AB412" s="18">
        <v>3</v>
      </c>
      <c r="AC412" s="18"/>
      <c r="AD412" s="18"/>
      <c r="AE412" s="18"/>
      <c r="AF412" s="18"/>
      <c r="AG412" s="18">
        <f t="shared" si="53"/>
        <v>3</v>
      </c>
      <c r="AH412" s="18">
        <v>1</v>
      </c>
      <c r="AI412" s="18"/>
      <c r="AJ412" s="18"/>
      <c r="AK412" s="18"/>
      <c r="AL412" s="18"/>
      <c r="AM412" s="18">
        <f t="shared" si="54"/>
        <v>1</v>
      </c>
      <c r="AN412" s="18"/>
      <c r="AO412" s="18"/>
      <c r="AP412" s="18">
        <f t="shared" si="48"/>
        <v>0</v>
      </c>
      <c r="AQ412" s="32">
        <f t="shared" si="55"/>
        <v>14</v>
      </c>
    </row>
    <row r="413" spans="1:43" x14ac:dyDescent="0.35">
      <c r="A413" s="126" t="s">
        <v>1048</v>
      </c>
      <c r="B413" s="126" t="s">
        <v>1269</v>
      </c>
      <c r="C413" s="126" t="s">
        <v>1294</v>
      </c>
      <c r="D413" s="128">
        <v>6</v>
      </c>
      <c r="E413" s="128"/>
      <c r="F413" s="128"/>
      <c r="G413" s="128"/>
      <c r="H413" s="128"/>
      <c r="I413" s="18">
        <f t="shared" si="49"/>
        <v>6</v>
      </c>
      <c r="J413" s="128">
        <v>2</v>
      </c>
      <c r="K413" s="128"/>
      <c r="L413" s="128"/>
      <c r="M413" s="128"/>
      <c r="N413" s="128"/>
      <c r="O413" s="18">
        <f t="shared" si="50"/>
        <v>2</v>
      </c>
      <c r="P413" s="18"/>
      <c r="Q413" s="18"/>
      <c r="R413" s="18"/>
      <c r="S413" s="18"/>
      <c r="T413" s="18"/>
      <c r="U413" s="18">
        <f t="shared" si="51"/>
        <v>0</v>
      </c>
      <c r="V413" s="18"/>
      <c r="W413" s="18"/>
      <c r="X413" s="18"/>
      <c r="Y413" s="18"/>
      <c r="Z413" s="18"/>
      <c r="AA413" s="18">
        <f t="shared" si="52"/>
        <v>0</v>
      </c>
      <c r="AB413" s="18">
        <v>2</v>
      </c>
      <c r="AC413" s="18"/>
      <c r="AD413" s="18"/>
      <c r="AE413" s="18"/>
      <c r="AF413" s="18"/>
      <c r="AG413" s="18">
        <f t="shared" si="53"/>
        <v>2</v>
      </c>
      <c r="AH413" s="18"/>
      <c r="AI413" s="18"/>
      <c r="AJ413" s="18"/>
      <c r="AK413" s="18"/>
      <c r="AL413" s="18"/>
      <c r="AM413" s="18">
        <f t="shared" si="54"/>
        <v>0</v>
      </c>
      <c r="AN413" s="18"/>
      <c r="AO413" s="18"/>
      <c r="AP413" s="18">
        <f t="shared" si="48"/>
        <v>0</v>
      </c>
      <c r="AQ413" s="32">
        <f t="shared" si="55"/>
        <v>10</v>
      </c>
    </row>
    <row r="414" spans="1:43" x14ac:dyDescent="0.35">
      <c r="A414" s="126" t="s">
        <v>1049</v>
      </c>
      <c r="B414" s="126" t="s">
        <v>1050</v>
      </c>
      <c r="C414" s="126" t="s">
        <v>1294</v>
      </c>
      <c r="D414" s="128">
        <v>4</v>
      </c>
      <c r="E414" s="128"/>
      <c r="F414" s="128"/>
      <c r="G414" s="128"/>
      <c r="H414" s="128"/>
      <c r="I414" s="18">
        <f t="shared" si="49"/>
        <v>4</v>
      </c>
      <c r="J414" s="128"/>
      <c r="K414" s="128"/>
      <c r="L414" s="128"/>
      <c r="M414" s="128"/>
      <c r="N414" s="128"/>
      <c r="O414" s="18">
        <f t="shared" si="50"/>
        <v>0</v>
      </c>
      <c r="P414" s="18"/>
      <c r="Q414" s="18"/>
      <c r="R414" s="18"/>
      <c r="S414" s="18"/>
      <c r="T414" s="18"/>
      <c r="U414" s="18">
        <f t="shared" si="51"/>
        <v>0</v>
      </c>
      <c r="V414" s="18"/>
      <c r="W414" s="18"/>
      <c r="X414" s="18"/>
      <c r="Y414" s="18"/>
      <c r="Z414" s="18"/>
      <c r="AA414" s="18">
        <f t="shared" si="52"/>
        <v>0</v>
      </c>
      <c r="AB414" s="18"/>
      <c r="AC414" s="18"/>
      <c r="AD414" s="18"/>
      <c r="AE414" s="18"/>
      <c r="AF414" s="18"/>
      <c r="AG414" s="18">
        <f t="shared" si="53"/>
        <v>0</v>
      </c>
      <c r="AH414" s="18"/>
      <c r="AI414" s="18"/>
      <c r="AJ414" s="18"/>
      <c r="AK414" s="18"/>
      <c r="AL414" s="18"/>
      <c r="AM414" s="18">
        <f t="shared" si="54"/>
        <v>0</v>
      </c>
      <c r="AN414" s="18"/>
      <c r="AO414" s="18"/>
      <c r="AP414" s="18">
        <f t="shared" si="48"/>
        <v>0</v>
      </c>
      <c r="AQ414" s="32">
        <f t="shared" si="55"/>
        <v>4</v>
      </c>
    </row>
    <row r="415" spans="1:43" x14ac:dyDescent="0.35">
      <c r="A415" s="126" t="s">
        <v>1051</v>
      </c>
      <c r="B415" s="126" t="s">
        <v>1270</v>
      </c>
      <c r="C415" s="126" t="s">
        <v>1294</v>
      </c>
      <c r="D415" s="128">
        <v>20</v>
      </c>
      <c r="E415" s="128">
        <v>2</v>
      </c>
      <c r="F415" s="128"/>
      <c r="G415" s="128"/>
      <c r="H415" s="128"/>
      <c r="I415" s="18">
        <f t="shared" si="49"/>
        <v>22</v>
      </c>
      <c r="J415" s="128">
        <v>2</v>
      </c>
      <c r="K415" s="128"/>
      <c r="L415" s="128"/>
      <c r="M415" s="128"/>
      <c r="N415" s="128"/>
      <c r="O415" s="18">
        <f t="shared" si="50"/>
        <v>2</v>
      </c>
      <c r="P415" s="18">
        <v>1</v>
      </c>
      <c r="Q415" s="18"/>
      <c r="R415" s="18"/>
      <c r="S415" s="18"/>
      <c r="T415" s="18"/>
      <c r="U415" s="18">
        <f t="shared" si="51"/>
        <v>1</v>
      </c>
      <c r="V415" s="18"/>
      <c r="W415" s="18"/>
      <c r="X415" s="18"/>
      <c r="Y415" s="18"/>
      <c r="Z415" s="18"/>
      <c r="AA415" s="18">
        <f t="shared" si="52"/>
        <v>0</v>
      </c>
      <c r="AB415" s="18">
        <v>5</v>
      </c>
      <c r="AC415" s="18"/>
      <c r="AD415" s="18">
        <v>1</v>
      </c>
      <c r="AE415" s="18"/>
      <c r="AF415" s="18"/>
      <c r="AG415" s="18">
        <f t="shared" si="53"/>
        <v>6</v>
      </c>
      <c r="AH415" s="18"/>
      <c r="AI415" s="18"/>
      <c r="AJ415" s="18"/>
      <c r="AK415" s="18"/>
      <c r="AL415" s="18"/>
      <c r="AM415" s="18">
        <f t="shared" si="54"/>
        <v>0</v>
      </c>
      <c r="AN415" s="18"/>
      <c r="AO415" s="18"/>
      <c r="AP415" s="18">
        <f t="shared" si="48"/>
        <v>0</v>
      </c>
      <c r="AQ415" s="32">
        <f t="shared" si="55"/>
        <v>31</v>
      </c>
    </row>
    <row r="416" spans="1:43" x14ac:dyDescent="0.35">
      <c r="A416" s="126" t="s">
        <v>1052</v>
      </c>
      <c r="B416" s="126" t="s">
        <v>1271</v>
      </c>
      <c r="C416" s="126" t="s">
        <v>1294</v>
      </c>
      <c r="D416" s="128">
        <v>37</v>
      </c>
      <c r="E416" s="128">
        <v>6</v>
      </c>
      <c r="F416" s="128">
        <v>2</v>
      </c>
      <c r="G416" s="128"/>
      <c r="H416" s="128"/>
      <c r="I416" s="18">
        <f t="shared" si="49"/>
        <v>45</v>
      </c>
      <c r="J416" s="128">
        <v>1</v>
      </c>
      <c r="K416" s="128"/>
      <c r="L416" s="128"/>
      <c r="M416" s="128"/>
      <c r="N416" s="128"/>
      <c r="O416" s="18">
        <f t="shared" si="50"/>
        <v>1</v>
      </c>
      <c r="P416" s="18">
        <v>1</v>
      </c>
      <c r="Q416" s="18"/>
      <c r="R416" s="18"/>
      <c r="S416" s="18"/>
      <c r="T416" s="18"/>
      <c r="U416" s="18">
        <f t="shared" si="51"/>
        <v>1</v>
      </c>
      <c r="V416" s="18">
        <v>1</v>
      </c>
      <c r="W416" s="18"/>
      <c r="X416" s="18"/>
      <c r="Y416" s="18"/>
      <c r="Z416" s="18"/>
      <c r="AA416" s="18">
        <f t="shared" si="52"/>
        <v>1</v>
      </c>
      <c r="AB416" s="18">
        <v>7</v>
      </c>
      <c r="AC416" s="18">
        <v>1</v>
      </c>
      <c r="AD416" s="18"/>
      <c r="AE416" s="18"/>
      <c r="AF416" s="18"/>
      <c r="AG416" s="18">
        <f t="shared" si="53"/>
        <v>8</v>
      </c>
      <c r="AH416" s="18"/>
      <c r="AI416" s="18"/>
      <c r="AJ416" s="18"/>
      <c r="AK416" s="18"/>
      <c r="AL416" s="18"/>
      <c r="AM416" s="18">
        <f t="shared" si="54"/>
        <v>0</v>
      </c>
      <c r="AN416" s="18"/>
      <c r="AO416" s="18"/>
      <c r="AP416" s="18">
        <f t="shared" si="48"/>
        <v>0</v>
      </c>
      <c r="AQ416" s="32">
        <f t="shared" si="55"/>
        <v>56</v>
      </c>
    </row>
    <row r="417" spans="1:43" x14ac:dyDescent="0.35">
      <c r="A417" s="126" t="s">
        <v>1053</v>
      </c>
      <c r="B417" s="126" t="s">
        <v>1054</v>
      </c>
      <c r="C417" s="126" t="s">
        <v>1294</v>
      </c>
      <c r="D417" s="128">
        <v>7</v>
      </c>
      <c r="E417" s="128">
        <v>2</v>
      </c>
      <c r="F417" s="128"/>
      <c r="G417" s="128"/>
      <c r="H417" s="128"/>
      <c r="I417" s="18">
        <f t="shared" si="49"/>
        <v>9</v>
      </c>
      <c r="J417" s="128"/>
      <c r="K417" s="128"/>
      <c r="L417" s="128"/>
      <c r="M417" s="128"/>
      <c r="N417" s="128"/>
      <c r="O417" s="18">
        <f t="shared" si="50"/>
        <v>0</v>
      </c>
      <c r="P417" s="18"/>
      <c r="Q417" s="18"/>
      <c r="R417" s="18"/>
      <c r="S417" s="18"/>
      <c r="T417" s="18"/>
      <c r="U417" s="18">
        <f t="shared" si="51"/>
        <v>0</v>
      </c>
      <c r="V417" s="18"/>
      <c r="W417" s="18"/>
      <c r="X417" s="18"/>
      <c r="Y417" s="18"/>
      <c r="Z417" s="18"/>
      <c r="AA417" s="18">
        <f t="shared" si="52"/>
        <v>0</v>
      </c>
      <c r="AB417" s="18">
        <v>3</v>
      </c>
      <c r="AC417" s="18"/>
      <c r="AD417" s="18"/>
      <c r="AE417" s="18"/>
      <c r="AF417" s="18"/>
      <c r="AG417" s="18">
        <f t="shared" si="53"/>
        <v>3</v>
      </c>
      <c r="AH417" s="18"/>
      <c r="AI417" s="18"/>
      <c r="AJ417" s="18"/>
      <c r="AK417" s="18"/>
      <c r="AL417" s="18"/>
      <c r="AM417" s="18">
        <f t="shared" si="54"/>
        <v>0</v>
      </c>
      <c r="AN417" s="18"/>
      <c r="AO417" s="18"/>
      <c r="AP417" s="18">
        <f t="shared" si="48"/>
        <v>0</v>
      </c>
      <c r="AQ417" s="32">
        <f t="shared" si="55"/>
        <v>12</v>
      </c>
    </row>
    <row r="418" spans="1:43" x14ac:dyDescent="0.35">
      <c r="A418" s="126" t="s">
        <v>1326</v>
      </c>
      <c r="B418" s="126" t="s">
        <v>1327</v>
      </c>
      <c r="C418" s="126" t="s">
        <v>1294</v>
      </c>
      <c r="D418" s="128">
        <v>2</v>
      </c>
      <c r="E418" s="128"/>
      <c r="F418" s="128"/>
      <c r="G418" s="128"/>
      <c r="H418" s="128"/>
      <c r="I418" s="18">
        <f t="shared" si="49"/>
        <v>2</v>
      </c>
      <c r="J418" s="128"/>
      <c r="K418" s="128"/>
      <c r="L418" s="128"/>
      <c r="M418" s="128"/>
      <c r="N418" s="128"/>
      <c r="O418" s="18">
        <f t="shared" si="50"/>
        <v>0</v>
      </c>
      <c r="P418" s="18"/>
      <c r="Q418" s="18"/>
      <c r="R418" s="18"/>
      <c r="S418" s="18"/>
      <c r="T418" s="18"/>
      <c r="U418" s="18">
        <f t="shared" si="51"/>
        <v>0</v>
      </c>
      <c r="V418" s="18"/>
      <c r="W418" s="18"/>
      <c r="X418" s="18"/>
      <c r="Y418" s="18"/>
      <c r="Z418" s="18"/>
      <c r="AA418" s="18">
        <f t="shared" si="52"/>
        <v>0</v>
      </c>
      <c r="AB418" s="18"/>
      <c r="AC418" s="18"/>
      <c r="AD418" s="18"/>
      <c r="AE418" s="18"/>
      <c r="AF418" s="18"/>
      <c r="AG418" s="18">
        <f t="shared" si="53"/>
        <v>0</v>
      </c>
      <c r="AH418" s="18"/>
      <c r="AI418" s="18"/>
      <c r="AJ418" s="18"/>
      <c r="AK418" s="18"/>
      <c r="AL418" s="18"/>
      <c r="AM418" s="18">
        <f t="shared" si="54"/>
        <v>0</v>
      </c>
      <c r="AN418" s="18"/>
      <c r="AO418" s="18"/>
      <c r="AP418" s="18">
        <f t="shared" si="48"/>
        <v>0</v>
      </c>
      <c r="AQ418" s="32">
        <f t="shared" si="55"/>
        <v>2</v>
      </c>
    </row>
    <row r="419" spans="1:43" x14ac:dyDescent="0.35">
      <c r="A419" s="126" t="s">
        <v>1055</v>
      </c>
      <c r="B419" s="126" t="s">
        <v>1056</v>
      </c>
      <c r="C419" s="126" t="s">
        <v>1294</v>
      </c>
      <c r="D419" s="128">
        <v>3</v>
      </c>
      <c r="E419" s="128"/>
      <c r="F419" s="128"/>
      <c r="G419" s="128"/>
      <c r="H419" s="128"/>
      <c r="I419" s="18">
        <f t="shared" si="49"/>
        <v>3</v>
      </c>
      <c r="J419" s="128"/>
      <c r="K419" s="128"/>
      <c r="L419" s="128"/>
      <c r="M419" s="128"/>
      <c r="N419" s="128"/>
      <c r="O419" s="18">
        <f t="shared" si="50"/>
        <v>0</v>
      </c>
      <c r="P419" s="18"/>
      <c r="Q419" s="18"/>
      <c r="R419" s="18"/>
      <c r="S419" s="18"/>
      <c r="T419" s="18"/>
      <c r="U419" s="18">
        <f t="shared" si="51"/>
        <v>0</v>
      </c>
      <c r="V419" s="18"/>
      <c r="W419" s="18"/>
      <c r="X419" s="18"/>
      <c r="Y419" s="18"/>
      <c r="Z419" s="18"/>
      <c r="AA419" s="18">
        <f t="shared" si="52"/>
        <v>0</v>
      </c>
      <c r="AB419" s="18">
        <v>1</v>
      </c>
      <c r="AC419" s="18"/>
      <c r="AD419" s="18"/>
      <c r="AE419" s="18"/>
      <c r="AF419" s="18"/>
      <c r="AG419" s="18">
        <f t="shared" si="53"/>
        <v>1</v>
      </c>
      <c r="AH419" s="18"/>
      <c r="AI419" s="18"/>
      <c r="AJ419" s="18"/>
      <c r="AK419" s="18"/>
      <c r="AL419" s="18"/>
      <c r="AM419" s="18">
        <f t="shared" si="54"/>
        <v>0</v>
      </c>
      <c r="AN419" s="18"/>
      <c r="AO419" s="18"/>
      <c r="AP419" s="18">
        <f t="shared" si="48"/>
        <v>0</v>
      </c>
      <c r="AQ419" s="32">
        <f t="shared" si="55"/>
        <v>4</v>
      </c>
    </row>
    <row r="420" spans="1:43" x14ac:dyDescent="0.35">
      <c r="A420" s="126" t="s">
        <v>1057</v>
      </c>
      <c r="B420" s="126" t="s">
        <v>1058</v>
      </c>
      <c r="C420" s="126" t="s">
        <v>1294</v>
      </c>
      <c r="D420" s="128">
        <v>3</v>
      </c>
      <c r="E420" s="128"/>
      <c r="F420" s="128"/>
      <c r="G420" s="128"/>
      <c r="H420" s="128"/>
      <c r="I420" s="18">
        <f t="shared" si="49"/>
        <v>3</v>
      </c>
      <c r="J420" s="128"/>
      <c r="K420" s="128"/>
      <c r="L420" s="128"/>
      <c r="M420" s="128"/>
      <c r="N420" s="128"/>
      <c r="O420" s="18">
        <f t="shared" si="50"/>
        <v>0</v>
      </c>
      <c r="P420" s="18"/>
      <c r="Q420" s="18"/>
      <c r="R420" s="18"/>
      <c r="S420" s="18"/>
      <c r="T420" s="18"/>
      <c r="U420" s="18">
        <f t="shared" si="51"/>
        <v>0</v>
      </c>
      <c r="V420" s="18"/>
      <c r="W420" s="18"/>
      <c r="X420" s="18"/>
      <c r="Y420" s="18"/>
      <c r="Z420" s="18"/>
      <c r="AA420" s="18">
        <f t="shared" si="52"/>
        <v>0</v>
      </c>
      <c r="AB420" s="18">
        <v>1</v>
      </c>
      <c r="AC420" s="18"/>
      <c r="AD420" s="18"/>
      <c r="AE420" s="18"/>
      <c r="AF420" s="18"/>
      <c r="AG420" s="18">
        <f t="shared" si="53"/>
        <v>1</v>
      </c>
      <c r="AH420" s="18"/>
      <c r="AI420" s="18"/>
      <c r="AJ420" s="18"/>
      <c r="AK420" s="18"/>
      <c r="AL420" s="18"/>
      <c r="AM420" s="18">
        <f t="shared" si="54"/>
        <v>0</v>
      </c>
      <c r="AN420" s="18"/>
      <c r="AO420" s="18"/>
      <c r="AP420" s="18">
        <f t="shared" si="48"/>
        <v>0</v>
      </c>
      <c r="AQ420" s="32">
        <f t="shared" si="55"/>
        <v>4</v>
      </c>
    </row>
    <row r="421" spans="1:43" x14ac:dyDescent="0.35">
      <c r="A421" s="126" t="s">
        <v>1059</v>
      </c>
      <c r="B421" s="126" t="s">
        <v>1272</v>
      </c>
      <c r="C421" s="126" t="s">
        <v>1294</v>
      </c>
      <c r="D421" s="128">
        <v>169</v>
      </c>
      <c r="E421" s="128">
        <v>13</v>
      </c>
      <c r="F421" s="128">
        <v>4</v>
      </c>
      <c r="G421" s="128">
        <v>2</v>
      </c>
      <c r="H421" s="128"/>
      <c r="I421" s="18">
        <f t="shared" si="49"/>
        <v>188</v>
      </c>
      <c r="J421" s="128">
        <v>2</v>
      </c>
      <c r="K421" s="128"/>
      <c r="L421" s="128"/>
      <c r="M421" s="128"/>
      <c r="N421" s="128"/>
      <c r="O421" s="18">
        <f t="shared" si="50"/>
        <v>2</v>
      </c>
      <c r="P421" s="18">
        <v>1</v>
      </c>
      <c r="Q421" s="18"/>
      <c r="R421" s="18"/>
      <c r="S421" s="18"/>
      <c r="T421" s="18"/>
      <c r="U421" s="18">
        <f t="shared" si="51"/>
        <v>1</v>
      </c>
      <c r="V421" s="18">
        <v>1</v>
      </c>
      <c r="W421" s="18"/>
      <c r="X421" s="18"/>
      <c r="Y421" s="18"/>
      <c r="Z421" s="18"/>
      <c r="AA421" s="18">
        <f t="shared" si="52"/>
        <v>1</v>
      </c>
      <c r="AB421" s="18">
        <v>22</v>
      </c>
      <c r="AC421" s="18">
        <v>1</v>
      </c>
      <c r="AD421" s="18"/>
      <c r="AE421" s="18"/>
      <c r="AF421" s="18"/>
      <c r="AG421" s="18">
        <f t="shared" si="53"/>
        <v>23</v>
      </c>
      <c r="AH421" s="18">
        <v>1</v>
      </c>
      <c r="AI421" s="18"/>
      <c r="AJ421" s="18"/>
      <c r="AK421" s="18"/>
      <c r="AL421" s="18"/>
      <c r="AM421" s="18">
        <f t="shared" si="54"/>
        <v>1</v>
      </c>
      <c r="AN421" s="18"/>
      <c r="AO421" s="18"/>
      <c r="AP421" s="18">
        <f t="shared" si="48"/>
        <v>0</v>
      </c>
      <c r="AQ421" s="32">
        <f t="shared" si="55"/>
        <v>216</v>
      </c>
    </row>
    <row r="422" spans="1:43" x14ac:dyDescent="0.35">
      <c r="A422" s="126" t="s">
        <v>1060</v>
      </c>
      <c r="B422" s="126" t="s">
        <v>1061</v>
      </c>
      <c r="C422" s="126" t="s">
        <v>1294</v>
      </c>
      <c r="D422" s="128">
        <v>135</v>
      </c>
      <c r="E422" s="128"/>
      <c r="F422" s="128">
        <v>1</v>
      </c>
      <c r="G422" s="128"/>
      <c r="H422" s="128"/>
      <c r="I422" s="18">
        <f t="shared" si="49"/>
        <v>136</v>
      </c>
      <c r="J422" s="128">
        <v>4</v>
      </c>
      <c r="K422" s="128"/>
      <c r="L422" s="128"/>
      <c r="M422" s="128"/>
      <c r="N422" s="128"/>
      <c r="O422" s="18">
        <f t="shared" si="50"/>
        <v>4</v>
      </c>
      <c r="P422" s="18">
        <v>6</v>
      </c>
      <c r="Q422" s="18"/>
      <c r="R422" s="18"/>
      <c r="S422" s="18"/>
      <c r="T422" s="18"/>
      <c r="U422" s="18">
        <f t="shared" si="51"/>
        <v>6</v>
      </c>
      <c r="V422" s="18">
        <v>7</v>
      </c>
      <c r="W422" s="18"/>
      <c r="X422" s="18"/>
      <c r="Y422" s="18"/>
      <c r="Z422" s="18"/>
      <c r="AA422" s="18">
        <f t="shared" si="52"/>
        <v>7</v>
      </c>
      <c r="AB422" s="18">
        <v>25</v>
      </c>
      <c r="AC422" s="18"/>
      <c r="AD422" s="18"/>
      <c r="AE422" s="18"/>
      <c r="AF422" s="18"/>
      <c r="AG422" s="18">
        <f t="shared" si="53"/>
        <v>25</v>
      </c>
      <c r="AH422" s="18">
        <v>4</v>
      </c>
      <c r="AI422" s="18"/>
      <c r="AJ422" s="18"/>
      <c r="AK422" s="18"/>
      <c r="AL422" s="18"/>
      <c r="AM422" s="18">
        <f t="shared" si="54"/>
        <v>4</v>
      </c>
      <c r="AN422" s="18"/>
      <c r="AO422" s="18"/>
      <c r="AP422" s="18">
        <f t="shared" si="48"/>
        <v>0</v>
      </c>
      <c r="AQ422" s="32">
        <f t="shared" si="55"/>
        <v>182</v>
      </c>
    </row>
    <row r="423" spans="1:43" x14ac:dyDescent="0.35">
      <c r="A423" s="126" t="s">
        <v>1062</v>
      </c>
      <c r="B423" s="126" t="s">
        <v>1063</v>
      </c>
      <c r="C423" s="126" t="s">
        <v>1294</v>
      </c>
      <c r="D423" s="128">
        <v>79</v>
      </c>
      <c r="E423" s="128">
        <v>1</v>
      </c>
      <c r="F423" s="128"/>
      <c r="G423" s="128"/>
      <c r="H423" s="128"/>
      <c r="I423" s="18">
        <f t="shared" si="49"/>
        <v>80</v>
      </c>
      <c r="J423" s="128">
        <v>2</v>
      </c>
      <c r="K423" s="128"/>
      <c r="L423" s="128"/>
      <c r="M423" s="128"/>
      <c r="N423" s="128"/>
      <c r="O423" s="18">
        <f t="shared" si="50"/>
        <v>2</v>
      </c>
      <c r="P423" s="18">
        <v>1</v>
      </c>
      <c r="Q423" s="18"/>
      <c r="R423" s="18"/>
      <c r="S423" s="18"/>
      <c r="T423" s="18"/>
      <c r="U423" s="18">
        <f t="shared" si="51"/>
        <v>1</v>
      </c>
      <c r="V423" s="18">
        <v>2</v>
      </c>
      <c r="W423" s="18"/>
      <c r="X423" s="18"/>
      <c r="Y423" s="18"/>
      <c r="Z423" s="18"/>
      <c r="AA423" s="18">
        <f t="shared" si="52"/>
        <v>2</v>
      </c>
      <c r="AB423" s="18">
        <v>6</v>
      </c>
      <c r="AC423" s="18"/>
      <c r="AD423" s="18"/>
      <c r="AE423" s="18"/>
      <c r="AF423" s="18"/>
      <c r="AG423" s="18">
        <f t="shared" si="53"/>
        <v>6</v>
      </c>
      <c r="AH423" s="18">
        <v>1</v>
      </c>
      <c r="AI423" s="18"/>
      <c r="AJ423" s="18"/>
      <c r="AK423" s="18"/>
      <c r="AL423" s="18"/>
      <c r="AM423" s="18">
        <f t="shared" si="54"/>
        <v>1</v>
      </c>
      <c r="AN423" s="18"/>
      <c r="AO423" s="18"/>
      <c r="AP423" s="18">
        <f t="shared" si="48"/>
        <v>0</v>
      </c>
      <c r="AQ423" s="32">
        <f t="shared" si="55"/>
        <v>92</v>
      </c>
    </row>
    <row r="424" spans="1:43" x14ac:dyDescent="0.35">
      <c r="A424" s="126" t="s">
        <v>1064</v>
      </c>
      <c r="B424" s="126" t="s">
        <v>1065</v>
      </c>
      <c r="C424" s="126" t="s">
        <v>1294</v>
      </c>
      <c r="D424" s="128">
        <v>332</v>
      </c>
      <c r="E424" s="128">
        <v>15</v>
      </c>
      <c r="F424" s="128">
        <v>2</v>
      </c>
      <c r="G424" s="128">
        <v>1</v>
      </c>
      <c r="H424" s="128"/>
      <c r="I424" s="18">
        <f t="shared" si="49"/>
        <v>350</v>
      </c>
      <c r="J424" s="128">
        <v>12</v>
      </c>
      <c r="K424" s="128">
        <v>1</v>
      </c>
      <c r="L424" s="128"/>
      <c r="M424" s="128"/>
      <c r="N424" s="128"/>
      <c r="O424" s="18">
        <f t="shared" si="50"/>
        <v>13</v>
      </c>
      <c r="P424" s="18">
        <v>6</v>
      </c>
      <c r="Q424" s="18"/>
      <c r="R424" s="18"/>
      <c r="S424" s="18"/>
      <c r="T424" s="18"/>
      <c r="U424" s="18">
        <f t="shared" si="51"/>
        <v>6</v>
      </c>
      <c r="V424" s="18">
        <v>3</v>
      </c>
      <c r="W424" s="18"/>
      <c r="X424" s="18"/>
      <c r="Y424" s="18"/>
      <c r="Z424" s="18"/>
      <c r="AA424" s="18">
        <f t="shared" si="52"/>
        <v>3</v>
      </c>
      <c r="AB424" s="18">
        <v>40</v>
      </c>
      <c r="AC424" s="18">
        <v>2</v>
      </c>
      <c r="AD424" s="18"/>
      <c r="AE424" s="18"/>
      <c r="AF424" s="18"/>
      <c r="AG424" s="18">
        <f t="shared" si="53"/>
        <v>42</v>
      </c>
      <c r="AH424" s="18">
        <v>4</v>
      </c>
      <c r="AI424" s="18"/>
      <c r="AJ424" s="18"/>
      <c r="AK424" s="18"/>
      <c r="AL424" s="18"/>
      <c r="AM424" s="18">
        <f t="shared" si="54"/>
        <v>4</v>
      </c>
      <c r="AN424" s="18"/>
      <c r="AO424" s="18"/>
      <c r="AP424" s="18">
        <f t="shared" si="48"/>
        <v>0</v>
      </c>
      <c r="AQ424" s="32">
        <f t="shared" si="55"/>
        <v>418</v>
      </c>
    </row>
    <row r="425" spans="1:43" x14ac:dyDescent="0.35">
      <c r="A425" s="126" t="s">
        <v>1066</v>
      </c>
      <c r="B425" s="126" t="s">
        <v>1067</v>
      </c>
      <c r="C425" s="126" t="s">
        <v>1294</v>
      </c>
      <c r="D425" s="128">
        <v>98</v>
      </c>
      <c r="E425" s="128">
        <v>6</v>
      </c>
      <c r="F425" s="128">
        <v>1</v>
      </c>
      <c r="G425" s="128"/>
      <c r="H425" s="128"/>
      <c r="I425" s="18">
        <f t="shared" si="49"/>
        <v>105</v>
      </c>
      <c r="J425" s="128">
        <v>1</v>
      </c>
      <c r="K425" s="128"/>
      <c r="L425" s="128"/>
      <c r="M425" s="128"/>
      <c r="N425" s="128"/>
      <c r="O425" s="18">
        <f t="shared" si="50"/>
        <v>1</v>
      </c>
      <c r="P425" s="18">
        <v>1</v>
      </c>
      <c r="Q425" s="18"/>
      <c r="R425" s="18"/>
      <c r="S425" s="18"/>
      <c r="T425" s="18"/>
      <c r="U425" s="18">
        <f t="shared" si="51"/>
        <v>1</v>
      </c>
      <c r="V425" s="18">
        <v>2</v>
      </c>
      <c r="W425" s="18"/>
      <c r="X425" s="18"/>
      <c r="Y425" s="18"/>
      <c r="Z425" s="18"/>
      <c r="AA425" s="18">
        <f t="shared" si="52"/>
        <v>2</v>
      </c>
      <c r="AB425" s="18">
        <v>7</v>
      </c>
      <c r="AC425" s="18"/>
      <c r="AD425" s="18"/>
      <c r="AE425" s="18"/>
      <c r="AF425" s="18"/>
      <c r="AG425" s="18">
        <f t="shared" si="53"/>
        <v>7</v>
      </c>
      <c r="AH425" s="18">
        <v>2</v>
      </c>
      <c r="AI425" s="18"/>
      <c r="AJ425" s="18"/>
      <c r="AK425" s="18"/>
      <c r="AL425" s="18"/>
      <c r="AM425" s="18">
        <f t="shared" si="54"/>
        <v>2</v>
      </c>
      <c r="AN425" s="18"/>
      <c r="AO425" s="18"/>
      <c r="AP425" s="18">
        <f t="shared" si="48"/>
        <v>0</v>
      </c>
      <c r="AQ425" s="32">
        <f t="shared" si="55"/>
        <v>118</v>
      </c>
    </row>
    <row r="426" spans="1:43" x14ac:dyDescent="0.35">
      <c r="A426" s="126" t="s">
        <v>1068</v>
      </c>
      <c r="B426" s="126" t="s">
        <v>1069</v>
      </c>
      <c r="C426" s="126" t="s">
        <v>1294</v>
      </c>
      <c r="D426" s="128">
        <v>56</v>
      </c>
      <c r="E426" s="128">
        <v>4</v>
      </c>
      <c r="F426" s="128">
        <v>5</v>
      </c>
      <c r="G426" s="128">
        <v>10</v>
      </c>
      <c r="H426" s="128"/>
      <c r="I426" s="18">
        <f t="shared" si="49"/>
        <v>75</v>
      </c>
      <c r="J426" s="128">
        <v>2</v>
      </c>
      <c r="K426" s="128"/>
      <c r="L426" s="128"/>
      <c r="M426" s="128"/>
      <c r="N426" s="128"/>
      <c r="O426" s="18">
        <f t="shared" si="50"/>
        <v>2</v>
      </c>
      <c r="P426" s="18"/>
      <c r="Q426" s="18"/>
      <c r="R426" s="18"/>
      <c r="S426" s="18"/>
      <c r="T426" s="18"/>
      <c r="U426" s="18">
        <f t="shared" si="51"/>
        <v>0</v>
      </c>
      <c r="V426" s="18">
        <v>1</v>
      </c>
      <c r="W426" s="18">
        <v>2</v>
      </c>
      <c r="X426" s="18"/>
      <c r="Y426" s="18">
        <v>1</v>
      </c>
      <c r="Z426" s="18"/>
      <c r="AA426" s="18">
        <f t="shared" si="52"/>
        <v>4</v>
      </c>
      <c r="AB426" s="18">
        <v>2</v>
      </c>
      <c r="AC426" s="18"/>
      <c r="AD426" s="18"/>
      <c r="AE426" s="18">
        <v>1</v>
      </c>
      <c r="AF426" s="18"/>
      <c r="AG426" s="18">
        <f t="shared" si="53"/>
        <v>3</v>
      </c>
      <c r="AH426" s="18">
        <v>1</v>
      </c>
      <c r="AI426" s="18"/>
      <c r="AJ426" s="18"/>
      <c r="AK426" s="18"/>
      <c r="AL426" s="18"/>
      <c r="AM426" s="18">
        <f t="shared" si="54"/>
        <v>1</v>
      </c>
      <c r="AN426" s="18"/>
      <c r="AO426" s="18"/>
      <c r="AP426" s="18">
        <f t="shared" si="48"/>
        <v>0</v>
      </c>
      <c r="AQ426" s="32">
        <f t="shared" si="55"/>
        <v>85</v>
      </c>
    </row>
    <row r="427" spans="1:43" x14ac:dyDescent="0.35">
      <c r="A427" s="126" t="s">
        <v>1070</v>
      </c>
      <c r="B427" s="126" t="s">
        <v>1071</v>
      </c>
      <c r="C427" s="126" t="s">
        <v>1294</v>
      </c>
      <c r="D427" s="128">
        <v>772</v>
      </c>
      <c r="E427" s="128">
        <v>104</v>
      </c>
      <c r="F427" s="128">
        <v>35</v>
      </c>
      <c r="G427" s="128">
        <v>15</v>
      </c>
      <c r="H427" s="128"/>
      <c r="I427" s="18">
        <f t="shared" si="49"/>
        <v>926</v>
      </c>
      <c r="J427" s="128">
        <v>16</v>
      </c>
      <c r="K427" s="128"/>
      <c r="L427" s="128"/>
      <c r="M427" s="128"/>
      <c r="N427" s="128"/>
      <c r="O427" s="18">
        <f t="shared" si="50"/>
        <v>16</v>
      </c>
      <c r="P427" s="18">
        <v>5</v>
      </c>
      <c r="Q427" s="18"/>
      <c r="R427" s="18"/>
      <c r="S427" s="18"/>
      <c r="T427" s="18"/>
      <c r="U427" s="18">
        <f t="shared" si="51"/>
        <v>5</v>
      </c>
      <c r="V427" s="18">
        <v>14</v>
      </c>
      <c r="W427" s="18"/>
      <c r="X427" s="18"/>
      <c r="Y427" s="18"/>
      <c r="Z427" s="18"/>
      <c r="AA427" s="18">
        <f t="shared" si="52"/>
        <v>14</v>
      </c>
      <c r="AB427" s="18">
        <v>29</v>
      </c>
      <c r="AC427" s="18">
        <v>4</v>
      </c>
      <c r="AD427" s="18"/>
      <c r="AE427" s="18"/>
      <c r="AF427" s="18"/>
      <c r="AG427" s="18">
        <f t="shared" si="53"/>
        <v>33</v>
      </c>
      <c r="AH427" s="18">
        <v>1</v>
      </c>
      <c r="AI427" s="18"/>
      <c r="AJ427" s="18"/>
      <c r="AK427" s="18"/>
      <c r="AL427" s="18"/>
      <c r="AM427" s="18">
        <f t="shared" si="54"/>
        <v>1</v>
      </c>
      <c r="AN427" s="18"/>
      <c r="AO427" s="18"/>
      <c r="AP427" s="18">
        <f t="shared" si="48"/>
        <v>0</v>
      </c>
      <c r="AQ427" s="32">
        <f t="shared" si="55"/>
        <v>995</v>
      </c>
    </row>
    <row r="428" spans="1:43" x14ac:dyDescent="0.35">
      <c r="A428" s="126" t="s">
        <v>1072</v>
      </c>
      <c r="B428" s="126" t="s">
        <v>1073</v>
      </c>
      <c r="C428" s="126" t="s">
        <v>1294</v>
      </c>
      <c r="D428" s="128">
        <v>362</v>
      </c>
      <c r="E428" s="128">
        <v>33</v>
      </c>
      <c r="F428" s="128">
        <v>9</v>
      </c>
      <c r="G428" s="128">
        <v>1</v>
      </c>
      <c r="H428" s="128"/>
      <c r="I428" s="18">
        <f t="shared" si="49"/>
        <v>405</v>
      </c>
      <c r="J428" s="128">
        <v>13</v>
      </c>
      <c r="K428" s="128"/>
      <c r="L428" s="128"/>
      <c r="M428" s="128"/>
      <c r="N428" s="128"/>
      <c r="O428" s="18">
        <f t="shared" si="50"/>
        <v>13</v>
      </c>
      <c r="P428" s="18">
        <v>10</v>
      </c>
      <c r="Q428" s="18"/>
      <c r="R428" s="18"/>
      <c r="S428" s="18"/>
      <c r="T428" s="18"/>
      <c r="U428" s="18">
        <f t="shared" si="51"/>
        <v>10</v>
      </c>
      <c r="V428" s="18">
        <v>6</v>
      </c>
      <c r="W428" s="18"/>
      <c r="X428" s="18"/>
      <c r="Y428" s="18"/>
      <c r="Z428" s="18"/>
      <c r="AA428" s="18">
        <f t="shared" si="52"/>
        <v>6</v>
      </c>
      <c r="AB428" s="18">
        <v>68</v>
      </c>
      <c r="AC428" s="18"/>
      <c r="AD428" s="18"/>
      <c r="AE428" s="18"/>
      <c r="AF428" s="18"/>
      <c r="AG428" s="18">
        <f t="shared" si="53"/>
        <v>68</v>
      </c>
      <c r="AH428" s="18">
        <v>9</v>
      </c>
      <c r="AI428" s="18"/>
      <c r="AJ428" s="18"/>
      <c r="AK428" s="18"/>
      <c r="AL428" s="18"/>
      <c r="AM428" s="18">
        <f t="shared" si="54"/>
        <v>9</v>
      </c>
      <c r="AN428" s="18"/>
      <c r="AO428" s="18"/>
      <c r="AP428" s="18">
        <f t="shared" si="48"/>
        <v>0</v>
      </c>
      <c r="AQ428" s="32">
        <f t="shared" si="55"/>
        <v>511</v>
      </c>
    </row>
    <row r="429" spans="1:43" x14ac:dyDescent="0.35">
      <c r="A429" s="126" t="s">
        <v>1074</v>
      </c>
      <c r="B429" s="126" t="s">
        <v>1075</v>
      </c>
      <c r="C429" s="126" t="s">
        <v>1294</v>
      </c>
      <c r="D429" s="128">
        <v>123</v>
      </c>
      <c r="E429" s="128">
        <v>32</v>
      </c>
      <c r="F429" s="128">
        <v>15</v>
      </c>
      <c r="G429" s="128">
        <v>9</v>
      </c>
      <c r="H429" s="128"/>
      <c r="I429" s="18">
        <f t="shared" si="49"/>
        <v>179</v>
      </c>
      <c r="J429" s="128">
        <v>3</v>
      </c>
      <c r="K429" s="128"/>
      <c r="L429" s="128"/>
      <c r="M429" s="128"/>
      <c r="N429" s="128"/>
      <c r="O429" s="18">
        <f t="shared" si="50"/>
        <v>3</v>
      </c>
      <c r="P429" s="18">
        <v>9</v>
      </c>
      <c r="Q429" s="18"/>
      <c r="R429" s="18"/>
      <c r="S429" s="18"/>
      <c r="T429" s="18"/>
      <c r="U429" s="18">
        <f t="shared" si="51"/>
        <v>9</v>
      </c>
      <c r="V429" s="18">
        <v>3</v>
      </c>
      <c r="W429" s="18"/>
      <c r="X429" s="18"/>
      <c r="Y429" s="18"/>
      <c r="Z429" s="18"/>
      <c r="AA429" s="18">
        <f t="shared" si="52"/>
        <v>3</v>
      </c>
      <c r="AB429" s="18">
        <v>17</v>
      </c>
      <c r="AC429" s="18"/>
      <c r="AD429" s="18"/>
      <c r="AE429" s="18"/>
      <c r="AF429" s="18"/>
      <c r="AG429" s="18">
        <f t="shared" si="53"/>
        <v>17</v>
      </c>
      <c r="AH429" s="18">
        <v>1</v>
      </c>
      <c r="AI429" s="18"/>
      <c r="AJ429" s="18"/>
      <c r="AK429" s="18"/>
      <c r="AL429" s="18"/>
      <c r="AM429" s="18">
        <f t="shared" si="54"/>
        <v>1</v>
      </c>
      <c r="AN429" s="18"/>
      <c r="AO429" s="18"/>
      <c r="AP429" s="18">
        <f t="shared" si="48"/>
        <v>0</v>
      </c>
      <c r="AQ429" s="32">
        <f t="shared" si="55"/>
        <v>212</v>
      </c>
    </row>
    <row r="430" spans="1:43" x14ac:dyDescent="0.35">
      <c r="A430" s="126" t="s">
        <v>1076</v>
      </c>
      <c r="B430" s="126" t="s">
        <v>1077</v>
      </c>
      <c r="C430" s="126" t="s">
        <v>1294</v>
      </c>
      <c r="D430" s="128">
        <v>350</v>
      </c>
      <c r="E430" s="128">
        <v>12</v>
      </c>
      <c r="F430" s="128">
        <v>2</v>
      </c>
      <c r="G430" s="128">
        <v>1</v>
      </c>
      <c r="H430" s="128"/>
      <c r="I430" s="18">
        <f t="shared" si="49"/>
        <v>365</v>
      </c>
      <c r="J430" s="128">
        <v>8</v>
      </c>
      <c r="K430" s="128"/>
      <c r="L430" s="128"/>
      <c r="M430" s="128"/>
      <c r="N430" s="128"/>
      <c r="O430" s="18">
        <f t="shared" si="50"/>
        <v>8</v>
      </c>
      <c r="P430" s="18">
        <v>6</v>
      </c>
      <c r="Q430" s="18"/>
      <c r="R430" s="18"/>
      <c r="S430" s="18"/>
      <c r="T430" s="18"/>
      <c r="U430" s="18">
        <f t="shared" si="51"/>
        <v>6</v>
      </c>
      <c r="V430" s="18">
        <v>4</v>
      </c>
      <c r="W430" s="18"/>
      <c r="X430" s="18"/>
      <c r="Y430" s="18"/>
      <c r="Z430" s="18"/>
      <c r="AA430" s="18">
        <f t="shared" si="52"/>
        <v>4</v>
      </c>
      <c r="AB430" s="18">
        <v>38</v>
      </c>
      <c r="AC430" s="18"/>
      <c r="AD430" s="18">
        <v>1</v>
      </c>
      <c r="AE430" s="18"/>
      <c r="AF430" s="18"/>
      <c r="AG430" s="18">
        <f t="shared" si="53"/>
        <v>39</v>
      </c>
      <c r="AH430" s="18">
        <v>3</v>
      </c>
      <c r="AI430" s="18"/>
      <c r="AJ430" s="18"/>
      <c r="AK430" s="18"/>
      <c r="AL430" s="18"/>
      <c r="AM430" s="18">
        <f t="shared" si="54"/>
        <v>3</v>
      </c>
      <c r="AN430" s="18"/>
      <c r="AO430" s="18"/>
      <c r="AP430" s="18">
        <f t="shared" si="48"/>
        <v>0</v>
      </c>
      <c r="AQ430" s="32">
        <f t="shared" si="55"/>
        <v>425</v>
      </c>
    </row>
    <row r="431" spans="1:43" x14ac:dyDescent="0.35">
      <c r="A431" s="126" t="s">
        <v>1078</v>
      </c>
      <c r="B431" s="126" t="s">
        <v>1079</v>
      </c>
      <c r="C431" s="126" t="s">
        <v>1294</v>
      </c>
      <c r="D431" s="128">
        <v>300</v>
      </c>
      <c r="E431" s="128">
        <v>37</v>
      </c>
      <c r="F431" s="128">
        <v>15</v>
      </c>
      <c r="G431" s="128">
        <v>9</v>
      </c>
      <c r="H431" s="128"/>
      <c r="I431" s="18">
        <f t="shared" si="49"/>
        <v>361</v>
      </c>
      <c r="J431" s="128">
        <v>6</v>
      </c>
      <c r="K431" s="128"/>
      <c r="L431" s="128"/>
      <c r="M431" s="128"/>
      <c r="N431" s="128"/>
      <c r="O431" s="18">
        <f t="shared" si="50"/>
        <v>6</v>
      </c>
      <c r="P431" s="18">
        <v>3</v>
      </c>
      <c r="Q431" s="18"/>
      <c r="R431" s="18">
        <v>1</v>
      </c>
      <c r="S431" s="18"/>
      <c r="T431" s="18"/>
      <c r="U431" s="18">
        <f t="shared" si="51"/>
        <v>4</v>
      </c>
      <c r="V431" s="18">
        <v>5</v>
      </c>
      <c r="W431" s="18"/>
      <c r="X431" s="18">
        <v>1</v>
      </c>
      <c r="Y431" s="18"/>
      <c r="Z431" s="18"/>
      <c r="AA431" s="18">
        <f t="shared" si="52"/>
        <v>6</v>
      </c>
      <c r="AB431" s="18">
        <v>33</v>
      </c>
      <c r="AC431" s="18">
        <v>2</v>
      </c>
      <c r="AD431" s="18">
        <v>1</v>
      </c>
      <c r="AE431" s="18"/>
      <c r="AF431" s="18"/>
      <c r="AG431" s="18">
        <f t="shared" si="53"/>
        <v>36</v>
      </c>
      <c r="AH431" s="18">
        <v>5</v>
      </c>
      <c r="AI431" s="18"/>
      <c r="AJ431" s="18"/>
      <c r="AK431" s="18"/>
      <c r="AL431" s="18"/>
      <c r="AM431" s="18">
        <f t="shared" si="54"/>
        <v>5</v>
      </c>
      <c r="AN431" s="18"/>
      <c r="AO431" s="18"/>
      <c r="AP431" s="18">
        <f t="shared" si="48"/>
        <v>0</v>
      </c>
      <c r="AQ431" s="32">
        <f t="shared" si="55"/>
        <v>418</v>
      </c>
    </row>
    <row r="432" spans="1:43" x14ac:dyDescent="0.35">
      <c r="A432" s="126" t="s">
        <v>1080</v>
      </c>
      <c r="B432" s="126" t="s">
        <v>1081</v>
      </c>
      <c r="C432" s="126" t="s">
        <v>1294</v>
      </c>
      <c r="D432" s="128">
        <v>18</v>
      </c>
      <c r="E432" s="128">
        <v>2</v>
      </c>
      <c r="F432" s="128"/>
      <c r="G432" s="128"/>
      <c r="H432" s="128"/>
      <c r="I432" s="18">
        <f t="shared" si="49"/>
        <v>20</v>
      </c>
      <c r="J432" s="128"/>
      <c r="K432" s="128"/>
      <c r="L432" s="128"/>
      <c r="M432" s="128"/>
      <c r="N432" s="128"/>
      <c r="O432" s="18">
        <f t="shared" si="50"/>
        <v>0</v>
      </c>
      <c r="P432" s="18"/>
      <c r="Q432" s="18"/>
      <c r="R432" s="18"/>
      <c r="S432" s="18"/>
      <c r="T432" s="18"/>
      <c r="U432" s="18">
        <f t="shared" si="51"/>
        <v>0</v>
      </c>
      <c r="V432" s="18"/>
      <c r="W432" s="18"/>
      <c r="X432" s="18"/>
      <c r="Y432" s="18"/>
      <c r="Z432" s="18"/>
      <c r="AA432" s="18">
        <f t="shared" si="52"/>
        <v>0</v>
      </c>
      <c r="AB432" s="18">
        <v>2</v>
      </c>
      <c r="AC432" s="18"/>
      <c r="AD432" s="18"/>
      <c r="AE432" s="18"/>
      <c r="AF432" s="18"/>
      <c r="AG432" s="18">
        <f t="shared" si="53"/>
        <v>2</v>
      </c>
      <c r="AH432" s="18"/>
      <c r="AI432" s="18"/>
      <c r="AJ432" s="18"/>
      <c r="AK432" s="18"/>
      <c r="AL432" s="18"/>
      <c r="AM432" s="18">
        <f t="shared" si="54"/>
        <v>0</v>
      </c>
      <c r="AN432" s="18"/>
      <c r="AO432" s="18"/>
      <c r="AP432" s="18">
        <f t="shared" si="48"/>
        <v>0</v>
      </c>
      <c r="AQ432" s="32">
        <f t="shared" si="55"/>
        <v>22</v>
      </c>
    </row>
    <row r="433" spans="1:43" x14ac:dyDescent="0.35">
      <c r="A433" s="126" t="s">
        <v>1082</v>
      </c>
      <c r="B433" s="126" t="s">
        <v>1083</v>
      </c>
      <c r="C433" s="126" t="s">
        <v>1294</v>
      </c>
      <c r="D433" s="128">
        <v>2</v>
      </c>
      <c r="E433" s="128"/>
      <c r="F433" s="128"/>
      <c r="G433" s="128">
        <v>1</v>
      </c>
      <c r="H433" s="128"/>
      <c r="I433" s="18">
        <f t="shared" si="49"/>
        <v>3</v>
      </c>
      <c r="J433" s="128"/>
      <c r="K433" s="128"/>
      <c r="L433" s="128"/>
      <c r="M433" s="128"/>
      <c r="N433" s="128"/>
      <c r="O433" s="18">
        <f t="shared" si="50"/>
        <v>0</v>
      </c>
      <c r="P433" s="18"/>
      <c r="Q433" s="18"/>
      <c r="R433" s="18"/>
      <c r="S433" s="18"/>
      <c r="T433" s="18"/>
      <c r="U433" s="18">
        <f t="shared" si="51"/>
        <v>0</v>
      </c>
      <c r="V433" s="18"/>
      <c r="W433" s="18"/>
      <c r="X433" s="18"/>
      <c r="Y433" s="18"/>
      <c r="Z433" s="18"/>
      <c r="AA433" s="18">
        <f t="shared" si="52"/>
        <v>0</v>
      </c>
      <c r="AB433" s="18">
        <v>1</v>
      </c>
      <c r="AC433" s="18"/>
      <c r="AD433" s="18"/>
      <c r="AE433" s="18"/>
      <c r="AF433" s="18"/>
      <c r="AG433" s="18">
        <f t="shared" si="53"/>
        <v>1</v>
      </c>
      <c r="AH433" s="18"/>
      <c r="AI433" s="18"/>
      <c r="AJ433" s="18"/>
      <c r="AK433" s="18"/>
      <c r="AL433" s="18"/>
      <c r="AM433" s="18">
        <f t="shared" si="54"/>
        <v>0</v>
      </c>
      <c r="AN433" s="18"/>
      <c r="AO433" s="18"/>
      <c r="AP433" s="18">
        <f t="shared" si="48"/>
        <v>0</v>
      </c>
      <c r="AQ433" s="32">
        <f t="shared" si="55"/>
        <v>4</v>
      </c>
    </row>
    <row r="434" spans="1:43" x14ac:dyDescent="0.35">
      <c r="A434" s="126" t="s">
        <v>1084</v>
      </c>
      <c r="B434" s="126" t="s">
        <v>1085</v>
      </c>
      <c r="C434" s="126" t="s">
        <v>1294</v>
      </c>
      <c r="D434" s="128">
        <v>96</v>
      </c>
      <c r="E434" s="128">
        <v>3</v>
      </c>
      <c r="F434" s="128"/>
      <c r="G434" s="128"/>
      <c r="H434" s="128"/>
      <c r="I434" s="18">
        <f t="shared" si="49"/>
        <v>99</v>
      </c>
      <c r="J434" s="128"/>
      <c r="K434" s="128"/>
      <c r="L434" s="128"/>
      <c r="M434" s="128"/>
      <c r="N434" s="128"/>
      <c r="O434" s="18">
        <f t="shared" si="50"/>
        <v>0</v>
      </c>
      <c r="P434" s="18"/>
      <c r="Q434" s="18"/>
      <c r="R434" s="18"/>
      <c r="S434" s="18"/>
      <c r="T434" s="18"/>
      <c r="U434" s="18">
        <f t="shared" si="51"/>
        <v>0</v>
      </c>
      <c r="V434" s="18"/>
      <c r="W434" s="18"/>
      <c r="X434" s="18"/>
      <c r="Y434" s="18"/>
      <c r="Z434" s="18"/>
      <c r="AA434" s="18">
        <f t="shared" si="52"/>
        <v>0</v>
      </c>
      <c r="AB434" s="18">
        <v>9</v>
      </c>
      <c r="AC434" s="18"/>
      <c r="AD434" s="18"/>
      <c r="AE434" s="18"/>
      <c r="AF434" s="18"/>
      <c r="AG434" s="18">
        <f t="shared" si="53"/>
        <v>9</v>
      </c>
      <c r="AH434" s="18"/>
      <c r="AI434" s="18"/>
      <c r="AJ434" s="18"/>
      <c r="AK434" s="18"/>
      <c r="AL434" s="18"/>
      <c r="AM434" s="18">
        <f t="shared" si="54"/>
        <v>0</v>
      </c>
      <c r="AN434" s="18"/>
      <c r="AO434" s="18"/>
      <c r="AP434" s="18">
        <f t="shared" si="48"/>
        <v>0</v>
      </c>
      <c r="AQ434" s="32">
        <f t="shared" si="55"/>
        <v>108</v>
      </c>
    </row>
    <row r="435" spans="1:43" x14ac:dyDescent="0.35">
      <c r="A435" s="126" t="s">
        <v>1086</v>
      </c>
      <c r="B435" s="126" t="s">
        <v>1087</v>
      </c>
      <c r="C435" s="126" t="s">
        <v>1294</v>
      </c>
      <c r="D435" s="128">
        <v>7</v>
      </c>
      <c r="E435" s="128"/>
      <c r="F435" s="128"/>
      <c r="G435" s="128"/>
      <c r="H435" s="128"/>
      <c r="I435" s="18">
        <f t="shared" si="49"/>
        <v>7</v>
      </c>
      <c r="J435" s="128"/>
      <c r="K435" s="128"/>
      <c r="L435" s="128"/>
      <c r="M435" s="128"/>
      <c r="N435" s="128"/>
      <c r="O435" s="18">
        <f t="shared" si="50"/>
        <v>0</v>
      </c>
      <c r="P435" s="18"/>
      <c r="Q435" s="18"/>
      <c r="R435" s="18"/>
      <c r="S435" s="18"/>
      <c r="T435" s="18"/>
      <c r="U435" s="18">
        <f t="shared" si="51"/>
        <v>0</v>
      </c>
      <c r="V435" s="18"/>
      <c r="W435" s="18"/>
      <c r="X435" s="18"/>
      <c r="Y435" s="18"/>
      <c r="Z435" s="18"/>
      <c r="AA435" s="18">
        <f t="shared" si="52"/>
        <v>0</v>
      </c>
      <c r="AB435" s="18">
        <v>2</v>
      </c>
      <c r="AC435" s="18"/>
      <c r="AD435" s="18"/>
      <c r="AE435" s="18"/>
      <c r="AF435" s="18"/>
      <c r="AG435" s="18">
        <f t="shared" si="53"/>
        <v>2</v>
      </c>
      <c r="AH435" s="18"/>
      <c r="AI435" s="18"/>
      <c r="AJ435" s="18"/>
      <c r="AK435" s="18"/>
      <c r="AL435" s="18"/>
      <c r="AM435" s="18">
        <f t="shared" si="54"/>
        <v>0</v>
      </c>
      <c r="AN435" s="18"/>
      <c r="AO435" s="18"/>
      <c r="AP435" s="18">
        <f t="shared" si="48"/>
        <v>0</v>
      </c>
      <c r="AQ435" s="32">
        <f t="shared" si="55"/>
        <v>9</v>
      </c>
    </row>
    <row r="436" spans="1:43" x14ac:dyDescent="0.35">
      <c r="A436" s="126" t="s">
        <v>1088</v>
      </c>
      <c r="B436" s="126" t="s">
        <v>1089</v>
      </c>
      <c r="C436" s="126" t="s">
        <v>1294</v>
      </c>
      <c r="D436" s="128">
        <v>9</v>
      </c>
      <c r="E436" s="128"/>
      <c r="F436" s="128"/>
      <c r="G436" s="128"/>
      <c r="H436" s="128"/>
      <c r="I436" s="18">
        <f t="shared" si="49"/>
        <v>9</v>
      </c>
      <c r="J436" s="128"/>
      <c r="K436" s="128"/>
      <c r="L436" s="128"/>
      <c r="M436" s="128"/>
      <c r="N436" s="128"/>
      <c r="O436" s="18">
        <f t="shared" si="50"/>
        <v>0</v>
      </c>
      <c r="P436" s="18"/>
      <c r="Q436" s="18"/>
      <c r="R436" s="18"/>
      <c r="S436" s="18"/>
      <c r="T436" s="18"/>
      <c r="U436" s="18">
        <f t="shared" si="51"/>
        <v>0</v>
      </c>
      <c r="V436" s="18"/>
      <c r="W436" s="18"/>
      <c r="X436" s="18"/>
      <c r="Y436" s="18"/>
      <c r="Z436" s="18"/>
      <c r="AA436" s="18">
        <f t="shared" si="52"/>
        <v>0</v>
      </c>
      <c r="AB436" s="18"/>
      <c r="AC436" s="18"/>
      <c r="AD436" s="18"/>
      <c r="AE436" s="18"/>
      <c r="AF436" s="18"/>
      <c r="AG436" s="18">
        <f t="shared" si="53"/>
        <v>0</v>
      </c>
      <c r="AH436" s="18"/>
      <c r="AI436" s="18"/>
      <c r="AJ436" s="18"/>
      <c r="AK436" s="18"/>
      <c r="AL436" s="18"/>
      <c r="AM436" s="18">
        <f t="shared" si="54"/>
        <v>0</v>
      </c>
      <c r="AN436" s="18"/>
      <c r="AO436" s="18"/>
      <c r="AP436" s="18">
        <f t="shared" si="48"/>
        <v>0</v>
      </c>
      <c r="AQ436" s="32">
        <f t="shared" si="55"/>
        <v>9</v>
      </c>
    </row>
    <row r="437" spans="1:43" x14ac:dyDescent="0.35">
      <c r="A437" s="126" t="s">
        <v>1202</v>
      </c>
      <c r="B437" s="126" t="s">
        <v>1273</v>
      </c>
      <c r="C437" s="126" t="s">
        <v>1294</v>
      </c>
      <c r="D437" s="128">
        <v>5</v>
      </c>
      <c r="E437" s="128"/>
      <c r="F437" s="128"/>
      <c r="G437" s="128"/>
      <c r="H437" s="128"/>
      <c r="I437" s="18">
        <f t="shared" si="49"/>
        <v>5</v>
      </c>
      <c r="J437" s="128"/>
      <c r="K437" s="128"/>
      <c r="L437" s="128"/>
      <c r="M437" s="128"/>
      <c r="N437" s="128"/>
      <c r="O437" s="18">
        <f t="shared" si="50"/>
        <v>0</v>
      </c>
      <c r="P437" s="18"/>
      <c r="Q437" s="18"/>
      <c r="R437" s="18"/>
      <c r="S437" s="18"/>
      <c r="T437" s="18"/>
      <c r="U437" s="18">
        <f t="shared" si="51"/>
        <v>0</v>
      </c>
      <c r="V437" s="18">
        <v>1</v>
      </c>
      <c r="W437" s="18"/>
      <c r="X437" s="18"/>
      <c r="Y437" s="18"/>
      <c r="Z437" s="18"/>
      <c r="AA437" s="18">
        <f t="shared" si="52"/>
        <v>1</v>
      </c>
      <c r="AB437" s="18">
        <v>1</v>
      </c>
      <c r="AC437" s="18"/>
      <c r="AD437" s="18"/>
      <c r="AE437" s="18"/>
      <c r="AF437" s="18"/>
      <c r="AG437" s="18">
        <f t="shared" si="53"/>
        <v>1</v>
      </c>
      <c r="AH437" s="18"/>
      <c r="AI437" s="18"/>
      <c r="AJ437" s="18"/>
      <c r="AK437" s="18"/>
      <c r="AL437" s="18"/>
      <c r="AM437" s="18">
        <f t="shared" si="54"/>
        <v>0</v>
      </c>
      <c r="AN437" s="18"/>
      <c r="AO437" s="18"/>
      <c r="AP437" s="18">
        <f t="shared" si="48"/>
        <v>0</v>
      </c>
      <c r="AQ437" s="32">
        <f t="shared" si="55"/>
        <v>7</v>
      </c>
    </row>
    <row r="438" spans="1:43" x14ac:dyDescent="0.35">
      <c r="A438" s="126" t="s">
        <v>1203</v>
      </c>
      <c r="B438" s="126" t="s">
        <v>1274</v>
      </c>
      <c r="C438" s="126" t="s">
        <v>1294</v>
      </c>
      <c r="D438" s="128">
        <v>6</v>
      </c>
      <c r="E438" s="128">
        <v>1</v>
      </c>
      <c r="F438" s="128"/>
      <c r="G438" s="128"/>
      <c r="H438" s="128"/>
      <c r="I438" s="18">
        <f t="shared" si="49"/>
        <v>7</v>
      </c>
      <c r="J438" s="128"/>
      <c r="K438" s="128"/>
      <c r="L438" s="128"/>
      <c r="M438" s="128"/>
      <c r="N438" s="128"/>
      <c r="O438" s="18">
        <f t="shared" si="50"/>
        <v>0</v>
      </c>
      <c r="P438" s="18"/>
      <c r="Q438" s="18"/>
      <c r="R438" s="18"/>
      <c r="S438" s="18"/>
      <c r="T438" s="18"/>
      <c r="U438" s="18">
        <f t="shared" si="51"/>
        <v>0</v>
      </c>
      <c r="V438" s="18"/>
      <c r="W438" s="18"/>
      <c r="X438" s="18"/>
      <c r="Y438" s="18"/>
      <c r="Z438" s="18"/>
      <c r="AA438" s="18">
        <f t="shared" si="52"/>
        <v>0</v>
      </c>
      <c r="AB438" s="18">
        <v>1</v>
      </c>
      <c r="AC438" s="18"/>
      <c r="AD438" s="18"/>
      <c r="AE438" s="18"/>
      <c r="AF438" s="18"/>
      <c r="AG438" s="18">
        <f t="shared" si="53"/>
        <v>1</v>
      </c>
      <c r="AH438" s="18"/>
      <c r="AI438" s="18"/>
      <c r="AJ438" s="18"/>
      <c r="AK438" s="18"/>
      <c r="AL438" s="18"/>
      <c r="AM438" s="18">
        <f t="shared" si="54"/>
        <v>0</v>
      </c>
      <c r="AN438" s="18"/>
      <c r="AO438" s="18"/>
      <c r="AP438" s="18">
        <f t="shared" si="48"/>
        <v>0</v>
      </c>
      <c r="AQ438" s="32">
        <f t="shared" si="55"/>
        <v>8</v>
      </c>
    </row>
    <row r="439" spans="1:43" x14ac:dyDescent="0.35">
      <c r="A439" s="126" t="s">
        <v>1090</v>
      </c>
      <c r="B439" s="126" t="s">
        <v>1091</v>
      </c>
      <c r="C439" s="126" t="s">
        <v>1294</v>
      </c>
      <c r="D439" s="128">
        <v>10</v>
      </c>
      <c r="E439" s="128"/>
      <c r="F439" s="128"/>
      <c r="G439" s="128"/>
      <c r="H439" s="128"/>
      <c r="I439" s="18">
        <f t="shared" si="49"/>
        <v>10</v>
      </c>
      <c r="J439" s="128"/>
      <c r="K439" s="128"/>
      <c r="L439" s="128"/>
      <c r="M439" s="128"/>
      <c r="N439" s="128"/>
      <c r="O439" s="18">
        <f t="shared" si="50"/>
        <v>0</v>
      </c>
      <c r="P439" s="18"/>
      <c r="Q439" s="18"/>
      <c r="R439" s="18"/>
      <c r="S439" s="18"/>
      <c r="T439" s="18"/>
      <c r="U439" s="18">
        <f t="shared" si="51"/>
        <v>0</v>
      </c>
      <c r="V439" s="18"/>
      <c r="W439" s="18"/>
      <c r="X439" s="18"/>
      <c r="Y439" s="18"/>
      <c r="Z439" s="18"/>
      <c r="AA439" s="18">
        <f t="shared" si="52"/>
        <v>0</v>
      </c>
      <c r="AB439" s="18"/>
      <c r="AC439" s="18"/>
      <c r="AD439" s="18"/>
      <c r="AE439" s="18"/>
      <c r="AF439" s="18"/>
      <c r="AG439" s="18">
        <f t="shared" si="53"/>
        <v>0</v>
      </c>
      <c r="AH439" s="18"/>
      <c r="AI439" s="18"/>
      <c r="AJ439" s="18"/>
      <c r="AK439" s="18"/>
      <c r="AL439" s="18"/>
      <c r="AM439" s="18">
        <f t="shared" si="54"/>
        <v>0</v>
      </c>
      <c r="AN439" s="18"/>
      <c r="AO439" s="18"/>
      <c r="AP439" s="18">
        <f t="shared" si="48"/>
        <v>0</v>
      </c>
      <c r="AQ439" s="32">
        <f t="shared" si="55"/>
        <v>10</v>
      </c>
    </row>
    <row r="440" spans="1:43" x14ac:dyDescent="0.35">
      <c r="A440" s="126" t="s">
        <v>1092</v>
      </c>
      <c r="B440" s="126" t="s">
        <v>1093</v>
      </c>
      <c r="C440" s="126" t="s">
        <v>1294</v>
      </c>
      <c r="D440" s="128">
        <v>92</v>
      </c>
      <c r="E440" s="128">
        <v>2</v>
      </c>
      <c r="F440" s="128"/>
      <c r="G440" s="128"/>
      <c r="H440" s="128"/>
      <c r="I440" s="18">
        <f t="shared" si="49"/>
        <v>94</v>
      </c>
      <c r="J440" s="128">
        <v>2</v>
      </c>
      <c r="K440" s="128"/>
      <c r="L440" s="128"/>
      <c r="M440" s="128"/>
      <c r="N440" s="128"/>
      <c r="O440" s="18">
        <f t="shared" si="50"/>
        <v>2</v>
      </c>
      <c r="P440" s="18"/>
      <c r="Q440" s="18"/>
      <c r="R440" s="18"/>
      <c r="S440" s="18"/>
      <c r="T440" s="18"/>
      <c r="U440" s="18">
        <f t="shared" si="51"/>
        <v>0</v>
      </c>
      <c r="V440" s="18">
        <v>1</v>
      </c>
      <c r="W440" s="18"/>
      <c r="X440" s="18"/>
      <c r="Y440" s="18"/>
      <c r="Z440" s="18"/>
      <c r="AA440" s="18">
        <f t="shared" si="52"/>
        <v>1</v>
      </c>
      <c r="AB440" s="18">
        <v>7</v>
      </c>
      <c r="AC440" s="18"/>
      <c r="AD440" s="18"/>
      <c r="AE440" s="18"/>
      <c r="AF440" s="18"/>
      <c r="AG440" s="18">
        <f t="shared" si="53"/>
        <v>7</v>
      </c>
      <c r="AH440" s="18">
        <v>1</v>
      </c>
      <c r="AI440" s="18"/>
      <c r="AJ440" s="18"/>
      <c r="AK440" s="18"/>
      <c r="AL440" s="18"/>
      <c r="AM440" s="18">
        <f t="shared" si="54"/>
        <v>1</v>
      </c>
      <c r="AN440" s="18"/>
      <c r="AO440" s="18"/>
      <c r="AP440" s="18">
        <f t="shared" si="48"/>
        <v>0</v>
      </c>
      <c r="AQ440" s="32">
        <f t="shared" si="55"/>
        <v>105</v>
      </c>
    </row>
    <row r="441" spans="1:43" x14ac:dyDescent="0.35">
      <c r="A441" s="126" t="s">
        <v>1094</v>
      </c>
      <c r="B441" s="126" t="s">
        <v>1095</v>
      </c>
      <c r="C441" s="126" t="s">
        <v>1294</v>
      </c>
      <c r="D441" s="128">
        <v>7</v>
      </c>
      <c r="E441" s="128"/>
      <c r="F441" s="128"/>
      <c r="G441" s="128"/>
      <c r="H441" s="128"/>
      <c r="I441" s="18">
        <f t="shared" si="49"/>
        <v>7</v>
      </c>
      <c r="J441" s="128">
        <v>1</v>
      </c>
      <c r="K441" s="128"/>
      <c r="L441" s="128"/>
      <c r="M441" s="128"/>
      <c r="N441" s="128"/>
      <c r="O441" s="18">
        <f t="shared" si="50"/>
        <v>1</v>
      </c>
      <c r="P441" s="18"/>
      <c r="Q441" s="18"/>
      <c r="R441" s="18"/>
      <c r="S441" s="18"/>
      <c r="T441" s="18"/>
      <c r="U441" s="18">
        <f t="shared" si="51"/>
        <v>0</v>
      </c>
      <c r="V441" s="18"/>
      <c r="W441" s="18"/>
      <c r="X441" s="18"/>
      <c r="Y441" s="18"/>
      <c r="Z441" s="18"/>
      <c r="AA441" s="18">
        <f t="shared" si="52"/>
        <v>0</v>
      </c>
      <c r="AB441" s="18"/>
      <c r="AC441" s="18"/>
      <c r="AD441" s="18"/>
      <c r="AE441" s="18"/>
      <c r="AF441" s="18"/>
      <c r="AG441" s="18">
        <f t="shared" si="53"/>
        <v>0</v>
      </c>
      <c r="AH441" s="18"/>
      <c r="AI441" s="18"/>
      <c r="AJ441" s="18"/>
      <c r="AK441" s="18"/>
      <c r="AL441" s="18"/>
      <c r="AM441" s="18">
        <f t="shared" si="54"/>
        <v>0</v>
      </c>
      <c r="AN441" s="18"/>
      <c r="AO441" s="18"/>
      <c r="AP441" s="18">
        <f t="shared" si="48"/>
        <v>0</v>
      </c>
      <c r="AQ441" s="32">
        <f t="shared" si="55"/>
        <v>8</v>
      </c>
    </row>
    <row r="442" spans="1:43" x14ac:dyDescent="0.35">
      <c r="A442" s="126" t="s">
        <v>1096</v>
      </c>
      <c r="B442" s="126" t="s">
        <v>1097</v>
      </c>
      <c r="C442" s="126" t="s">
        <v>1294</v>
      </c>
      <c r="D442" s="128">
        <v>266</v>
      </c>
      <c r="E442" s="128">
        <v>10</v>
      </c>
      <c r="F442" s="128">
        <v>1</v>
      </c>
      <c r="G442" s="128"/>
      <c r="H442" s="128"/>
      <c r="I442" s="18">
        <f t="shared" si="49"/>
        <v>277</v>
      </c>
      <c r="J442" s="128">
        <v>6</v>
      </c>
      <c r="K442" s="128"/>
      <c r="L442" s="128"/>
      <c r="M442" s="128"/>
      <c r="N442" s="128"/>
      <c r="O442" s="18">
        <f t="shared" si="50"/>
        <v>6</v>
      </c>
      <c r="P442" s="18">
        <v>2</v>
      </c>
      <c r="Q442" s="18"/>
      <c r="R442" s="18"/>
      <c r="S442" s="18"/>
      <c r="T442" s="18"/>
      <c r="U442" s="18">
        <f t="shared" si="51"/>
        <v>2</v>
      </c>
      <c r="V442" s="18">
        <v>1</v>
      </c>
      <c r="W442" s="18"/>
      <c r="X442" s="18"/>
      <c r="Y442" s="18"/>
      <c r="Z442" s="18"/>
      <c r="AA442" s="18">
        <f t="shared" si="52"/>
        <v>1</v>
      </c>
      <c r="AB442" s="18">
        <v>24</v>
      </c>
      <c r="AC442" s="18"/>
      <c r="AD442" s="18"/>
      <c r="AE442" s="18"/>
      <c r="AF442" s="18"/>
      <c r="AG442" s="18">
        <f t="shared" si="53"/>
        <v>24</v>
      </c>
      <c r="AH442" s="18">
        <v>2</v>
      </c>
      <c r="AI442" s="18"/>
      <c r="AJ442" s="18"/>
      <c r="AK442" s="18"/>
      <c r="AL442" s="18"/>
      <c r="AM442" s="18">
        <f t="shared" si="54"/>
        <v>2</v>
      </c>
      <c r="AN442" s="18"/>
      <c r="AO442" s="18"/>
      <c r="AP442" s="18">
        <f t="shared" si="48"/>
        <v>0</v>
      </c>
      <c r="AQ442" s="32">
        <f t="shared" si="55"/>
        <v>312</v>
      </c>
    </row>
    <row r="443" spans="1:43" x14ac:dyDescent="0.35">
      <c r="A443" s="126" t="s">
        <v>1098</v>
      </c>
      <c r="B443" s="126" t="s">
        <v>1099</v>
      </c>
      <c r="C443" s="126" t="s">
        <v>1294</v>
      </c>
      <c r="D443" s="128">
        <v>46</v>
      </c>
      <c r="E443" s="128">
        <v>1</v>
      </c>
      <c r="F443" s="128"/>
      <c r="G443" s="128"/>
      <c r="H443" s="128"/>
      <c r="I443" s="18">
        <f t="shared" si="49"/>
        <v>47</v>
      </c>
      <c r="J443" s="128"/>
      <c r="K443" s="128"/>
      <c r="L443" s="128"/>
      <c r="M443" s="128"/>
      <c r="N443" s="128"/>
      <c r="O443" s="18">
        <f t="shared" si="50"/>
        <v>0</v>
      </c>
      <c r="P443" s="18">
        <v>2</v>
      </c>
      <c r="Q443" s="18"/>
      <c r="R443" s="18"/>
      <c r="S443" s="18"/>
      <c r="T443" s="18"/>
      <c r="U443" s="18">
        <f t="shared" si="51"/>
        <v>2</v>
      </c>
      <c r="V443" s="18">
        <v>1</v>
      </c>
      <c r="W443" s="18"/>
      <c r="X443" s="18"/>
      <c r="Y443" s="18"/>
      <c r="Z443" s="18"/>
      <c r="AA443" s="18">
        <f t="shared" si="52"/>
        <v>1</v>
      </c>
      <c r="AB443" s="18">
        <v>7</v>
      </c>
      <c r="AC443" s="18"/>
      <c r="AD443" s="18"/>
      <c r="AE443" s="18"/>
      <c r="AF443" s="18"/>
      <c r="AG443" s="18">
        <f t="shared" si="53"/>
        <v>7</v>
      </c>
      <c r="AH443" s="18"/>
      <c r="AI443" s="18"/>
      <c r="AJ443" s="18"/>
      <c r="AK443" s="18"/>
      <c r="AL443" s="18"/>
      <c r="AM443" s="18">
        <f t="shared" si="54"/>
        <v>0</v>
      </c>
      <c r="AN443" s="18"/>
      <c r="AO443" s="18"/>
      <c r="AP443" s="18">
        <f t="shared" ref="AP443:AP476" si="56">+AO443+AN443</f>
        <v>0</v>
      </c>
      <c r="AQ443" s="32">
        <f t="shared" si="55"/>
        <v>57</v>
      </c>
    </row>
    <row r="444" spans="1:43" x14ac:dyDescent="0.35">
      <c r="A444" s="126" t="s">
        <v>1100</v>
      </c>
      <c r="B444" s="126" t="s">
        <v>1101</v>
      </c>
      <c r="C444" s="126" t="s">
        <v>1294</v>
      </c>
      <c r="D444" s="128">
        <v>19</v>
      </c>
      <c r="E444" s="128">
        <v>2</v>
      </c>
      <c r="F444" s="128"/>
      <c r="G444" s="128"/>
      <c r="H444" s="128"/>
      <c r="I444" s="18">
        <f t="shared" si="49"/>
        <v>21</v>
      </c>
      <c r="J444" s="128"/>
      <c r="K444" s="128"/>
      <c r="L444" s="128"/>
      <c r="M444" s="128"/>
      <c r="N444" s="128"/>
      <c r="O444" s="18">
        <f t="shared" si="50"/>
        <v>0</v>
      </c>
      <c r="P444" s="18"/>
      <c r="Q444" s="18"/>
      <c r="R444" s="18"/>
      <c r="S444" s="18"/>
      <c r="T444" s="18"/>
      <c r="U444" s="18">
        <f t="shared" si="51"/>
        <v>0</v>
      </c>
      <c r="V444" s="18"/>
      <c r="W444" s="18"/>
      <c r="X444" s="18"/>
      <c r="Y444" s="18"/>
      <c r="Z444" s="18"/>
      <c r="AA444" s="18">
        <f t="shared" si="52"/>
        <v>0</v>
      </c>
      <c r="AB444" s="18">
        <v>2</v>
      </c>
      <c r="AC444" s="18"/>
      <c r="AD444" s="18"/>
      <c r="AE444" s="18"/>
      <c r="AF444" s="18"/>
      <c r="AG444" s="18">
        <f t="shared" si="53"/>
        <v>2</v>
      </c>
      <c r="AH444" s="18"/>
      <c r="AI444" s="18"/>
      <c r="AJ444" s="18"/>
      <c r="AK444" s="18"/>
      <c r="AL444" s="18"/>
      <c r="AM444" s="18">
        <f t="shared" si="54"/>
        <v>0</v>
      </c>
      <c r="AN444" s="18"/>
      <c r="AO444" s="18"/>
      <c r="AP444" s="18">
        <f t="shared" si="56"/>
        <v>0</v>
      </c>
      <c r="AQ444" s="32">
        <f t="shared" si="55"/>
        <v>23</v>
      </c>
    </row>
    <row r="445" spans="1:43" x14ac:dyDescent="0.35">
      <c r="A445" s="126" t="s">
        <v>1102</v>
      </c>
      <c r="B445" s="126" t="s">
        <v>1103</v>
      </c>
      <c r="C445" s="126" t="s">
        <v>1294</v>
      </c>
      <c r="D445" s="128">
        <v>320</v>
      </c>
      <c r="E445" s="128">
        <v>25</v>
      </c>
      <c r="F445" s="128">
        <v>5</v>
      </c>
      <c r="G445" s="128">
        <v>4</v>
      </c>
      <c r="H445" s="128"/>
      <c r="I445" s="18">
        <f t="shared" si="49"/>
        <v>354</v>
      </c>
      <c r="J445" s="128">
        <v>1</v>
      </c>
      <c r="K445" s="128"/>
      <c r="L445" s="128"/>
      <c r="M445" s="128"/>
      <c r="N445" s="128"/>
      <c r="O445" s="18">
        <f t="shared" si="50"/>
        <v>1</v>
      </c>
      <c r="P445" s="18">
        <v>4</v>
      </c>
      <c r="Q445" s="18"/>
      <c r="R445" s="18"/>
      <c r="S445" s="18"/>
      <c r="T445" s="18"/>
      <c r="U445" s="18">
        <f t="shared" si="51"/>
        <v>4</v>
      </c>
      <c r="V445" s="18">
        <v>4</v>
      </c>
      <c r="W445" s="18">
        <v>1</v>
      </c>
      <c r="X445" s="18"/>
      <c r="Y445" s="18"/>
      <c r="Z445" s="18"/>
      <c r="AA445" s="18">
        <f t="shared" si="52"/>
        <v>5</v>
      </c>
      <c r="AB445" s="18">
        <v>34</v>
      </c>
      <c r="AC445" s="18">
        <v>1</v>
      </c>
      <c r="AD445" s="18">
        <v>1</v>
      </c>
      <c r="AE445" s="18"/>
      <c r="AF445" s="18"/>
      <c r="AG445" s="18">
        <f t="shared" si="53"/>
        <v>36</v>
      </c>
      <c r="AH445" s="18">
        <v>2</v>
      </c>
      <c r="AI445" s="18"/>
      <c r="AJ445" s="18"/>
      <c r="AK445" s="18"/>
      <c r="AL445" s="18"/>
      <c r="AM445" s="18">
        <f t="shared" si="54"/>
        <v>2</v>
      </c>
      <c r="AN445" s="18"/>
      <c r="AO445" s="18"/>
      <c r="AP445" s="18">
        <f t="shared" si="56"/>
        <v>0</v>
      </c>
      <c r="AQ445" s="32">
        <f t="shared" si="55"/>
        <v>402</v>
      </c>
    </row>
    <row r="446" spans="1:43" x14ac:dyDescent="0.35">
      <c r="A446" s="126" t="s">
        <v>1104</v>
      </c>
      <c r="B446" s="126" t="s">
        <v>1275</v>
      </c>
      <c r="C446" s="126" t="s">
        <v>1294</v>
      </c>
      <c r="D446" s="128">
        <v>53</v>
      </c>
      <c r="E446" s="128">
        <v>2</v>
      </c>
      <c r="F446" s="128">
        <v>1</v>
      </c>
      <c r="G446" s="128"/>
      <c r="H446" s="128"/>
      <c r="I446" s="18">
        <f t="shared" si="49"/>
        <v>56</v>
      </c>
      <c r="J446" s="128">
        <v>1</v>
      </c>
      <c r="K446" s="128"/>
      <c r="L446" s="128"/>
      <c r="M446" s="128"/>
      <c r="N446" s="128"/>
      <c r="O446" s="18">
        <f t="shared" si="50"/>
        <v>1</v>
      </c>
      <c r="P446" s="18">
        <v>1</v>
      </c>
      <c r="Q446" s="18"/>
      <c r="R446" s="18"/>
      <c r="S446" s="18"/>
      <c r="T446" s="18"/>
      <c r="U446" s="18">
        <f t="shared" si="51"/>
        <v>1</v>
      </c>
      <c r="V446" s="18"/>
      <c r="W446" s="18"/>
      <c r="X446" s="18"/>
      <c r="Y446" s="18"/>
      <c r="Z446" s="18"/>
      <c r="AA446" s="18">
        <f t="shared" si="52"/>
        <v>0</v>
      </c>
      <c r="AB446" s="18">
        <v>9</v>
      </c>
      <c r="AC446" s="18"/>
      <c r="AD446" s="18"/>
      <c r="AE446" s="18"/>
      <c r="AF446" s="18"/>
      <c r="AG446" s="18">
        <f t="shared" si="53"/>
        <v>9</v>
      </c>
      <c r="AH446" s="18"/>
      <c r="AI446" s="18"/>
      <c r="AJ446" s="18"/>
      <c r="AK446" s="18"/>
      <c r="AL446" s="18"/>
      <c r="AM446" s="18">
        <f t="shared" si="54"/>
        <v>0</v>
      </c>
      <c r="AN446" s="18"/>
      <c r="AO446" s="18"/>
      <c r="AP446" s="18">
        <f t="shared" si="56"/>
        <v>0</v>
      </c>
      <c r="AQ446" s="32">
        <f t="shared" si="55"/>
        <v>67</v>
      </c>
    </row>
    <row r="447" spans="1:43" x14ac:dyDescent="0.35">
      <c r="A447" s="126" t="s">
        <v>1105</v>
      </c>
      <c r="B447" s="126" t="s">
        <v>1106</v>
      </c>
      <c r="C447" s="126" t="s">
        <v>1294</v>
      </c>
      <c r="D447" s="128">
        <v>8</v>
      </c>
      <c r="E447" s="128"/>
      <c r="F447" s="128">
        <v>1</v>
      </c>
      <c r="G447" s="128"/>
      <c r="H447" s="128"/>
      <c r="I447" s="18">
        <f t="shared" si="49"/>
        <v>9</v>
      </c>
      <c r="J447" s="128"/>
      <c r="K447" s="128"/>
      <c r="L447" s="128"/>
      <c r="M447" s="128"/>
      <c r="N447" s="128"/>
      <c r="O447" s="18">
        <f t="shared" si="50"/>
        <v>0</v>
      </c>
      <c r="P447" s="18">
        <v>1</v>
      </c>
      <c r="Q447" s="18"/>
      <c r="R447" s="18"/>
      <c r="S447" s="18"/>
      <c r="T447" s="18"/>
      <c r="U447" s="18">
        <f t="shared" si="51"/>
        <v>1</v>
      </c>
      <c r="V447" s="18"/>
      <c r="W447" s="18"/>
      <c r="X447" s="18"/>
      <c r="Y447" s="18"/>
      <c r="Z447" s="18"/>
      <c r="AA447" s="18">
        <f t="shared" si="52"/>
        <v>0</v>
      </c>
      <c r="AB447" s="18">
        <v>2</v>
      </c>
      <c r="AC447" s="18"/>
      <c r="AD447" s="18"/>
      <c r="AE447" s="18"/>
      <c r="AF447" s="18"/>
      <c r="AG447" s="18">
        <f t="shared" si="53"/>
        <v>2</v>
      </c>
      <c r="AH447" s="18"/>
      <c r="AI447" s="18"/>
      <c r="AJ447" s="18"/>
      <c r="AK447" s="18"/>
      <c r="AL447" s="18"/>
      <c r="AM447" s="18">
        <f t="shared" si="54"/>
        <v>0</v>
      </c>
      <c r="AN447" s="18"/>
      <c r="AO447" s="18"/>
      <c r="AP447" s="18">
        <f t="shared" si="56"/>
        <v>0</v>
      </c>
      <c r="AQ447" s="32">
        <f t="shared" si="55"/>
        <v>12</v>
      </c>
    </row>
    <row r="448" spans="1:43" x14ac:dyDescent="0.35">
      <c r="A448" s="126" t="s">
        <v>1107</v>
      </c>
      <c r="B448" s="126" t="s">
        <v>1108</v>
      </c>
      <c r="C448" s="126" t="s">
        <v>1294</v>
      </c>
      <c r="D448" s="128">
        <v>5</v>
      </c>
      <c r="E448" s="128"/>
      <c r="F448" s="128"/>
      <c r="G448" s="128"/>
      <c r="H448" s="128"/>
      <c r="I448" s="18">
        <f t="shared" si="49"/>
        <v>5</v>
      </c>
      <c r="J448" s="128"/>
      <c r="K448" s="128"/>
      <c r="L448" s="128"/>
      <c r="M448" s="128"/>
      <c r="N448" s="128"/>
      <c r="O448" s="18">
        <f t="shared" si="50"/>
        <v>0</v>
      </c>
      <c r="P448" s="18"/>
      <c r="Q448" s="18"/>
      <c r="R448" s="18"/>
      <c r="S448" s="18"/>
      <c r="T448" s="18"/>
      <c r="U448" s="18">
        <f t="shared" si="51"/>
        <v>0</v>
      </c>
      <c r="V448" s="18"/>
      <c r="W448" s="18"/>
      <c r="X448" s="18"/>
      <c r="Y448" s="18"/>
      <c r="Z448" s="18"/>
      <c r="AA448" s="18">
        <f t="shared" si="52"/>
        <v>0</v>
      </c>
      <c r="AB448" s="18"/>
      <c r="AC448" s="18"/>
      <c r="AD448" s="18"/>
      <c r="AE448" s="18"/>
      <c r="AF448" s="18"/>
      <c r="AG448" s="18">
        <f t="shared" si="53"/>
        <v>0</v>
      </c>
      <c r="AH448" s="18"/>
      <c r="AI448" s="18"/>
      <c r="AJ448" s="18"/>
      <c r="AK448" s="18"/>
      <c r="AL448" s="18"/>
      <c r="AM448" s="18">
        <f t="shared" si="54"/>
        <v>0</v>
      </c>
      <c r="AN448" s="18"/>
      <c r="AO448" s="18"/>
      <c r="AP448" s="18">
        <f t="shared" si="56"/>
        <v>0</v>
      </c>
      <c r="AQ448" s="32">
        <f t="shared" si="55"/>
        <v>5</v>
      </c>
    </row>
    <row r="449" spans="1:43" x14ac:dyDescent="0.35">
      <c r="A449" s="126" t="s">
        <v>1109</v>
      </c>
      <c r="B449" s="126" t="s">
        <v>1110</v>
      </c>
      <c r="C449" s="126" t="s">
        <v>1294</v>
      </c>
      <c r="D449" s="128">
        <v>5</v>
      </c>
      <c r="E449" s="128"/>
      <c r="F449" s="128"/>
      <c r="G449" s="128">
        <v>1</v>
      </c>
      <c r="H449" s="128"/>
      <c r="I449" s="18">
        <f t="shared" si="49"/>
        <v>6</v>
      </c>
      <c r="J449" s="128"/>
      <c r="K449" s="128"/>
      <c r="L449" s="128"/>
      <c r="M449" s="128"/>
      <c r="N449" s="128"/>
      <c r="O449" s="18">
        <f t="shared" si="50"/>
        <v>0</v>
      </c>
      <c r="P449" s="18">
        <v>1</v>
      </c>
      <c r="Q449" s="18"/>
      <c r="R449" s="18"/>
      <c r="S449" s="18"/>
      <c r="T449" s="18"/>
      <c r="U449" s="18">
        <f t="shared" si="51"/>
        <v>1</v>
      </c>
      <c r="V449" s="18"/>
      <c r="W449" s="18"/>
      <c r="X449" s="18"/>
      <c r="Y449" s="18"/>
      <c r="Z449" s="18"/>
      <c r="AA449" s="18">
        <f t="shared" si="52"/>
        <v>0</v>
      </c>
      <c r="AB449" s="18"/>
      <c r="AC449" s="18"/>
      <c r="AD449" s="18"/>
      <c r="AE449" s="18"/>
      <c r="AF449" s="18"/>
      <c r="AG449" s="18">
        <f t="shared" si="53"/>
        <v>0</v>
      </c>
      <c r="AH449" s="18"/>
      <c r="AI449" s="18"/>
      <c r="AJ449" s="18"/>
      <c r="AK449" s="18"/>
      <c r="AL449" s="18"/>
      <c r="AM449" s="18">
        <f t="shared" si="54"/>
        <v>0</v>
      </c>
      <c r="AN449" s="18"/>
      <c r="AO449" s="18"/>
      <c r="AP449" s="18">
        <f t="shared" si="56"/>
        <v>0</v>
      </c>
      <c r="AQ449" s="32">
        <f t="shared" si="55"/>
        <v>7</v>
      </c>
    </row>
    <row r="450" spans="1:43" x14ac:dyDescent="0.35">
      <c r="A450" s="126" t="s">
        <v>1111</v>
      </c>
      <c r="B450" s="126" t="s">
        <v>245</v>
      </c>
      <c r="C450" s="126" t="s">
        <v>1294</v>
      </c>
      <c r="D450" s="128">
        <v>447</v>
      </c>
      <c r="E450" s="128">
        <v>28</v>
      </c>
      <c r="F450" s="128">
        <v>13</v>
      </c>
      <c r="G450" s="128">
        <v>3</v>
      </c>
      <c r="H450" s="128"/>
      <c r="I450" s="18">
        <f t="shared" si="49"/>
        <v>491</v>
      </c>
      <c r="J450" s="128">
        <v>77</v>
      </c>
      <c r="K450" s="128"/>
      <c r="L450" s="128"/>
      <c r="M450" s="128"/>
      <c r="N450" s="128"/>
      <c r="O450" s="18">
        <f t="shared" si="50"/>
        <v>77</v>
      </c>
      <c r="P450" s="18">
        <v>59</v>
      </c>
      <c r="Q450" s="18">
        <v>1</v>
      </c>
      <c r="R450" s="18"/>
      <c r="S450" s="18"/>
      <c r="T450" s="18"/>
      <c r="U450" s="18">
        <f t="shared" si="51"/>
        <v>60</v>
      </c>
      <c r="V450" s="18">
        <v>17</v>
      </c>
      <c r="W450" s="18"/>
      <c r="X450" s="18"/>
      <c r="Y450" s="18"/>
      <c r="Z450" s="18"/>
      <c r="AA450" s="18">
        <f t="shared" si="52"/>
        <v>17</v>
      </c>
      <c r="AB450" s="18">
        <v>119</v>
      </c>
      <c r="AC450" s="18">
        <v>1</v>
      </c>
      <c r="AD450" s="18"/>
      <c r="AE450" s="18"/>
      <c r="AF450" s="18"/>
      <c r="AG450" s="18">
        <f t="shared" si="53"/>
        <v>120</v>
      </c>
      <c r="AH450" s="18">
        <v>51</v>
      </c>
      <c r="AI450" s="18">
        <v>1</v>
      </c>
      <c r="AJ450" s="18"/>
      <c r="AK450" s="18"/>
      <c r="AL450" s="18"/>
      <c r="AM450" s="18">
        <f t="shared" si="54"/>
        <v>52</v>
      </c>
      <c r="AN450" s="18"/>
      <c r="AO450" s="18"/>
      <c r="AP450" s="18">
        <f t="shared" si="56"/>
        <v>0</v>
      </c>
      <c r="AQ450" s="32">
        <f t="shared" si="55"/>
        <v>817</v>
      </c>
    </row>
    <row r="451" spans="1:43" x14ac:dyDescent="0.35">
      <c r="A451" s="126" t="s">
        <v>1112</v>
      </c>
      <c r="B451" s="126" t="s">
        <v>1113</v>
      </c>
      <c r="C451" s="126" t="s">
        <v>1294</v>
      </c>
      <c r="D451" s="128">
        <v>148</v>
      </c>
      <c r="E451" s="128">
        <v>2</v>
      </c>
      <c r="F451" s="128"/>
      <c r="G451" s="128">
        <v>1</v>
      </c>
      <c r="H451" s="128"/>
      <c r="I451" s="18">
        <f t="shared" si="49"/>
        <v>151</v>
      </c>
      <c r="J451" s="128">
        <v>9</v>
      </c>
      <c r="K451" s="128"/>
      <c r="L451" s="128"/>
      <c r="M451" s="128"/>
      <c r="N451" s="128"/>
      <c r="O451" s="18">
        <f t="shared" si="50"/>
        <v>9</v>
      </c>
      <c r="P451" s="18">
        <v>8</v>
      </c>
      <c r="Q451" s="18"/>
      <c r="R451" s="18"/>
      <c r="S451" s="18"/>
      <c r="T451" s="18"/>
      <c r="U451" s="18">
        <f t="shared" si="51"/>
        <v>8</v>
      </c>
      <c r="V451" s="18">
        <v>9</v>
      </c>
      <c r="W451" s="18"/>
      <c r="X451" s="18"/>
      <c r="Y451" s="18"/>
      <c r="Z451" s="18"/>
      <c r="AA451" s="18">
        <f t="shared" si="52"/>
        <v>9</v>
      </c>
      <c r="AB451" s="18">
        <v>42</v>
      </c>
      <c r="AC451" s="18"/>
      <c r="AD451" s="18"/>
      <c r="AE451" s="18"/>
      <c r="AF451" s="18"/>
      <c r="AG451" s="18">
        <f t="shared" si="53"/>
        <v>42</v>
      </c>
      <c r="AH451" s="18">
        <v>5</v>
      </c>
      <c r="AI451" s="18"/>
      <c r="AJ451" s="18"/>
      <c r="AK451" s="18"/>
      <c r="AL451" s="18"/>
      <c r="AM451" s="18">
        <f t="shared" si="54"/>
        <v>5</v>
      </c>
      <c r="AN451" s="18"/>
      <c r="AO451" s="18"/>
      <c r="AP451" s="18">
        <f t="shared" si="56"/>
        <v>0</v>
      </c>
      <c r="AQ451" s="32">
        <f t="shared" si="55"/>
        <v>224</v>
      </c>
    </row>
    <row r="452" spans="1:43" x14ac:dyDescent="0.35">
      <c r="A452" s="126" t="s">
        <v>1114</v>
      </c>
      <c r="B452" s="126" t="s">
        <v>1115</v>
      </c>
      <c r="C452" s="126" t="s">
        <v>1294</v>
      </c>
      <c r="D452" s="128">
        <v>24</v>
      </c>
      <c r="E452" s="128"/>
      <c r="F452" s="128"/>
      <c r="G452" s="128">
        <v>2</v>
      </c>
      <c r="H452" s="128"/>
      <c r="I452" s="18">
        <f t="shared" si="49"/>
        <v>26</v>
      </c>
      <c r="J452" s="128"/>
      <c r="K452" s="128"/>
      <c r="L452" s="128"/>
      <c r="M452" s="128"/>
      <c r="N452" s="128"/>
      <c r="O452" s="18">
        <f t="shared" si="50"/>
        <v>0</v>
      </c>
      <c r="P452" s="18">
        <v>1</v>
      </c>
      <c r="Q452" s="18"/>
      <c r="R452" s="18"/>
      <c r="S452" s="18"/>
      <c r="T452" s="18"/>
      <c r="U452" s="18">
        <f t="shared" si="51"/>
        <v>1</v>
      </c>
      <c r="V452" s="18">
        <v>2</v>
      </c>
      <c r="W452" s="18"/>
      <c r="X452" s="18"/>
      <c r="Y452" s="18"/>
      <c r="Z452" s="18"/>
      <c r="AA452" s="18">
        <f t="shared" si="52"/>
        <v>2</v>
      </c>
      <c r="AB452" s="18">
        <v>5</v>
      </c>
      <c r="AC452" s="18"/>
      <c r="AD452" s="18"/>
      <c r="AE452" s="18"/>
      <c r="AF452" s="18"/>
      <c r="AG452" s="18">
        <f t="shared" si="53"/>
        <v>5</v>
      </c>
      <c r="AH452" s="18"/>
      <c r="AI452" s="18"/>
      <c r="AJ452" s="18"/>
      <c r="AK452" s="18"/>
      <c r="AL452" s="18"/>
      <c r="AM452" s="18">
        <f t="shared" si="54"/>
        <v>0</v>
      </c>
      <c r="AN452" s="18"/>
      <c r="AO452" s="18"/>
      <c r="AP452" s="18">
        <f t="shared" si="56"/>
        <v>0</v>
      </c>
      <c r="AQ452" s="32">
        <f t="shared" si="55"/>
        <v>34</v>
      </c>
    </row>
    <row r="453" spans="1:43" x14ac:dyDescent="0.35">
      <c r="A453" s="126" t="s">
        <v>1116</v>
      </c>
      <c r="B453" s="126" t="s">
        <v>1117</v>
      </c>
      <c r="C453" s="126" t="s">
        <v>1294</v>
      </c>
      <c r="D453" s="128">
        <v>109</v>
      </c>
      <c r="E453" s="128">
        <v>3</v>
      </c>
      <c r="F453" s="128"/>
      <c r="G453" s="128"/>
      <c r="H453" s="128"/>
      <c r="I453" s="18">
        <f t="shared" si="49"/>
        <v>112</v>
      </c>
      <c r="J453" s="128">
        <v>12</v>
      </c>
      <c r="K453" s="128"/>
      <c r="L453" s="128"/>
      <c r="M453" s="128"/>
      <c r="N453" s="128"/>
      <c r="O453" s="18">
        <f t="shared" si="50"/>
        <v>12</v>
      </c>
      <c r="P453" s="18">
        <v>4</v>
      </c>
      <c r="Q453" s="18"/>
      <c r="R453" s="18"/>
      <c r="S453" s="18"/>
      <c r="T453" s="18"/>
      <c r="U453" s="18">
        <f t="shared" si="51"/>
        <v>4</v>
      </c>
      <c r="V453" s="18">
        <v>2</v>
      </c>
      <c r="W453" s="18"/>
      <c r="X453" s="18"/>
      <c r="Y453" s="18"/>
      <c r="Z453" s="18"/>
      <c r="AA453" s="18">
        <f t="shared" si="52"/>
        <v>2</v>
      </c>
      <c r="AB453" s="18">
        <v>18</v>
      </c>
      <c r="AC453" s="18"/>
      <c r="AD453" s="18"/>
      <c r="AE453" s="18"/>
      <c r="AF453" s="18"/>
      <c r="AG453" s="18">
        <f t="shared" si="53"/>
        <v>18</v>
      </c>
      <c r="AH453" s="18">
        <v>5</v>
      </c>
      <c r="AI453" s="18"/>
      <c r="AJ453" s="18"/>
      <c r="AK453" s="18"/>
      <c r="AL453" s="18"/>
      <c r="AM453" s="18">
        <f t="shared" si="54"/>
        <v>5</v>
      </c>
      <c r="AN453" s="18"/>
      <c r="AO453" s="18"/>
      <c r="AP453" s="18">
        <f t="shared" si="56"/>
        <v>0</v>
      </c>
      <c r="AQ453" s="32">
        <f t="shared" si="55"/>
        <v>153</v>
      </c>
    </row>
    <row r="454" spans="1:43" x14ac:dyDescent="0.35">
      <c r="A454" s="126" t="s">
        <v>1118</v>
      </c>
      <c r="B454" s="126" t="s">
        <v>1119</v>
      </c>
      <c r="C454" s="126" t="s">
        <v>1294</v>
      </c>
      <c r="D454" s="128">
        <v>14</v>
      </c>
      <c r="E454" s="128">
        <v>4</v>
      </c>
      <c r="F454" s="128"/>
      <c r="G454" s="128">
        <v>1</v>
      </c>
      <c r="H454" s="128"/>
      <c r="I454" s="18">
        <f t="shared" ref="I454:I476" si="57">+SUM(D454:H454)</f>
        <v>19</v>
      </c>
      <c r="J454" s="128">
        <v>6</v>
      </c>
      <c r="K454" s="128"/>
      <c r="L454" s="128"/>
      <c r="M454" s="128"/>
      <c r="N454" s="128"/>
      <c r="O454" s="18">
        <f t="shared" ref="O454:O476" si="58">+SUM(J454:N454)</f>
        <v>6</v>
      </c>
      <c r="P454" s="18">
        <v>2</v>
      </c>
      <c r="Q454" s="18"/>
      <c r="R454" s="18"/>
      <c r="S454" s="18"/>
      <c r="T454" s="18"/>
      <c r="U454" s="18">
        <f t="shared" ref="U454:U476" si="59">+SUM(P454:T454)</f>
        <v>2</v>
      </c>
      <c r="V454" s="18"/>
      <c r="W454" s="18"/>
      <c r="X454" s="18"/>
      <c r="Y454" s="18"/>
      <c r="Z454" s="18"/>
      <c r="AA454" s="18">
        <f t="shared" ref="AA454:AA476" si="60">+SUM(V454:Z454)</f>
        <v>0</v>
      </c>
      <c r="AB454" s="18">
        <v>3</v>
      </c>
      <c r="AC454" s="18"/>
      <c r="AD454" s="18"/>
      <c r="AE454" s="18"/>
      <c r="AF454" s="18"/>
      <c r="AG454" s="18">
        <f t="shared" ref="AG454:AG476" si="61">+SUM(AB454:AF454)</f>
        <v>3</v>
      </c>
      <c r="AH454" s="18">
        <v>1</v>
      </c>
      <c r="AI454" s="18"/>
      <c r="AJ454" s="18"/>
      <c r="AK454" s="18"/>
      <c r="AL454" s="18"/>
      <c r="AM454" s="18">
        <f t="shared" ref="AM454:AM476" si="62">+SUM(AH454:AL454)</f>
        <v>1</v>
      </c>
      <c r="AN454" s="18"/>
      <c r="AO454" s="18"/>
      <c r="AP454" s="18">
        <f t="shared" si="56"/>
        <v>0</v>
      </c>
      <c r="AQ454" s="32">
        <f t="shared" ref="AQ454:AQ476" si="63">+AP454+AM454+AG454+AA454+U454+O454+I454</f>
        <v>31</v>
      </c>
    </row>
    <row r="455" spans="1:43" x14ac:dyDescent="0.35">
      <c r="A455" s="126" t="s">
        <v>1120</v>
      </c>
      <c r="B455" s="126" t="s">
        <v>1121</v>
      </c>
      <c r="C455" s="126" t="s">
        <v>1294</v>
      </c>
      <c r="D455" s="128">
        <v>196</v>
      </c>
      <c r="E455" s="128">
        <v>3</v>
      </c>
      <c r="F455" s="128"/>
      <c r="G455" s="128">
        <v>1</v>
      </c>
      <c r="H455" s="128"/>
      <c r="I455" s="18">
        <f t="shared" si="57"/>
        <v>200</v>
      </c>
      <c r="J455" s="128">
        <v>33</v>
      </c>
      <c r="K455" s="128"/>
      <c r="L455" s="128"/>
      <c r="M455" s="128"/>
      <c r="N455" s="128"/>
      <c r="O455" s="18">
        <f t="shared" si="58"/>
        <v>33</v>
      </c>
      <c r="P455" s="18">
        <v>16</v>
      </c>
      <c r="Q455" s="18"/>
      <c r="R455" s="18"/>
      <c r="S455" s="18"/>
      <c r="T455" s="18"/>
      <c r="U455" s="18">
        <f t="shared" si="59"/>
        <v>16</v>
      </c>
      <c r="V455" s="18">
        <v>11</v>
      </c>
      <c r="W455" s="18"/>
      <c r="X455" s="18"/>
      <c r="Y455" s="18"/>
      <c r="Z455" s="18"/>
      <c r="AA455" s="18">
        <f t="shared" si="60"/>
        <v>11</v>
      </c>
      <c r="AB455" s="18">
        <v>45</v>
      </c>
      <c r="AC455" s="18"/>
      <c r="AD455" s="18"/>
      <c r="AE455" s="18"/>
      <c r="AF455" s="18"/>
      <c r="AG455" s="18">
        <f t="shared" si="61"/>
        <v>45</v>
      </c>
      <c r="AH455" s="18">
        <v>20</v>
      </c>
      <c r="AI455" s="18"/>
      <c r="AJ455" s="18"/>
      <c r="AK455" s="18"/>
      <c r="AL455" s="18"/>
      <c r="AM455" s="18">
        <f t="shared" si="62"/>
        <v>20</v>
      </c>
      <c r="AN455" s="18"/>
      <c r="AO455" s="18"/>
      <c r="AP455" s="18">
        <f t="shared" si="56"/>
        <v>0</v>
      </c>
      <c r="AQ455" s="32">
        <f t="shared" si="63"/>
        <v>325</v>
      </c>
    </row>
    <row r="456" spans="1:43" x14ac:dyDescent="0.35">
      <c r="A456" s="126" t="s">
        <v>1122</v>
      </c>
      <c r="B456" s="126" t="s">
        <v>1123</v>
      </c>
      <c r="C456" s="126" t="s">
        <v>1294</v>
      </c>
      <c r="D456" s="128">
        <v>16</v>
      </c>
      <c r="E456" s="128"/>
      <c r="F456" s="128"/>
      <c r="G456" s="128"/>
      <c r="H456" s="128"/>
      <c r="I456" s="18">
        <f t="shared" si="57"/>
        <v>16</v>
      </c>
      <c r="J456" s="128"/>
      <c r="K456" s="128"/>
      <c r="L456" s="128"/>
      <c r="M456" s="128"/>
      <c r="N456" s="128"/>
      <c r="O456" s="18">
        <f t="shared" si="58"/>
        <v>0</v>
      </c>
      <c r="P456" s="18">
        <v>1</v>
      </c>
      <c r="Q456" s="18"/>
      <c r="R456" s="18"/>
      <c r="S456" s="18"/>
      <c r="T456" s="18"/>
      <c r="U456" s="18">
        <f t="shared" si="59"/>
        <v>1</v>
      </c>
      <c r="V456" s="18"/>
      <c r="W456" s="18"/>
      <c r="X456" s="18"/>
      <c r="Y456" s="18"/>
      <c r="Z456" s="18"/>
      <c r="AA456" s="18">
        <f t="shared" si="60"/>
        <v>0</v>
      </c>
      <c r="AB456" s="18"/>
      <c r="AC456" s="18"/>
      <c r="AD456" s="18"/>
      <c r="AE456" s="18"/>
      <c r="AF456" s="18"/>
      <c r="AG456" s="18">
        <f t="shared" si="61"/>
        <v>0</v>
      </c>
      <c r="AH456" s="18"/>
      <c r="AI456" s="18"/>
      <c r="AJ456" s="18"/>
      <c r="AK456" s="18"/>
      <c r="AL456" s="18"/>
      <c r="AM456" s="18">
        <f t="shared" si="62"/>
        <v>0</v>
      </c>
      <c r="AN456" s="18"/>
      <c r="AO456" s="18"/>
      <c r="AP456" s="18">
        <f t="shared" si="56"/>
        <v>0</v>
      </c>
      <c r="AQ456" s="32">
        <f t="shared" si="63"/>
        <v>17</v>
      </c>
    </row>
    <row r="457" spans="1:43" x14ac:dyDescent="0.35">
      <c r="A457" s="126" t="s">
        <v>1124</v>
      </c>
      <c r="B457" s="126" t="s">
        <v>1125</v>
      </c>
      <c r="C457" s="126" t="s">
        <v>1294</v>
      </c>
      <c r="D457" s="128">
        <v>4</v>
      </c>
      <c r="E457" s="128"/>
      <c r="F457" s="128"/>
      <c r="G457" s="128"/>
      <c r="H457" s="128"/>
      <c r="I457" s="18">
        <f t="shared" si="57"/>
        <v>4</v>
      </c>
      <c r="J457" s="128"/>
      <c r="K457" s="128"/>
      <c r="L457" s="128"/>
      <c r="M457" s="128"/>
      <c r="N457" s="128"/>
      <c r="O457" s="18">
        <f t="shared" si="58"/>
        <v>0</v>
      </c>
      <c r="P457" s="18"/>
      <c r="Q457" s="18"/>
      <c r="R457" s="18"/>
      <c r="S457" s="18"/>
      <c r="T457" s="18"/>
      <c r="U457" s="18">
        <f t="shared" si="59"/>
        <v>0</v>
      </c>
      <c r="V457" s="18"/>
      <c r="W457" s="18"/>
      <c r="X457" s="18"/>
      <c r="Y457" s="18"/>
      <c r="Z457" s="18"/>
      <c r="AA457" s="18">
        <f t="shared" si="60"/>
        <v>0</v>
      </c>
      <c r="AB457" s="18"/>
      <c r="AC457" s="18"/>
      <c r="AD457" s="18"/>
      <c r="AE457" s="18"/>
      <c r="AF457" s="18"/>
      <c r="AG457" s="18">
        <f t="shared" si="61"/>
        <v>0</v>
      </c>
      <c r="AH457" s="18"/>
      <c r="AI457" s="18"/>
      <c r="AJ457" s="18"/>
      <c r="AK457" s="18"/>
      <c r="AL457" s="18"/>
      <c r="AM457" s="18">
        <f t="shared" si="62"/>
        <v>0</v>
      </c>
      <c r="AN457" s="18"/>
      <c r="AO457" s="18"/>
      <c r="AP457" s="18">
        <f t="shared" si="56"/>
        <v>0</v>
      </c>
      <c r="AQ457" s="32">
        <f t="shared" si="63"/>
        <v>4</v>
      </c>
    </row>
    <row r="458" spans="1:43" x14ac:dyDescent="0.35">
      <c r="A458" s="126" t="s">
        <v>1126</v>
      </c>
      <c r="B458" s="126" t="s">
        <v>1127</v>
      </c>
      <c r="C458" s="126" t="s">
        <v>1294</v>
      </c>
      <c r="D458" s="128">
        <v>2</v>
      </c>
      <c r="E458" s="128"/>
      <c r="F458" s="128"/>
      <c r="G458" s="128"/>
      <c r="H458" s="128"/>
      <c r="I458" s="18">
        <f t="shared" si="57"/>
        <v>2</v>
      </c>
      <c r="J458" s="128"/>
      <c r="K458" s="128"/>
      <c r="L458" s="128"/>
      <c r="M458" s="128"/>
      <c r="N458" s="128"/>
      <c r="O458" s="18">
        <f t="shared" si="58"/>
        <v>0</v>
      </c>
      <c r="P458" s="18"/>
      <c r="Q458" s="18"/>
      <c r="R458" s="18"/>
      <c r="S458" s="18"/>
      <c r="T458" s="18"/>
      <c r="U458" s="18">
        <f t="shared" si="59"/>
        <v>0</v>
      </c>
      <c r="V458" s="18"/>
      <c r="W458" s="18"/>
      <c r="X458" s="18"/>
      <c r="Y458" s="18"/>
      <c r="Z458" s="18"/>
      <c r="AA458" s="18">
        <f t="shared" si="60"/>
        <v>0</v>
      </c>
      <c r="AB458" s="18"/>
      <c r="AC458" s="18"/>
      <c r="AD458" s="18"/>
      <c r="AE458" s="18"/>
      <c r="AF458" s="18"/>
      <c r="AG458" s="18">
        <f t="shared" si="61"/>
        <v>0</v>
      </c>
      <c r="AH458" s="18"/>
      <c r="AI458" s="18"/>
      <c r="AJ458" s="18"/>
      <c r="AK458" s="18"/>
      <c r="AL458" s="18"/>
      <c r="AM458" s="18">
        <f t="shared" si="62"/>
        <v>0</v>
      </c>
      <c r="AN458" s="18"/>
      <c r="AO458" s="18"/>
      <c r="AP458" s="18">
        <f t="shared" si="56"/>
        <v>0</v>
      </c>
      <c r="AQ458" s="32">
        <f t="shared" si="63"/>
        <v>2</v>
      </c>
    </row>
    <row r="459" spans="1:43" x14ac:dyDescent="0.35">
      <c r="A459" s="126" t="s">
        <v>1128</v>
      </c>
      <c r="B459" s="126" t="s">
        <v>1129</v>
      </c>
      <c r="C459" s="126" t="s">
        <v>1294</v>
      </c>
      <c r="D459" s="128">
        <v>15</v>
      </c>
      <c r="E459" s="128"/>
      <c r="F459" s="128"/>
      <c r="G459" s="128"/>
      <c r="H459" s="128"/>
      <c r="I459" s="18">
        <f t="shared" si="57"/>
        <v>15</v>
      </c>
      <c r="J459" s="128"/>
      <c r="K459" s="128"/>
      <c r="L459" s="128"/>
      <c r="M459" s="128"/>
      <c r="N459" s="128"/>
      <c r="O459" s="18">
        <f t="shared" si="58"/>
        <v>0</v>
      </c>
      <c r="P459" s="18">
        <v>2</v>
      </c>
      <c r="Q459" s="18"/>
      <c r="R459" s="18"/>
      <c r="S459" s="18"/>
      <c r="T459" s="18"/>
      <c r="U459" s="18">
        <f t="shared" si="59"/>
        <v>2</v>
      </c>
      <c r="V459" s="18"/>
      <c r="W459" s="18"/>
      <c r="X459" s="18"/>
      <c r="Y459" s="18"/>
      <c r="Z459" s="18"/>
      <c r="AA459" s="18">
        <f t="shared" si="60"/>
        <v>0</v>
      </c>
      <c r="AB459" s="18"/>
      <c r="AC459" s="18"/>
      <c r="AD459" s="18"/>
      <c r="AE459" s="18"/>
      <c r="AF459" s="18"/>
      <c r="AG459" s="18">
        <f t="shared" si="61"/>
        <v>0</v>
      </c>
      <c r="AH459" s="18"/>
      <c r="AI459" s="18"/>
      <c r="AJ459" s="18"/>
      <c r="AK459" s="18"/>
      <c r="AL459" s="18"/>
      <c r="AM459" s="18">
        <f t="shared" si="62"/>
        <v>0</v>
      </c>
      <c r="AN459" s="18"/>
      <c r="AO459" s="18"/>
      <c r="AP459" s="18">
        <f t="shared" si="56"/>
        <v>0</v>
      </c>
      <c r="AQ459" s="32">
        <f t="shared" si="63"/>
        <v>17</v>
      </c>
    </row>
    <row r="460" spans="1:43" x14ac:dyDescent="0.35">
      <c r="A460" s="126" t="s">
        <v>1130</v>
      </c>
      <c r="B460" s="126" t="s">
        <v>1131</v>
      </c>
      <c r="C460" s="126" t="s">
        <v>1294</v>
      </c>
      <c r="D460" s="128">
        <v>229</v>
      </c>
      <c r="E460" s="128">
        <v>5</v>
      </c>
      <c r="F460" s="128">
        <v>2</v>
      </c>
      <c r="G460" s="128"/>
      <c r="H460" s="128"/>
      <c r="I460" s="18">
        <f t="shared" si="57"/>
        <v>236</v>
      </c>
      <c r="J460" s="128">
        <v>16</v>
      </c>
      <c r="K460" s="128"/>
      <c r="L460" s="128"/>
      <c r="M460" s="128"/>
      <c r="N460" s="128"/>
      <c r="O460" s="18">
        <f t="shared" si="58"/>
        <v>16</v>
      </c>
      <c r="P460" s="18">
        <v>9</v>
      </c>
      <c r="Q460" s="18"/>
      <c r="R460" s="18"/>
      <c r="S460" s="18"/>
      <c r="T460" s="18"/>
      <c r="U460" s="18">
        <f t="shared" si="59"/>
        <v>9</v>
      </c>
      <c r="V460" s="18">
        <v>6</v>
      </c>
      <c r="W460" s="18"/>
      <c r="X460" s="18"/>
      <c r="Y460" s="18"/>
      <c r="Z460" s="18"/>
      <c r="AA460" s="18">
        <f t="shared" si="60"/>
        <v>6</v>
      </c>
      <c r="AB460" s="18">
        <v>20</v>
      </c>
      <c r="AC460" s="18"/>
      <c r="AD460" s="18"/>
      <c r="AE460" s="18"/>
      <c r="AF460" s="18"/>
      <c r="AG460" s="18">
        <f t="shared" si="61"/>
        <v>20</v>
      </c>
      <c r="AH460" s="18">
        <v>2</v>
      </c>
      <c r="AI460" s="18"/>
      <c r="AJ460" s="18"/>
      <c r="AK460" s="18"/>
      <c r="AL460" s="18"/>
      <c r="AM460" s="18">
        <f t="shared" si="62"/>
        <v>2</v>
      </c>
      <c r="AN460" s="18"/>
      <c r="AO460" s="18"/>
      <c r="AP460" s="18">
        <f t="shared" si="56"/>
        <v>0</v>
      </c>
      <c r="AQ460" s="32">
        <f t="shared" si="63"/>
        <v>289</v>
      </c>
    </row>
    <row r="461" spans="1:43" x14ac:dyDescent="0.35">
      <c r="A461" s="126" t="s">
        <v>1132</v>
      </c>
      <c r="B461" s="126" t="s">
        <v>1133</v>
      </c>
      <c r="C461" s="126" t="s">
        <v>1294</v>
      </c>
      <c r="D461" s="128">
        <v>196</v>
      </c>
      <c r="E461" s="128"/>
      <c r="F461" s="128">
        <v>1</v>
      </c>
      <c r="G461" s="128"/>
      <c r="H461" s="128"/>
      <c r="I461" s="18">
        <f t="shared" si="57"/>
        <v>197</v>
      </c>
      <c r="J461" s="128">
        <v>26</v>
      </c>
      <c r="K461" s="128"/>
      <c r="L461" s="128"/>
      <c r="M461" s="128"/>
      <c r="N461" s="128"/>
      <c r="O461" s="18">
        <f t="shared" si="58"/>
        <v>26</v>
      </c>
      <c r="P461" s="18">
        <v>7</v>
      </c>
      <c r="Q461" s="18"/>
      <c r="R461" s="18"/>
      <c r="S461" s="18"/>
      <c r="T461" s="18"/>
      <c r="U461" s="18">
        <f t="shared" si="59"/>
        <v>7</v>
      </c>
      <c r="V461" s="18">
        <v>4</v>
      </c>
      <c r="W461" s="18"/>
      <c r="X461" s="18"/>
      <c r="Y461" s="18"/>
      <c r="Z461" s="18"/>
      <c r="AA461" s="18">
        <f t="shared" si="60"/>
        <v>4</v>
      </c>
      <c r="AB461" s="18">
        <v>23</v>
      </c>
      <c r="AC461" s="18"/>
      <c r="AD461" s="18"/>
      <c r="AE461" s="18"/>
      <c r="AF461" s="18"/>
      <c r="AG461" s="18">
        <f t="shared" si="61"/>
        <v>23</v>
      </c>
      <c r="AH461" s="18">
        <v>19</v>
      </c>
      <c r="AI461" s="18"/>
      <c r="AJ461" s="18"/>
      <c r="AK461" s="18"/>
      <c r="AL461" s="18"/>
      <c r="AM461" s="18">
        <f t="shared" si="62"/>
        <v>19</v>
      </c>
      <c r="AN461" s="18">
        <v>1</v>
      </c>
      <c r="AO461" s="18"/>
      <c r="AP461" s="18">
        <f t="shared" si="56"/>
        <v>1</v>
      </c>
      <c r="AQ461" s="32">
        <f t="shared" si="63"/>
        <v>277</v>
      </c>
    </row>
    <row r="462" spans="1:43" x14ac:dyDescent="0.35">
      <c r="A462" s="126" t="s">
        <v>1134</v>
      </c>
      <c r="B462" s="126" t="s">
        <v>1135</v>
      </c>
      <c r="C462" s="126" t="s">
        <v>1294</v>
      </c>
      <c r="D462" s="128">
        <v>66</v>
      </c>
      <c r="E462" s="128"/>
      <c r="F462" s="128"/>
      <c r="G462" s="128"/>
      <c r="H462" s="128"/>
      <c r="I462" s="18">
        <f t="shared" si="57"/>
        <v>66</v>
      </c>
      <c r="J462" s="128">
        <v>2</v>
      </c>
      <c r="K462" s="128"/>
      <c r="L462" s="128"/>
      <c r="M462" s="128"/>
      <c r="N462" s="128"/>
      <c r="O462" s="18">
        <f t="shared" si="58"/>
        <v>2</v>
      </c>
      <c r="P462" s="18">
        <v>4</v>
      </c>
      <c r="Q462" s="18"/>
      <c r="R462" s="18"/>
      <c r="S462" s="18"/>
      <c r="T462" s="18"/>
      <c r="U462" s="18">
        <f t="shared" si="59"/>
        <v>4</v>
      </c>
      <c r="V462" s="18">
        <v>5</v>
      </c>
      <c r="W462" s="18"/>
      <c r="X462" s="18"/>
      <c r="Y462" s="18"/>
      <c r="Z462" s="18"/>
      <c r="AA462" s="18">
        <f t="shared" si="60"/>
        <v>5</v>
      </c>
      <c r="AB462" s="18">
        <v>13</v>
      </c>
      <c r="AC462" s="18"/>
      <c r="AD462" s="18"/>
      <c r="AE462" s="18"/>
      <c r="AF462" s="18"/>
      <c r="AG462" s="18">
        <f t="shared" si="61"/>
        <v>13</v>
      </c>
      <c r="AH462" s="18">
        <v>2</v>
      </c>
      <c r="AI462" s="18"/>
      <c r="AJ462" s="18"/>
      <c r="AK462" s="18"/>
      <c r="AL462" s="18"/>
      <c r="AM462" s="18">
        <f t="shared" si="62"/>
        <v>2</v>
      </c>
      <c r="AN462" s="18"/>
      <c r="AO462" s="18"/>
      <c r="AP462" s="18">
        <f t="shared" si="56"/>
        <v>0</v>
      </c>
      <c r="AQ462" s="32">
        <f t="shared" si="63"/>
        <v>92</v>
      </c>
    </row>
    <row r="463" spans="1:43" x14ac:dyDescent="0.35">
      <c r="A463" s="126" t="s">
        <v>1136</v>
      </c>
      <c r="B463" s="126" t="s">
        <v>1276</v>
      </c>
      <c r="C463" s="126" t="s">
        <v>1294</v>
      </c>
      <c r="D463" s="128">
        <v>113</v>
      </c>
      <c r="E463" s="128"/>
      <c r="F463" s="128">
        <v>1</v>
      </c>
      <c r="G463" s="128"/>
      <c r="H463" s="128"/>
      <c r="I463" s="18">
        <f t="shared" si="57"/>
        <v>114</v>
      </c>
      <c r="J463" s="128">
        <v>12</v>
      </c>
      <c r="K463" s="128"/>
      <c r="L463" s="128"/>
      <c r="M463" s="128"/>
      <c r="N463" s="128"/>
      <c r="O463" s="18">
        <f t="shared" si="58"/>
        <v>12</v>
      </c>
      <c r="P463" s="18">
        <v>3</v>
      </c>
      <c r="Q463" s="18"/>
      <c r="R463" s="18"/>
      <c r="S463" s="18"/>
      <c r="T463" s="18"/>
      <c r="U463" s="18">
        <f t="shared" si="59"/>
        <v>3</v>
      </c>
      <c r="V463" s="18">
        <v>5</v>
      </c>
      <c r="W463" s="18"/>
      <c r="X463" s="18"/>
      <c r="Y463" s="18"/>
      <c r="Z463" s="18"/>
      <c r="AA463" s="18">
        <f t="shared" si="60"/>
        <v>5</v>
      </c>
      <c r="AB463" s="18">
        <v>15</v>
      </c>
      <c r="AC463" s="18"/>
      <c r="AD463" s="18"/>
      <c r="AE463" s="18"/>
      <c r="AF463" s="18"/>
      <c r="AG463" s="18">
        <f t="shared" si="61"/>
        <v>15</v>
      </c>
      <c r="AH463" s="18">
        <v>2</v>
      </c>
      <c r="AI463" s="18"/>
      <c r="AJ463" s="18"/>
      <c r="AK463" s="18"/>
      <c r="AL463" s="18"/>
      <c r="AM463" s="18">
        <f t="shared" si="62"/>
        <v>2</v>
      </c>
      <c r="AN463" s="18"/>
      <c r="AO463" s="18"/>
      <c r="AP463" s="18">
        <f t="shared" si="56"/>
        <v>0</v>
      </c>
      <c r="AQ463" s="32">
        <f t="shared" si="63"/>
        <v>151</v>
      </c>
    </row>
    <row r="464" spans="1:43" x14ac:dyDescent="0.35">
      <c r="A464" s="126" t="s">
        <v>1137</v>
      </c>
      <c r="B464" s="126" t="s">
        <v>1138</v>
      </c>
      <c r="C464" s="126" t="s">
        <v>1294</v>
      </c>
      <c r="D464" s="128">
        <v>13</v>
      </c>
      <c r="E464" s="128"/>
      <c r="F464" s="128"/>
      <c r="G464" s="128"/>
      <c r="H464" s="128"/>
      <c r="I464" s="18">
        <f t="shared" si="57"/>
        <v>13</v>
      </c>
      <c r="J464" s="128">
        <v>4</v>
      </c>
      <c r="K464" s="128"/>
      <c r="L464" s="128"/>
      <c r="M464" s="128"/>
      <c r="N464" s="128"/>
      <c r="O464" s="18">
        <f t="shared" si="58"/>
        <v>4</v>
      </c>
      <c r="P464" s="18">
        <v>1</v>
      </c>
      <c r="Q464" s="18"/>
      <c r="R464" s="18"/>
      <c r="S464" s="18"/>
      <c r="T464" s="18"/>
      <c r="U464" s="18">
        <f t="shared" si="59"/>
        <v>1</v>
      </c>
      <c r="V464" s="18"/>
      <c r="W464" s="18"/>
      <c r="X464" s="18"/>
      <c r="Y464" s="18"/>
      <c r="Z464" s="18"/>
      <c r="AA464" s="18">
        <f t="shared" si="60"/>
        <v>0</v>
      </c>
      <c r="AB464" s="18">
        <v>5</v>
      </c>
      <c r="AC464" s="18"/>
      <c r="AD464" s="18"/>
      <c r="AE464" s="18"/>
      <c r="AF464" s="18"/>
      <c r="AG464" s="18">
        <f t="shared" si="61"/>
        <v>5</v>
      </c>
      <c r="AH464" s="18">
        <v>1</v>
      </c>
      <c r="AI464" s="18"/>
      <c r="AJ464" s="18"/>
      <c r="AK464" s="18"/>
      <c r="AL464" s="18"/>
      <c r="AM464" s="18">
        <f t="shared" si="62"/>
        <v>1</v>
      </c>
      <c r="AN464" s="18"/>
      <c r="AO464" s="18"/>
      <c r="AP464" s="18">
        <f t="shared" si="56"/>
        <v>0</v>
      </c>
      <c r="AQ464" s="32">
        <f t="shared" si="63"/>
        <v>24</v>
      </c>
    </row>
    <row r="465" spans="1:43" x14ac:dyDescent="0.35">
      <c r="A465" s="126" t="s">
        <v>1139</v>
      </c>
      <c r="B465" s="126" t="s">
        <v>1140</v>
      </c>
      <c r="C465" s="126" t="s">
        <v>1294</v>
      </c>
      <c r="D465" s="128">
        <v>65</v>
      </c>
      <c r="E465" s="128"/>
      <c r="F465" s="128"/>
      <c r="G465" s="128"/>
      <c r="H465" s="128"/>
      <c r="I465" s="18">
        <f t="shared" si="57"/>
        <v>65</v>
      </c>
      <c r="J465" s="128">
        <v>4</v>
      </c>
      <c r="K465" s="128"/>
      <c r="L465" s="128"/>
      <c r="M465" s="128"/>
      <c r="N465" s="128"/>
      <c r="O465" s="18">
        <f t="shared" si="58"/>
        <v>4</v>
      </c>
      <c r="P465" s="18">
        <v>2</v>
      </c>
      <c r="Q465" s="18"/>
      <c r="R465" s="18"/>
      <c r="S465" s="18"/>
      <c r="T465" s="18"/>
      <c r="U465" s="18">
        <f t="shared" si="59"/>
        <v>2</v>
      </c>
      <c r="V465" s="18">
        <v>1</v>
      </c>
      <c r="W465" s="18"/>
      <c r="X465" s="18"/>
      <c r="Y465" s="18"/>
      <c r="Z465" s="18"/>
      <c r="AA465" s="18">
        <f t="shared" si="60"/>
        <v>1</v>
      </c>
      <c r="AB465" s="18">
        <v>10</v>
      </c>
      <c r="AC465" s="18"/>
      <c r="AD465" s="18"/>
      <c r="AE465" s="18"/>
      <c r="AF465" s="18"/>
      <c r="AG465" s="18">
        <f t="shared" si="61"/>
        <v>10</v>
      </c>
      <c r="AH465" s="18">
        <v>2</v>
      </c>
      <c r="AI465" s="18"/>
      <c r="AJ465" s="18"/>
      <c r="AK465" s="18"/>
      <c r="AL465" s="18"/>
      <c r="AM465" s="18">
        <f t="shared" si="62"/>
        <v>2</v>
      </c>
      <c r="AN465" s="18"/>
      <c r="AO465" s="18"/>
      <c r="AP465" s="18">
        <f t="shared" si="56"/>
        <v>0</v>
      </c>
      <c r="AQ465" s="32">
        <f t="shared" si="63"/>
        <v>84</v>
      </c>
    </row>
    <row r="466" spans="1:43" x14ac:dyDescent="0.35">
      <c r="A466" s="126" t="s">
        <v>1141</v>
      </c>
      <c r="B466" s="126" t="s">
        <v>1142</v>
      </c>
      <c r="C466" s="126" t="s">
        <v>1294</v>
      </c>
      <c r="D466" s="128">
        <v>137</v>
      </c>
      <c r="E466" s="128"/>
      <c r="F466" s="128"/>
      <c r="G466" s="128"/>
      <c r="H466" s="128"/>
      <c r="I466" s="18">
        <f t="shared" si="57"/>
        <v>137</v>
      </c>
      <c r="J466" s="128">
        <v>17</v>
      </c>
      <c r="K466" s="128"/>
      <c r="L466" s="128"/>
      <c r="M466" s="128"/>
      <c r="N466" s="128"/>
      <c r="O466" s="18">
        <f t="shared" si="58"/>
        <v>17</v>
      </c>
      <c r="P466" s="18">
        <v>16</v>
      </c>
      <c r="Q466" s="18"/>
      <c r="R466" s="18"/>
      <c r="S466" s="18"/>
      <c r="T466" s="18"/>
      <c r="U466" s="18">
        <f t="shared" si="59"/>
        <v>16</v>
      </c>
      <c r="V466" s="18">
        <v>5</v>
      </c>
      <c r="W466" s="18"/>
      <c r="X466" s="18"/>
      <c r="Y466" s="18"/>
      <c r="Z466" s="18"/>
      <c r="AA466" s="18">
        <f t="shared" si="60"/>
        <v>5</v>
      </c>
      <c r="AB466" s="18">
        <v>26</v>
      </c>
      <c r="AC466" s="18"/>
      <c r="AD466" s="18"/>
      <c r="AE466" s="18"/>
      <c r="AF466" s="18"/>
      <c r="AG466" s="18">
        <f t="shared" si="61"/>
        <v>26</v>
      </c>
      <c r="AH466" s="18">
        <v>5</v>
      </c>
      <c r="AI466" s="18"/>
      <c r="AJ466" s="18"/>
      <c r="AK466" s="18"/>
      <c r="AL466" s="18"/>
      <c r="AM466" s="18">
        <f t="shared" si="62"/>
        <v>5</v>
      </c>
      <c r="AN466" s="18"/>
      <c r="AO466" s="18"/>
      <c r="AP466" s="18">
        <f t="shared" si="56"/>
        <v>0</v>
      </c>
      <c r="AQ466" s="32">
        <f t="shared" si="63"/>
        <v>206</v>
      </c>
    </row>
    <row r="467" spans="1:43" x14ac:dyDescent="0.35">
      <c r="A467" s="126" t="s">
        <v>1143</v>
      </c>
      <c r="B467" s="126" t="s">
        <v>1144</v>
      </c>
      <c r="C467" s="126" t="s">
        <v>1294</v>
      </c>
      <c r="D467" s="128">
        <v>90</v>
      </c>
      <c r="E467" s="128">
        <v>4</v>
      </c>
      <c r="F467" s="128"/>
      <c r="G467" s="128"/>
      <c r="H467" s="128"/>
      <c r="I467" s="18">
        <f t="shared" si="57"/>
        <v>94</v>
      </c>
      <c r="J467" s="128">
        <v>3</v>
      </c>
      <c r="K467" s="128"/>
      <c r="L467" s="128"/>
      <c r="M467" s="128"/>
      <c r="N467" s="128"/>
      <c r="O467" s="18">
        <f t="shared" si="58"/>
        <v>3</v>
      </c>
      <c r="P467" s="18">
        <v>1</v>
      </c>
      <c r="Q467" s="18">
        <v>1</v>
      </c>
      <c r="R467" s="18"/>
      <c r="S467" s="18"/>
      <c r="T467" s="18"/>
      <c r="U467" s="18">
        <f t="shared" si="59"/>
        <v>2</v>
      </c>
      <c r="V467" s="18"/>
      <c r="W467" s="18"/>
      <c r="X467" s="18"/>
      <c r="Y467" s="18"/>
      <c r="Z467" s="18"/>
      <c r="AA467" s="18">
        <f t="shared" si="60"/>
        <v>0</v>
      </c>
      <c r="AB467" s="18">
        <v>13</v>
      </c>
      <c r="AC467" s="18"/>
      <c r="AD467" s="18"/>
      <c r="AE467" s="18"/>
      <c r="AF467" s="18"/>
      <c r="AG467" s="18">
        <f t="shared" si="61"/>
        <v>13</v>
      </c>
      <c r="AH467" s="18">
        <v>2</v>
      </c>
      <c r="AI467" s="18"/>
      <c r="AJ467" s="18"/>
      <c r="AK467" s="18"/>
      <c r="AL467" s="18"/>
      <c r="AM467" s="18">
        <f t="shared" si="62"/>
        <v>2</v>
      </c>
      <c r="AN467" s="18"/>
      <c r="AO467" s="18"/>
      <c r="AP467" s="18">
        <f t="shared" si="56"/>
        <v>0</v>
      </c>
      <c r="AQ467" s="32">
        <f t="shared" si="63"/>
        <v>114</v>
      </c>
    </row>
    <row r="468" spans="1:43" x14ac:dyDescent="0.35">
      <c r="A468" s="126" t="s">
        <v>1145</v>
      </c>
      <c r="B468" s="126" t="s">
        <v>1146</v>
      </c>
      <c r="C468" s="126" t="s">
        <v>1294</v>
      </c>
      <c r="D468" s="128">
        <v>2735</v>
      </c>
      <c r="E468" s="128">
        <v>8</v>
      </c>
      <c r="F468" s="128">
        <v>1</v>
      </c>
      <c r="G468" s="128">
        <v>1</v>
      </c>
      <c r="H468" s="128"/>
      <c r="I468" s="18">
        <f t="shared" si="57"/>
        <v>2745</v>
      </c>
      <c r="J468" s="128">
        <v>290</v>
      </c>
      <c r="K468" s="128"/>
      <c r="L468" s="128"/>
      <c r="M468" s="128"/>
      <c r="N468" s="128"/>
      <c r="O468" s="18">
        <f t="shared" si="58"/>
        <v>290</v>
      </c>
      <c r="P468" s="18">
        <v>250</v>
      </c>
      <c r="Q468" s="18"/>
      <c r="R468" s="18"/>
      <c r="S468" s="18"/>
      <c r="T468" s="18"/>
      <c r="U468" s="18">
        <f t="shared" si="59"/>
        <v>250</v>
      </c>
      <c r="V468" s="18">
        <v>96</v>
      </c>
      <c r="W468" s="18"/>
      <c r="X468" s="18"/>
      <c r="Y468" s="18"/>
      <c r="Z468" s="18"/>
      <c r="AA468" s="18">
        <f t="shared" si="60"/>
        <v>96</v>
      </c>
      <c r="AB468" s="18">
        <v>620</v>
      </c>
      <c r="AC468" s="18"/>
      <c r="AD468" s="18"/>
      <c r="AE468" s="18"/>
      <c r="AF468" s="18"/>
      <c r="AG468" s="18">
        <f t="shared" si="61"/>
        <v>620</v>
      </c>
      <c r="AH468" s="18">
        <v>142</v>
      </c>
      <c r="AI468" s="18"/>
      <c r="AJ468" s="18"/>
      <c r="AK468" s="18"/>
      <c r="AL468" s="18"/>
      <c r="AM468" s="18">
        <f t="shared" si="62"/>
        <v>142</v>
      </c>
      <c r="AN468" s="18"/>
      <c r="AO468" s="18"/>
      <c r="AP468" s="18">
        <f t="shared" si="56"/>
        <v>0</v>
      </c>
      <c r="AQ468" s="32">
        <f t="shared" si="63"/>
        <v>4143</v>
      </c>
    </row>
    <row r="469" spans="1:43" x14ac:dyDescent="0.35">
      <c r="A469" s="126" t="s">
        <v>1147</v>
      </c>
      <c r="B469" s="126" t="s">
        <v>1148</v>
      </c>
      <c r="C469" s="126" t="s">
        <v>1294</v>
      </c>
      <c r="D469" s="128">
        <v>38</v>
      </c>
      <c r="E469" s="128">
        <v>7</v>
      </c>
      <c r="F469" s="128">
        <v>3</v>
      </c>
      <c r="G469" s="128">
        <v>2</v>
      </c>
      <c r="H469" s="128"/>
      <c r="I469" s="18">
        <f t="shared" si="57"/>
        <v>50</v>
      </c>
      <c r="J469" s="128">
        <v>13</v>
      </c>
      <c r="K469" s="128"/>
      <c r="L469" s="128"/>
      <c r="M469" s="128"/>
      <c r="N469" s="128"/>
      <c r="O469" s="18">
        <f t="shared" si="58"/>
        <v>13</v>
      </c>
      <c r="P469" s="18">
        <v>7</v>
      </c>
      <c r="Q469" s="18">
        <v>1</v>
      </c>
      <c r="R469" s="18"/>
      <c r="S469" s="18"/>
      <c r="T469" s="18"/>
      <c r="U469" s="18">
        <f t="shared" si="59"/>
        <v>8</v>
      </c>
      <c r="V469" s="18">
        <v>6</v>
      </c>
      <c r="W469" s="18"/>
      <c r="X469" s="18"/>
      <c r="Y469" s="18"/>
      <c r="Z469" s="18"/>
      <c r="AA469" s="18">
        <f t="shared" si="60"/>
        <v>6</v>
      </c>
      <c r="AB469" s="18">
        <v>9</v>
      </c>
      <c r="AC469" s="18"/>
      <c r="AD469" s="18"/>
      <c r="AE469" s="18"/>
      <c r="AF469" s="18"/>
      <c r="AG469" s="18">
        <f t="shared" si="61"/>
        <v>9</v>
      </c>
      <c r="AH469" s="18">
        <v>4</v>
      </c>
      <c r="AI469" s="18"/>
      <c r="AJ469" s="18"/>
      <c r="AK469" s="18"/>
      <c r="AL469" s="18"/>
      <c r="AM469" s="18">
        <f t="shared" si="62"/>
        <v>4</v>
      </c>
      <c r="AN469" s="18"/>
      <c r="AO469" s="18"/>
      <c r="AP469" s="18">
        <f t="shared" si="56"/>
        <v>0</v>
      </c>
      <c r="AQ469" s="32">
        <f t="shared" si="63"/>
        <v>90</v>
      </c>
    </row>
    <row r="470" spans="1:43" x14ac:dyDescent="0.35">
      <c r="A470" s="126" t="s">
        <v>1149</v>
      </c>
      <c r="B470" s="126" t="s">
        <v>1150</v>
      </c>
      <c r="C470" s="126" t="s">
        <v>1294</v>
      </c>
      <c r="D470" s="128">
        <v>585</v>
      </c>
      <c r="E470" s="128">
        <v>4</v>
      </c>
      <c r="F470" s="128"/>
      <c r="G470" s="128"/>
      <c r="H470" s="128"/>
      <c r="I470" s="18">
        <f t="shared" si="57"/>
        <v>589</v>
      </c>
      <c r="J470" s="128">
        <v>15</v>
      </c>
      <c r="K470" s="128"/>
      <c r="L470" s="128"/>
      <c r="M470" s="128"/>
      <c r="N470" s="128"/>
      <c r="O470" s="18">
        <f t="shared" si="58"/>
        <v>15</v>
      </c>
      <c r="P470" s="18">
        <v>20</v>
      </c>
      <c r="Q470" s="18"/>
      <c r="R470" s="18"/>
      <c r="S470" s="18"/>
      <c r="T470" s="18"/>
      <c r="U470" s="18">
        <f t="shared" si="59"/>
        <v>20</v>
      </c>
      <c r="V470" s="18">
        <v>11</v>
      </c>
      <c r="W470" s="18"/>
      <c r="X470" s="18"/>
      <c r="Y470" s="18"/>
      <c r="Z470" s="18"/>
      <c r="AA470" s="18">
        <f t="shared" si="60"/>
        <v>11</v>
      </c>
      <c r="AB470" s="18">
        <v>134</v>
      </c>
      <c r="AC470" s="18"/>
      <c r="AD470" s="18"/>
      <c r="AE470" s="18"/>
      <c r="AF470" s="18"/>
      <c r="AG470" s="18">
        <f t="shared" si="61"/>
        <v>134</v>
      </c>
      <c r="AH470" s="18">
        <v>6</v>
      </c>
      <c r="AI470" s="18"/>
      <c r="AJ470" s="18"/>
      <c r="AK470" s="18"/>
      <c r="AL470" s="18"/>
      <c r="AM470" s="18">
        <f t="shared" si="62"/>
        <v>6</v>
      </c>
      <c r="AN470" s="18"/>
      <c r="AO470" s="18"/>
      <c r="AP470" s="18">
        <f t="shared" si="56"/>
        <v>0</v>
      </c>
      <c r="AQ470" s="32">
        <f t="shared" si="63"/>
        <v>775</v>
      </c>
    </row>
    <row r="471" spans="1:43" x14ac:dyDescent="0.35">
      <c r="A471" s="126" t="s">
        <v>1151</v>
      </c>
      <c r="B471" s="126" t="s">
        <v>255</v>
      </c>
      <c r="C471" s="126" t="s">
        <v>1294</v>
      </c>
      <c r="D471" s="128">
        <v>13</v>
      </c>
      <c r="E471" s="128"/>
      <c r="F471" s="128"/>
      <c r="G471" s="128"/>
      <c r="H471" s="128"/>
      <c r="I471" s="18">
        <f t="shared" si="57"/>
        <v>13</v>
      </c>
      <c r="J471" s="128"/>
      <c r="K471" s="128"/>
      <c r="L471" s="128"/>
      <c r="M471" s="128"/>
      <c r="N471" s="128"/>
      <c r="O471" s="18">
        <f t="shared" si="58"/>
        <v>0</v>
      </c>
      <c r="P471" s="18">
        <v>1</v>
      </c>
      <c r="Q471" s="18"/>
      <c r="R471" s="18"/>
      <c r="S471" s="18"/>
      <c r="T471" s="18"/>
      <c r="U471" s="18">
        <f t="shared" si="59"/>
        <v>1</v>
      </c>
      <c r="V471" s="18"/>
      <c r="W471" s="18"/>
      <c r="X471" s="18"/>
      <c r="Y471" s="18"/>
      <c r="Z471" s="18"/>
      <c r="AA471" s="18">
        <f t="shared" si="60"/>
        <v>0</v>
      </c>
      <c r="AB471" s="18"/>
      <c r="AC471" s="18"/>
      <c r="AD471" s="18"/>
      <c r="AE471" s="18"/>
      <c r="AF471" s="18"/>
      <c r="AG471" s="18">
        <f t="shared" si="61"/>
        <v>0</v>
      </c>
      <c r="AH471" s="18"/>
      <c r="AI471" s="18"/>
      <c r="AJ471" s="18"/>
      <c r="AK471" s="18"/>
      <c r="AL471" s="18"/>
      <c r="AM471" s="18">
        <f t="shared" si="62"/>
        <v>0</v>
      </c>
      <c r="AN471" s="18"/>
      <c r="AO471" s="18"/>
      <c r="AP471" s="18">
        <f t="shared" si="56"/>
        <v>0</v>
      </c>
      <c r="AQ471" s="32">
        <f t="shared" si="63"/>
        <v>14</v>
      </c>
    </row>
    <row r="472" spans="1:43" x14ac:dyDescent="0.35">
      <c r="A472" s="126" t="s">
        <v>1152</v>
      </c>
      <c r="B472" s="126" t="s">
        <v>1153</v>
      </c>
      <c r="C472" s="126" t="s">
        <v>1294</v>
      </c>
      <c r="D472" s="128">
        <v>1</v>
      </c>
      <c r="E472" s="128"/>
      <c r="F472" s="128"/>
      <c r="G472" s="128"/>
      <c r="H472" s="128"/>
      <c r="I472" s="18">
        <f t="shared" si="57"/>
        <v>1</v>
      </c>
      <c r="J472" s="128"/>
      <c r="K472" s="128"/>
      <c r="L472" s="128"/>
      <c r="M472" s="128"/>
      <c r="N472" s="128"/>
      <c r="O472" s="18">
        <f t="shared" si="58"/>
        <v>0</v>
      </c>
      <c r="P472" s="18"/>
      <c r="Q472" s="18"/>
      <c r="R472" s="18"/>
      <c r="S472" s="18"/>
      <c r="T472" s="18"/>
      <c r="U472" s="18">
        <f t="shared" si="59"/>
        <v>0</v>
      </c>
      <c r="V472" s="18"/>
      <c r="W472" s="18"/>
      <c r="X472" s="18"/>
      <c r="Y472" s="18"/>
      <c r="Z472" s="18"/>
      <c r="AA472" s="18">
        <f t="shared" si="60"/>
        <v>0</v>
      </c>
      <c r="AB472" s="18"/>
      <c r="AC472" s="18"/>
      <c r="AD472" s="18"/>
      <c r="AE472" s="18"/>
      <c r="AF472" s="18"/>
      <c r="AG472" s="18">
        <f t="shared" si="61"/>
        <v>0</v>
      </c>
      <c r="AH472" s="18"/>
      <c r="AI472" s="18"/>
      <c r="AJ472" s="18"/>
      <c r="AK472" s="18"/>
      <c r="AL472" s="18"/>
      <c r="AM472" s="18">
        <f t="shared" si="62"/>
        <v>0</v>
      </c>
      <c r="AN472" s="18"/>
      <c r="AO472" s="18"/>
      <c r="AP472" s="18">
        <f t="shared" si="56"/>
        <v>0</v>
      </c>
      <c r="AQ472" s="32">
        <f t="shared" si="63"/>
        <v>1</v>
      </c>
    </row>
    <row r="473" spans="1:43" x14ac:dyDescent="0.35">
      <c r="A473" s="126" t="s">
        <v>1154</v>
      </c>
      <c r="B473" s="126" t="s">
        <v>1155</v>
      </c>
      <c r="C473" s="126" t="s">
        <v>1294</v>
      </c>
      <c r="D473" s="128">
        <v>10</v>
      </c>
      <c r="E473" s="128"/>
      <c r="F473" s="128"/>
      <c r="G473" s="128"/>
      <c r="H473" s="128"/>
      <c r="I473" s="18">
        <f t="shared" si="57"/>
        <v>10</v>
      </c>
      <c r="J473" s="128"/>
      <c r="K473" s="128"/>
      <c r="L473" s="128"/>
      <c r="M473" s="128"/>
      <c r="N473" s="128"/>
      <c r="O473" s="18">
        <f t="shared" si="58"/>
        <v>0</v>
      </c>
      <c r="P473" s="18"/>
      <c r="Q473" s="18"/>
      <c r="R473" s="18"/>
      <c r="S473" s="18"/>
      <c r="T473" s="18"/>
      <c r="U473" s="18">
        <f t="shared" si="59"/>
        <v>0</v>
      </c>
      <c r="V473" s="18"/>
      <c r="W473" s="18"/>
      <c r="X473" s="18"/>
      <c r="Y473" s="18"/>
      <c r="Z473" s="18"/>
      <c r="AA473" s="18">
        <f t="shared" si="60"/>
        <v>0</v>
      </c>
      <c r="AB473" s="18"/>
      <c r="AC473" s="18"/>
      <c r="AD473" s="18"/>
      <c r="AE473" s="18"/>
      <c r="AF473" s="18"/>
      <c r="AG473" s="18">
        <f t="shared" si="61"/>
        <v>0</v>
      </c>
      <c r="AH473" s="18"/>
      <c r="AI473" s="18"/>
      <c r="AJ473" s="18"/>
      <c r="AK473" s="18"/>
      <c r="AL473" s="18"/>
      <c r="AM473" s="18">
        <f t="shared" si="62"/>
        <v>0</v>
      </c>
      <c r="AN473" s="18"/>
      <c r="AO473" s="18"/>
      <c r="AP473" s="18">
        <f t="shared" si="56"/>
        <v>0</v>
      </c>
      <c r="AQ473" s="32">
        <f t="shared" si="63"/>
        <v>10</v>
      </c>
    </row>
    <row r="474" spans="1:43" x14ac:dyDescent="0.35">
      <c r="A474" s="126" t="s">
        <v>1204</v>
      </c>
      <c r="B474" s="126" t="s">
        <v>67</v>
      </c>
      <c r="C474" s="126" t="s">
        <v>1294</v>
      </c>
      <c r="D474" s="128"/>
      <c r="E474" s="128"/>
      <c r="F474" s="128"/>
      <c r="G474" s="128"/>
      <c r="H474" s="128"/>
      <c r="I474" s="18">
        <f t="shared" si="57"/>
        <v>0</v>
      </c>
      <c r="J474" s="128"/>
      <c r="K474" s="128"/>
      <c r="L474" s="128"/>
      <c r="M474" s="128"/>
      <c r="N474" s="128"/>
      <c r="O474" s="18">
        <f t="shared" si="58"/>
        <v>0</v>
      </c>
      <c r="P474" s="18">
        <v>1</v>
      </c>
      <c r="Q474" s="18"/>
      <c r="R474" s="18"/>
      <c r="S474" s="18"/>
      <c r="T474" s="18"/>
      <c r="U474" s="18">
        <f t="shared" si="59"/>
        <v>1</v>
      </c>
      <c r="V474" s="18"/>
      <c r="W474" s="18"/>
      <c r="X474" s="18"/>
      <c r="Y474" s="18"/>
      <c r="Z474" s="18"/>
      <c r="AA474" s="18">
        <f t="shared" si="60"/>
        <v>0</v>
      </c>
      <c r="AB474" s="18"/>
      <c r="AC474" s="18"/>
      <c r="AD474" s="18"/>
      <c r="AE474" s="18"/>
      <c r="AF474" s="18"/>
      <c r="AG474" s="18">
        <f t="shared" si="61"/>
        <v>0</v>
      </c>
      <c r="AH474" s="18"/>
      <c r="AI474" s="18"/>
      <c r="AJ474" s="18"/>
      <c r="AK474" s="18"/>
      <c r="AL474" s="18"/>
      <c r="AM474" s="18">
        <f t="shared" si="62"/>
        <v>0</v>
      </c>
      <c r="AN474" s="18"/>
      <c r="AO474" s="18"/>
      <c r="AP474" s="18">
        <f t="shared" si="56"/>
        <v>0</v>
      </c>
      <c r="AQ474" s="32">
        <f t="shared" si="63"/>
        <v>1</v>
      </c>
    </row>
    <row r="475" spans="1:43" x14ac:dyDescent="0.35">
      <c r="A475" s="126" t="s">
        <v>1193</v>
      </c>
      <c r="B475" s="126" t="s">
        <v>1193</v>
      </c>
      <c r="C475" s="126" t="s">
        <v>1193</v>
      </c>
      <c r="D475" s="128"/>
      <c r="E475" s="128"/>
      <c r="F475" s="128"/>
      <c r="G475" s="128"/>
      <c r="H475" s="128">
        <v>7</v>
      </c>
      <c r="I475" s="18">
        <f t="shared" si="57"/>
        <v>7</v>
      </c>
      <c r="J475" s="128"/>
      <c r="K475" s="128"/>
      <c r="L475" s="128"/>
      <c r="M475" s="128"/>
      <c r="N475" s="128"/>
      <c r="O475" s="18">
        <f t="shared" si="58"/>
        <v>0</v>
      </c>
      <c r="P475" s="18"/>
      <c r="Q475" s="18"/>
      <c r="R475" s="18"/>
      <c r="S475" s="18"/>
      <c r="T475" s="18"/>
      <c r="U475" s="18">
        <f t="shared" si="59"/>
        <v>0</v>
      </c>
      <c r="V475" s="18"/>
      <c r="W475" s="18"/>
      <c r="X475" s="18"/>
      <c r="Y475" s="18"/>
      <c r="Z475" s="18"/>
      <c r="AA475" s="18">
        <f t="shared" si="60"/>
        <v>0</v>
      </c>
      <c r="AB475" s="18"/>
      <c r="AC475" s="18"/>
      <c r="AD475" s="18"/>
      <c r="AE475" s="18"/>
      <c r="AF475" s="18"/>
      <c r="AG475" s="18">
        <f t="shared" si="61"/>
        <v>0</v>
      </c>
      <c r="AH475" s="18"/>
      <c r="AI475" s="18"/>
      <c r="AJ475" s="18"/>
      <c r="AK475" s="18"/>
      <c r="AL475" s="18"/>
      <c r="AM475" s="18">
        <f t="shared" si="62"/>
        <v>0</v>
      </c>
      <c r="AN475" s="18"/>
      <c r="AO475" s="18"/>
      <c r="AP475" s="18">
        <f t="shared" si="56"/>
        <v>0</v>
      </c>
      <c r="AQ475" s="32">
        <f t="shared" si="63"/>
        <v>7</v>
      </c>
    </row>
    <row r="476" spans="1:43" x14ac:dyDescent="0.35">
      <c r="A476" s="126" t="s">
        <v>328</v>
      </c>
      <c r="B476" s="126" t="s">
        <v>68</v>
      </c>
      <c r="C476" s="126" t="s">
        <v>1193</v>
      </c>
      <c r="D476" s="128"/>
      <c r="E476" s="128"/>
      <c r="F476" s="128"/>
      <c r="G476" s="128"/>
      <c r="H476" s="128">
        <v>140</v>
      </c>
      <c r="I476" s="18">
        <f t="shared" si="57"/>
        <v>140</v>
      </c>
      <c r="J476" s="128"/>
      <c r="K476" s="128"/>
      <c r="L476" s="128"/>
      <c r="M476" s="128"/>
      <c r="N476" s="128">
        <v>12</v>
      </c>
      <c r="O476" s="18">
        <f t="shared" si="58"/>
        <v>12</v>
      </c>
      <c r="P476" s="18"/>
      <c r="Q476" s="18"/>
      <c r="R476" s="18"/>
      <c r="S476" s="18"/>
      <c r="T476" s="18">
        <v>4</v>
      </c>
      <c r="U476" s="18">
        <f t="shared" si="59"/>
        <v>4</v>
      </c>
      <c r="V476" s="18"/>
      <c r="W476" s="18"/>
      <c r="X476" s="18"/>
      <c r="Y476" s="18"/>
      <c r="Z476" s="18">
        <v>3</v>
      </c>
      <c r="AA476" s="18">
        <f t="shared" si="60"/>
        <v>3</v>
      </c>
      <c r="AB476" s="18"/>
      <c r="AC476" s="18"/>
      <c r="AD476" s="18"/>
      <c r="AE476" s="18"/>
      <c r="AF476" s="18">
        <v>11</v>
      </c>
      <c r="AG476" s="18">
        <f t="shared" si="61"/>
        <v>11</v>
      </c>
      <c r="AH476" s="18"/>
      <c r="AI476" s="18"/>
      <c r="AJ476" s="18"/>
      <c r="AK476" s="18"/>
      <c r="AL476" s="18">
        <v>1</v>
      </c>
      <c r="AM476" s="18">
        <f t="shared" si="62"/>
        <v>1</v>
      </c>
      <c r="AN476" s="18"/>
      <c r="AO476" s="18"/>
      <c r="AP476" s="18">
        <f t="shared" si="56"/>
        <v>0</v>
      </c>
      <c r="AQ476" s="32">
        <f t="shared" si="63"/>
        <v>171</v>
      </c>
    </row>
    <row r="477" spans="1:43" x14ac:dyDescent="0.35">
      <c r="A477" s="59" t="s">
        <v>16</v>
      </c>
      <c r="B477" s="59"/>
      <c r="C477" s="133"/>
      <c r="D477" s="33">
        <f>SUM(D5:D476)</f>
        <v>108876</v>
      </c>
      <c r="E477" s="33">
        <f>SUM(E5:E476)</f>
        <v>7083</v>
      </c>
      <c r="F477" s="33">
        <f>SUM(F5:F476)</f>
        <v>1700</v>
      </c>
      <c r="G477" s="33">
        <f>SUM(G5:G476)</f>
        <v>635</v>
      </c>
      <c r="H477" s="33">
        <f>SUM(H5:H476)</f>
        <v>147</v>
      </c>
      <c r="I477" s="33">
        <f>SUM(I5:I476)</f>
        <v>118441</v>
      </c>
      <c r="J477" s="33">
        <f>SUM(J5:J476)</f>
        <v>9218</v>
      </c>
      <c r="K477" s="33">
        <f>SUM(K5:K476)</f>
        <v>194</v>
      </c>
      <c r="L477" s="33">
        <f>SUM(L5:L476)</f>
        <v>30</v>
      </c>
      <c r="M477" s="33">
        <f>SUM(M5:M476)</f>
        <v>6</v>
      </c>
      <c r="N477" s="33">
        <f>SUM(N5:N476)</f>
        <v>12</v>
      </c>
      <c r="O477" s="33">
        <f>SUM(O5:O476)</f>
        <v>9460</v>
      </c>
      <c r="P477" s="33">
        <f>SUM(P5:P476)</f>
        <v>5990</v>
      </c>
      <c r="Q477" s="33">
        <f>SUM(Q5:Q476)</f>
        <v>221</v>
      </c>
      <c r="R477" s="33">
        <f>SUM(R5:R476)</f>
        <v>53</v>
      </c>
      <c r="S477" s="33">
        <f>SUM(S5:S476)</f>
        <v>5</v>
      </c>
      <c r="T477" s="33">
        <f>SUM(T5:T476)</f>
        <v>4</v>
      </c>
      <c r="U477" s="33">
        <f>SUM(U5:U476)</f>
        <v>6273</v>
      </c>
      <c r="V477" s="33">
        <f>SUM(V5:V476)</f>
        <v>3464</v>
      </c>
      <c r="W477" s="33">
        <f>SUM(W5:W476)</f>
        <v>97</v>
      </c>
      <c r="X477" s="33">
        <f>SUM(X5:X476)</f>
        <v>32</v>
      </c>
      <c r="Y477" s="33">
        <f>SUM(Y5:Y476)</f>
        <v>6</v>
      </c>
      <c r="Z477" s="33">
        <f>SUM(Z5:Z476)</f>
        <v>3</v>
      </c>
      <c r="AA477" s="33">
        <f>SUM(AA5:AA476)</f>
        <v>3602</v>
      </c>
      <c r="AB477" s="33">
        <f>SUM(AB5:AB476)</f>
        <v>15917</v>
      </c>
      <c r="AC477" s="33">
        <f>SUM(AC5:AC476)</f>
        <v>511</v>
      </c>
      <c r="AD477" s="33">
        <f>SUM(AD5:AD476)</f>
        <v>131</v>
      </c>
      <c r="AE477" s="33">
        <f>SUM(AE5:AE476)</f>
        <v>34</v>
      </c>
      <c r="AF477" s="33">
        <f>SUM(AF5:AF476)</f>
        <v>11</v>
      </c>
      <c r="AG477" s="33">
        <f>SUM(AG5:AG476)</f>
        <v>16604</v>
      </c>
      <c r="AH477" s="33">
        <f>SUM(AH5:AH476)</f>
        <v>4548</v>
      </c>
      <c r="AI477" s="33">
        <f>SUM(AI5:AI476)</f>
        <v>68</v>
      </c>
      <c r="AJ477" s="33">
        <f>SUM(AJ5:AJ476)</f>
        <v>7</v>
      </c>
      <c r="AK477" s="33">
        <f>SUM(AK5:AK476)</f>
        <v>2</v>
      </c>
      <c r="AL477" s="33">
        <f>SUM(AL5:AL476)</f>
        <v>1</v>
      </c>
      <c r="AM477" s="33">
        <f>SUM(AM5:AM476)</f>
        <v>4626</v>
      </c>
      <c r="AN477" s="33">
        <f>SUM(AN5:AN476)</f>
        <v>2</v>
      </c>
      <c r="AO477" s="33">
        <f>SUM(AO5:AO476)</f>
        <v>1</v>
      </c>
      <c r="AP477" s="33">
        <f>SUM(AP5:AP476)</f>
        <v>3</v>
      </c>
      <c r="AQ477" s="33">
        <f>SUM(AQ5:AQ476)</f>
        <v>159009</v>
      </c>
    </row>
    <row r="479" spans="1:43" x14ac:dyDescent="0.35">
      <c r="A479" t="s">
        <v>1356</v>
      </c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</row>
    <row r="480" spans="1:43" x14ac:dyDescent="0.35">
      <c r="A480" t="s">
        <v>1288</v>
      </c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</row>
    <row r="481" spans="1:43" ht="75.75" customHeight="1" x14ac:dyDescent="0.35">
      <c r="A481" s="82" t="s">
        <v>1300</v>
      </c>
      <c r="B481" s="82"/>
      <c r="C481" s="82"/>
      <c r="D481" s="82"/>
      <c r="E481" s="82"/>
      <c r="F481" s="82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</row>
    <row r="482" spans="1:43" x14ac:dyDescent="0.35">
      <c r="A482" t="s">
        <v>17</v>
      </c>
    </row>
    <row r="483" spans="1:43" x14ac:dyDescent="0.35">
      <c r="A483" t="s">
        <v>1320</v>
      </c>
    </row>
  </sheetData>
  <mergeCells count="19">
    <mergeCell ref="AQ3:AQ4"/>
    <mergeCell ref="A477:B477"/>
    <mergeCell ref="AB3:AF3"/>
    <mergeCell ref="V3:Z3"/>
    <mergeCell ref="J3:N3"/>
    <mergeCell ref="U3:U4"/>
    <mergeCell ref="AA3:AA4"/>
    <mergeCell ref="AG3:AG4"/>
    <mergeCell ref="P3:T3"/>
    <mergeCell ref="A3:A4"/>
    <mergeCell ref="B3:B4"/>
    <mergeCell ref="I3:I4"/>
    <mergeCell ref="O3:O4"/>
    <mergeCell ref="D3:H3"/>
    <mergeCell ref="A481:F481"/>
    <mergeCell ref="AH3:AL3"/>
    <mergeCell ref="AM3:AM4"/>
    <mergeCell ref="AP3:AP4"/>
    <mergeCell ref="AN3:AO3"/>
  </mergeCells>
  <hyperlinks>
    <hyperlink ref="F1" location="Índice!A1" display="Volver al índice" xr:uid="{7718B06D-29C7-4F3A-828B-44247FA6763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9960-3788-48D9-83D5-E331BEF2C8AD}">
  <dimension ref="A1:BP483"/>
  <sheetViews>
    <sheetView zoomScale="85" zoomScaleNormal="85" workbookViewId="0">
      <selection activeCell="K1" sqref="K1"/>
    </sheetView>
  </sheetViews>
  <sheetFormatPr baseColWidth="10" defaultColWidth="11.453125" defaultRowHeight="14.5" x14ac:dyDescent="0.35"/>
  <cols>
    <col min="1" max="1" width="24.81640625" customWidth="1"/>
    <col min="2" max="2" width="68.1796875" customWidth="1"/>
    <col min="7" max="7" width="19.1796875" customWidth="1"/>
    <col min="12" max="12" width="18.453125" customWidth="1"/>
    <col min="17" max="17" width="18.453125" customWidth="1"/>
    <col min="22" max="22" width="18.26953125" customWidth="1"/>
    <col min="26" max="26" width="13.81640625" bestFit="1" customWidth="1"/>
    <col min="27" max="27" width="19.1796875" customWidth="1"/>
    <col min="32" max="32" width="21.453125" customWidth="1"/>
    <col min="37" max="37" width="19.54296875" customWidth="1"/>
    <col min="42" max="42" width="18.453125" customWidth="1"/>
    <col min="47" max="47" width="18.7265625" customWidth="1"/>
    <col min="52" max="52" width="17.54296875" customWidth="1"/>
    <col min="56" max="56" width="17.26953125" customWidth="1"/>
    <col min="57" max="57" width="21.54296875" customWidth="1"/>
    <col min="60" max="60" width="16.453125" customWidth="1"/>
    <col min="61" max="61" width="18.54296875" customWidth="1"/>
    <col min="62" max="62" width="20.1796875" customWidth="1"/>
    <col min="63" max="63" width="19.1796875" customWidth="1"/>
    <col min="64" max="64" width="22.453125" customWidth="1"/>
    <col min="65" max="65" width="16.54296875" customWidth="1"/>
  </cols>
  <sheetData>
    <row r="1" spans="1:68" ht="18.5" x14ac:dyDescent="0.45">
      <c r="A1" s="21" t="s">
        <v>1303</v>
      </c>
      <c r="K1" s="17" t="s">
        <v>1</v>
      </c>
    </row>
    <row r="2" spans="1:68" ht="18.5" x14ac:dyDescent="0.45">
      <c r="A2" s="21"/>
    </row>
    <row r="3" spans="1:68" ht="14" customHeight="1" x14ac:dyDescent="0.35">
      <c r="A3" s="50" t="s">
        <v>327</v>
      </c>
      <c r="B3" s="76" t="s">
        <v>19</v>
      </c>
      <c r="C3" s="143" t="s">
        <v>71</v>
      </c>
      <c r="D3" s="143"/>
      <c r="E3" s="143"/>
      <c r="F3" s="143"/>
      <c r="G3" s="143"/>
      <c r="H3" s="143"/>
      <c r="I3" s="143"/>
      <c r="J3" s="143"/>
      <c r="K3" s="143"/>
      <c r="L3" s="143"/>
      <c r="M3" s="125" t="s">
        <v>79</v>
      </c>
      <c r="N3" s="143" t="s">
        <v>72</v>
      </c>
      <c r="O3" s="143"/>
      <c r="P3" s="143"/>
      <c r="Q3" s="143"/>
      <c r="R3" s="143"/>
      <c r="S3" s="143"/>
      <c r="T3" s="143"/>
      <c r="U3" s="143"/>
      <c r="V3" s="143"/>
      <c r="W3" s="125" t="s">
        <v>80</v>
      </c>
      <c r="X3" s="143" t="s">
        <v>73</v>
      </c>
      <c r="Y3" s="143"/>
      <c r="Z3" s="143"/>
      <c r="AA3" s="143"/>
      <c r="AB3" s="143"/>
      <c r="AC3" s="143"/>
      <c r="AD3" s="143"/>
      <c r="AE3" s="143"/>
      <c r="AF3" s="143"/>
      <c r="AG3" s="125" t="s">
        <v>81</v>
      </c>
      <c r="AH3" s="143" t="s">
        <v>74</v>
      </c>
      <c r="AI3" s="143"/>
      <c r="AJ3" s="143"/>
      <c r="AK3" s="143"/>
      <c r="AL3" s="143"/>
      <c r="AM3" s="143"/>
      <c r="AN3" s="143"/>
      <c r="AO3" s="143"/>
      <c r="AP3" s="143"/>
      <c r="AQ3" s="125" t="s">
        <v>82</v>
      </c>
      <c r="AR3" s="143" t="s">
        <v>1156</v>
      </c>
      <c r="AS3" s="143"/>
      <c r="AT3" s="143"/>
      <c r="AU3" s="143"/>
      <c r="AV3" s="143"/>
      <c r="AW3" s="143"/>
      <c r="AX3" s="143"/>
      <c r="AY3" s="143"/>
      <c r="AZ3" s="143"/>
      <c r="BA3" s="125" t="s">
        <v>1157</v>
      </c>
      <c r="BB3" s="143" t="s">
        <v>76</v>
      </c>
      <c r="BC3" s="143"/>
      <c r="BD3" s="143"/>
      <c r="BE3" s="143"/>
      <c r="BF3" s="143"/>
      <c r="BG3" s="143"/>
      <c r="BH3" s="143"/>
      <c r="BI3" s="143"/>
      <c r="BJ3" s="125" t="s">
        <v>83</v>
      </c>
      <c r="BK3" s="137" t="s">
        <v>77</v>
      </c>
      <c r="BL3" s="138"/>
      <c r="BM3" s="138"/>
      <c r="BN3" s="139"/>
      <c r="BO3" s="142" t="s">
        <v>1158</v>
      </c>
      <c r="BP3" s="140" t="s">
        <v>1160</v>
      </c>
    </row>
    <row r="4" spans="1:68" ht="14" customHeight="1" x14ac:dyDescent="0.35">
      <c r="A4" s="50"/>
      <c r="B4" s="76"/>
      <c r="C4" s="143" t="s">
        <v>1161</v>
      </c>
      <c r="D4" s="143"/>
      <c r="E4" s="143"/>
      <c r="F4" s="143"/>
      <c r="G4" s="122" t="s">
        <v>1162</v>
      </c>
      <c r="H4" s="143" t="s">
        <v>1163</v>
      </c>
      <c r="I4" s="143"/>
      <c r="J4" s="143"/>
      <c r="K4" s="143"/>
      <c r="L4" s="122" t="s">
        <v>1164</v>
      </c>
      <c r="M4" s="125"/>
      <c r="N4" s="143" t="s">
        <v>1161</v>
      </c>
      <c r="O4" s="143"/>
      <c r="P4" s="143"/>
      <c r="Q4" s="122" t="s">
        <v>1162</v>
      </c>
      <c r="R4" s="143" t="s">
        <v>1163</v>
      </c>
      <c r="S4" s="143"/>
      <c r="T4" s="143"/>
      <c r="U4" s="143"/>
      <c r="V4" s="122" t="s">
        <v>1164</v>
      </c>
      <c r="W4" s="125"/>
      <c r="X4" s="143" t="s">
        <v>1161</v>
      </c>
      <c r="Y4" s="143"/>
      <c r="Z4" s="143"/>
      <c r="AA4" s="122" t="s">
        <v>1162</v>
      </c>
      <c r="AB4" s="143" t="s">
        <v>1163</v>
      </c>
      <c r="AC4" s="143"/>
      <c r="AD4" s="143"/>
      <c r="AE4" s="143"/>
      <c r="AF4" s="122" t="s">
        <v>1164</v>
      </c>
      <c r="AG4" s="125"/>
      <c r="AH4" s="150" t="s">
        <v>1161</v>
      </c>
      <c r="AI4" s="150"/>
      <c r="AJ4" s="150"/>
      <c r="AK4" s="122" t="s">
        <v>1162</v>
      </c>
      <c r="AL4" s="143" t="s">
        <v>1163</v>
      </c>
      <c r="AM4" s="143"/>
      <c r="AN4" s="143"/>
      <c r="AO4" s="143"/>
      <c r="AP4" s="122" t="s">
        <v>1164</v>
      </c>
      <c r="AQ4" s="125"/>
      <c r="AR4" s="143" t="s">
        <v>1161</v>
      </c>
      <c r="AS4" s="143"/>
      <c r="AT4" s="143"/>
      <c r="AU4" s="122" t="s">
        <v>1162</v>
      </c>
      <c r="AV4" s="143" t="s">
        <v>1163</v>
      </c>
      <c r="AW4" s="143"/>
      <c r="AX4" s="143"/>
      <c r="AY4" s="143"/>
      <c r="AZ4" s="122" t="s">
        <v>1164</v>
      </c>
      <c r="BA4" s="125"/>
      <c r="BB4" s="143" t="s">
        <v>1161</v>
      </c>
      <c r="BC4" s="143"/>
      <c r="BD4" s="122" t="s">
        <v>1162</v>
      </c>
      <c r="BE4" s="137" t="s">
        <v>1163</v>
      </c>
      <c r="BF4" s="138"/>
      <c r="BG4" s="138"/>
      <c r="BH4" s="139"/>
      <c r="BI4" s="122" t="s">
        <v>1164</v>
      </c>
      <c r="BJ4" s="125"/>
      <c r="BK4" s="151" t="s">
        <v>1161</v>
      </c>
      <c r="BL4" s="122" t="s">
        <v>1162</v>
      </c>
      <c r="BM4" s="150"/>
      <c r="BN4" s="140" t="s">
        <v>1164</v>
      </c>
      <c r="BO4" s="136"/>
      <c r="BP4" s="134"/>
    </row>
    <row r="5" spans="1:68" x14ac:dyDescent="0.35">
      <c r="A5" s="50"/>
      <c r="B5" s="76"/>
      <c r="C5" s="149" t="s">
        <v>22</v>
      </c>
      <c r="D5" s="149" t="s">
        <v>23</v>
      </c>
      <c r="E5" s="149" t="s">
        <v>24</v>
      </c>
      <c r="F5" s="149" t="s">
        <v>25</v>
      </c>
      <c r="G5" s="122"/>
      <c r="H5" s="149" t="s">
        <v>22</v>
      </c>
      <c r="I5" s="149" t="s">
        <v>23</v>
      </c>
      <c r="J5" s="149" t="s">
        <v>24</v>
      </c>
      <c r="K5" s="149" t="s">
        <v>25</v>
      </c>
      <c r="L5" s="122"/>
      <c r="M5" s="125"/>
      <c r="N5" s="149" t="s">
        <v>22</v>
      </c>
      <c r="O5" s="149" t="s">
        <v>23</v>
      </c>
      <c r="P5" s="149" t="s">
        <v>24</v>
      </c>
      <c r="Q5" s="122"/>
      <c r="R5" s="149" t="s">
        <v>22</v>
      </c>
      <c r="S5" s="149" t="s">
        <v>23</v>
      </c>
      <c r="T5" s="149" t="s">
        <v>24</v>
      </c>
      <c r="U5" s="149" t="s">
        <v>25</v>
      </c>
      <c r="V5" s="122"/>
      <c r="W5" s="125"/>
      <c r="X5" s="149" t="s">
        <v>22</v>
      </c>
      <c r="Y5" s="149" t="s">
        <v>23</v>
      </c>
      <c r="Z5" s="149" t="s">
        <v>24</v>
      </c>
      <c r="AA5" s="122"/>
      <c r="AB5" s="149" t="s">
        <v>22</v>
      </c>
      <c r="AC5" s="149" t="s">
        <v>23</v>
      </c>
      <c r="AD5" s="149" t="s">
        <v>24</v>
      </c>
      <c r="AE5" s="149" t="s">
        <v>25</v>
      </c>
      <c r="AF5" s="122"/>
      <c r="AG5" s="125"/>
      <c r="AH5" s="149" t="s">
        <v>22</v>
      </c>
      <c r="AI5" s="149" t="s">
        <v>23</v>
      </c>
      <c r="AJ5" s="149" t="s">
        <v>24</v>
      </c>
      <c r="AK5" s="122"/>
      <c r="AL5" s="149" t="s">
        <v>22</v>
      </c>
      <c r="AM5" s="149" t="s">
        <v>23</v>
      </c>
      <c r="AN5" s="149" t="s">
        <v>24</v>
      </c>
      <c r="AO5" s="149" t="s">
        <v>25</v>
      </c>
      <c r="AP5" s="122"/>
      <c r="AQ5" s="125"/>
      <c r="AR5" s="149" t="s">
        <v>22</v>
      </c>
      <c r="AS5" s="149" t="s">
        <v>23</v>
      </c>
      <c r="AT5" s="149" t="s">
        <v>24</v>
      </c>
      <c r="AU5" s="122"/>
      <c r="AV5" s="149" t="s">
        <v>22</v>
      </c>
      <c r="AW5" s="149" t="s">
        <v>23</v>
      </c>
      <c r="AX5" s="149" t="s">
        <v>24</v>
      </c>
      <c r="AY5" s="149" t="s">
        <v>25</v>
      </c>
      <c r="AZ5" s="122"/>
      <c r="BA5" s="125"/>
      <c r="BB5" s="149" t="s">
        <v>22</v>
      </c>
      <c r="BC5" s="149" t="s">
        <v>23</v>
      </c>
      <c r="BD5" s="122"/>
      <c r="BE5" s="149" t="s">
        <v>22</v>
      </c>
      <c r="BF5" s="149" t="s">
        <v>23</v>
      </c>
      <c r="BG5" s="149" t="s">
        <v>24</v>
      </c>
      <c r="BH5" s="149" t="s">
        <v>25</v>
      </c>
      <c r="BI5" s="122"/>
      <c r="BJ5" s="125"/>
      <c r="BK5" s="149" t="s">
        <v>22</v>
      </c>
      <c r="BL5" s="122"/>
      <c r="BM5" s="149" t="s">
        <v>23</v>
      </c>
      <c r="BN5" s="144"/>
      <c r="BO5" s="141"/>
      <c r="BP5" s="144"/>
    </row>
    <row r="6" spans="1:68" x14ac:dyDescent="0.35">
      <c r="A6" s="146" t="s">
        <v>328</v>
      </c>
      <c r="B6" s="146" t="s">
        <v>68</v>
      </c>
      <c r="C6" s="152">
        <v>134</v>
      </c>
      <c r="D6" s="152">
        <v>2</v>
      </c>
      <c r="E6" s="152">
        <v>2</v>
      </c>
      <c r="F6" s="152">
        <v>1</v>
      </c>
      <c r="G6" s="152">
        <v>139</v>
      </c>
      <c r="H6" s="152"/>
      <c r="I6" s="152"/>
      <c r="J6" s="152">
        <v>1</v>
      </c>
      <c r="K6" s="152"/>
      <c r="L6" s="152">
        <v>1</v>
      </c>
      <c r="M6" s="152">
        <v>140</v>
      </c>
      <c r="N6" s="152">
        <v>11</v>
      </c>
      <c r="O6" s="152">
        <v>1</v>
      </c>
      <c r="P6" s="152"/>
      <c r="Q6" s="152">
        <v>12</v>
      </c>
      <c r="R6" s="152"/>
      <c r="S6" s="152"/>
      <c r="T6" s="152"/>
      <c r="U6" s="152"/>
      <c r="V6" s="152">
        <v>0</v>
      </c>
      <c r="W6" s="152">
        <v>12</v>
      </c>
      <c r="X6" s="152">
        <v>4</v>
      </c>
      <c r="Y6" s="152"/>
      <c r="Z6" s="152"/>
      <c r="AA6" s="152">
        <v>4</v>
      </c>
      <c r="AB6" s="152"/>
      <c r="AC6" s="152"/>
      <c r="AD6" s="152"/>
      <c r="AE6" s="152"/>
      <c r="AF6" s="152">
        <v>0</v>
      </c>
      <c r="AG6" s="152">
        <v>4</v>
      </c>
      <c r="AH6" s="152">
        <v>3</v>
      </c>
      <c r="AI6" s="152"/>
      <c r="AJ6" s="152"/>
      <c r="AK6" s="152">
        <v>3</v>
      </c>
      <c r="AL6" s="152"/>
      <c r="AM6" s="152"/>
      <c r="AN6" s="152"/>
      <c r="AO6" s="152"/>
      <c r="AP6" s="152">
        <v>0</v>
      </c>
      <c r="AQ6" s="152">
        <v>3</v>
      </c>
      <c r="AR6" s="152">
        <v>10</v>
      </c>
      <c r="AS6" s="152">
        <v>1</v>
      </c>
      <c r="AT6" s="152"/>
      <c r="AU6" s="152">
        <v>11</v>
      </c>
      <c r="AV6" s="152"/>
      <c r="AW6" s="152"/>
      <c r="AX6" s="152"/>
      <c r="AY6" s="152"/>
      <c r="AZ6" s="152">
        <v>0</v>
      </c>
      <c r="BA6" s="152">
        <v>11</v>
      </c>
      <c r="BB6" s="152">
        <v>1</v>
      </c>
      <c r="BC6" s="152"/>
      <c r="BD6" s="152">
        <v>1</v>
      </c>
      <c r="BE6" s="152"/>
      <c r="BF6" s="152"/>
      <c r="BG6" s="152"/>
      <c r="BH6" s="152"/>
      <c r="BI6" s="152">
        <v>0</v>
      </c>
      <c r="BJ6" s="152">
        <v>1</v>
      </c>
      <c r="BK6" s="152"/>
      <c r="BL6" s="152"/>
      <c r="BM6" s="152"/>
      <c r="BN6" s="152">
        <v>0</v>
      </c>
      <c r="BO6" s="152">
        <v>0</v>
      </c>
      <c r="BP6" s="152">
        <v>171</v>
      </c>
    </row>
    <row r="7" spans="1:68" x14ac:dyDescent="0.35">
      <c r="A7" s="146" t="s">
        <v>329</v>
      </c>
      <c r="B7" s="146" t="s">
        <v>1207</v>
      </c>
      <c r="C7" s="152">
        <v>3</v>
      </c>
      <c r="D7" s="152"/>
      <c r="E7" s="152"/>
      <c r="F7" s="152"/>
      <c r="G7" s="152">
        <v>3</v>
      </c>
      <c r="H7" s="152">
        <v>13</v>
      </c>
      <c r="I7" s="152">
        <v>6</v>
      </c>
      <c r="J7" s="152">
        <v>2</v>
      </c>
      <c r="K7" s="152"/>
      <c r="L7" s="152">
        <v>21</v>
      </c>
      <c r="M7" s="152">
        <v>24</v>
      </c>
      <c r="N7" s="152"/>
      <c r="O7" s="152"/>
      <c r="P7" s="152"/>
      <c r="Q7" s="152">
        <v>0</v>
      </c>
      <c r="R7" s="152">
        <v>1</v>
      </c>
      <c r="S7" s="152"/>
      <c r="T7" s="152"/>
      <c r="U7" s="152"/>
      <c r="V7" s="152">
        <v>1</v>
      </c>
      <c r="W7" s="152">
        <v>1</v>
      </c>
      <c r="X7" s="152"/>
      <c r="Y7" s="152"/>
      <c r="Z7" s="152"/>
      <c r="AA7" s="152">
        <v>0</v>
      </c>
      <c r="AB7" s="152">
        <v>1</v>
      </c>
      <c r="AC7" s="152"/>
      <c r="AD7" s="152"/>
      <c r="AE7" s="152"/>
      <c r="AF7" s="152">
        <v>1</v>
      </c>
      <c r="AG7" s="152">
        <v>1</v>
      </c>
      <c r="AH7" s="152"/>
      <c r="AI7" s="152"/>
      <c r="AJ7" s="152"/>
      <c r="AK7" s="152">
        <v>0</v>
      </c>
      <c r="AL7" s="152"/>
      <c r="AM7" s="152"/>
      <c r="AN7" s="152"/>
      <c r="AO7" s="152"/>
      <c r="AP7" s="152">
        <v>0</v>
      </c>
      <c r="AQ7" s="152">
        <v>0</v>
      </c>
      <c r="AR7" s="152">
        <v>2</v>
      </c>
      <c r="AS7" s="152"/>
      <c r="AT7" s="152"/>
      <c r="AU7" s="152">
        <v>2</v>
      </c>
      <c r="AV7" s="152"/>
      <c r="AW7" s="152"/>
      <c r="AX7" s="152"/>
      <c r="AY7" s="152"/>
      <c r="AZ7" s="152">
        <v>0</v>
      </c>
      <c r="BA7" s="152">
        <v>2</v>
      </c>
      <c r="BB7" s="152"/>
      <c r="BC7" s="152"/>
      <c r="BD7" s="152">
        <v>0</v>
      </c>
      <c r="BE7" s="152"/>
      <c r="BF7" s="152"/>
      <c r="BG7" s="152"/>
      <c r="BH7" s="152"/>
      <c r="BI7" s="152">
        <v>0</v>
      </c>
      <c r="BJ7" s="152">
        <v>0</v>
      </c>
      <c r="BK7" s="152"/>
      <c r="BL7" s="152"/>
      <c r="BM7" s="152"/>
      <c r="BN7" s="152">
        <v>0</v>
      </c>
      <c r="BO7" s="152">
        <v>0</v>
      </c>
      <c r="BP7" s="152">
        <v>28</v>
      </c>
    </row>
    <row r="8" spans="1:68" x14ac:dyDescent="0.35">
      <c r="A8" s="146" t="s">
        <v>330</v>
      </c>
      <c r="B8" s="146" t="s">
        <v>1208</v>
      </c>
      <c r="C8" s="152"/>
      <c r="D8" s="152"/>
      <c r="E8" s="152"/>
      <c r="F8" s="152"/>
      <c r="G8" s="152">
        <v>0</v>
      </c>
      <c r="H8" s="152">
        <v>3</v>
      </c>
      <c r="I8" s="152">
        <v>3</v>
      </c>
      <c r="J8" s="152"/>
      <c r="K8" s="152"/>
      <c r="L8" s="152">
        <v>6</v>
      </c>
      <c r="M8" s="152">
        <v>6</v>
      </c>
      <c r="N8" s="152"/>
      <c r="O8" s="152"/>
      <c r="P8" s="152"/>
      <c r="Q8" s="152">
        <v>0</v>
      </c>
      <c r="R8" s="152"/>
      <c r="S8" s="152"/>
      <c r="T8" s="152"/>
      <c r="U8" s="152"/>
      <c r="V8" s="152">
        <v>0</v>
      </c>
      <c r="W8" s="152">
        <v>0</v>
      </c>
      <c r="X8" s="152"/>
      <c r="Y8" s="152"/>
      <c r="Z8" s="152"/>
      <c r="AA8" s="152">
        <v>0</v>
      </c>
      <c r="AB8" s="152"/>
      <c r="AC8" s="152"/>
      <c r="AD8" s="152"/>
      <c r="AE8" s="152"/>
      <c r="AF8" s="152">
        <v>0</v>
      </c>
      <c r="AG8" s="152">
        <v>0</v>
      </c>
      <c r="AH8" s="152">
        <v>2</v>
      </c>
      <c r="AI8" s="152"/>
      <c r="AJ8" s="152"/>
      <c r="AK8" s="152">
        <v>2</v>
      </c>
      <c r="AL8" s="152">
        <v>2</v>
      </c>
      <c r="AM8" s="152"/>
      <c r="AN8" s="152"/>
      <c r="AO8" s="152"/>
      <c r="AP8" s="152">
        <v>2</v>
      </c>
      <c r="AQ8" s="152">
        <v>4</v>
      </c>
      <c r="AR8" s="152"/>
      <c r="AS8" s="152"/>
      <c r="AT8" s="152"/>
      <c r="AU8" s="152">
        <v>0</v>
      </c>
      <c r="AV8" s="152"/>
      <c r="AW8" s="152"/>
      <c r="AX8" s="152"/>
      <c r="AY8" s="152"/>
      <c r="AZ8" s="152">
        <v>0</v>
      </c>
      <c r="BA8" s="152">
        <v>0</v>
      </c>
      <c r="BB8" s="152"/>
      <c r="BC8" s="152"/>
      <c r="BD8" s="152">
        <v>0</v>
      </c>
      <c r="BE8" s="152"/>
      <c r="BF8" s="152"/>
      <c r="BG8" s="152"/>
      <c r="BH8" s="152"/>
      <c r="BI8" s="152">
        <v>0</v>
      </c>
      <c r="BJ8" s="152">
        <v>0</v>
      </c>
      <c r="BK8" s="152"/>
      <c r="BL8" s="152"/>
      <c r="BM8" s="152"/>
      <c r="BN8" s="152">
        <v>0</v>
      </c>
      <c r="BO8" s="152">
        <v>0</v>
      </c>
      <c r="BP8" s="152">
        <v>10</v>
      </c>
    </row>
    <row r="9" spans="1:68" x14ac:dyDescent="0.35">
      <c r="A9" s="146" t="s">
        <v>331</v>
      </c>
      <c r="B9" s="146" t="s">
        <v>1209</v>
      </c>
      <c r="C9" s="152">
        <v>14</v>
      </c>
      <c r="D9" s="152">
        <v>1</v>
      </c>
      <c r="E9" s="152"/>
      <c r="F9" s="152"/>
      <c r="G9" s="152">
        <v>15</v>
      </c>
      <c r="H9" s="152">
        <v>34</v>
      </c>
      <c r="I9" s="152">
        <v>2</v>
      </c>
      <c r="J9" s="152">
        <v>2</v>
      </c>
      <c r="K9" s="152">
        <v>1</v>
      </c>
      <c r="L9" s="152">
        <v>39</v>
      </c>
      <c r="M9" s="152">
        <v>54</v>
      </c>
      <c r="N9" s="152">
        <v>1</v>
      </c>
      <c r="O9" s="152"/>
      <c r="P9" s="152"/>
      <c r="Q9" s="152">
        <v>1</v>
      </c>
      <c r="R9" s="152">
        <v>3</v>
      </c>
      <c r="S9" s="152"/>
      <c r="T9" s="152"/>
      <c r="U9" s="152"/>
      <c r="V9" s="152">
        <v>3</v>
      </c>
      <c r="W9" s="152">
        <v>4</v>
      </c>
      <c r="X9" s="152"/>
      <c r="Y9" s="152"/>
      <c r="Z9" s="152"/>
      <c r="AA9" s="152">
        <v>0</v>
      </c>
      <c r="AB9" s="152">
        <v>3</v>
      </c>
      <c r="AC9" s="152"/>
      <c r="AD9" s="152"/>
      <c r="AE9" s="152"/>
      <c r="AF9" s="152">
        <v>3</v>
      </c>
      <c r="AG9" s="152">
        <v>3</v>
      </c>
      <c r="AH9" s="152"/>
      <c r="AI9" s="152"/>
      <c r="AJ9" s="152"/>
      <c r="AK9" s="152">
        <v>0</v>
      </c>
      <c r="AL9" s="152"/>
      <c r="AM9" s="152"/>
      <c r="AN9" s="152"/>
      <c r="AO9" s="152"/>
      <c r="AP9" s="152">
        <v>0</v>
      </c>
      <c r="AQ9" s="152">
        <v>0</v>
      </c>
      <c r="AR9" s="152">
        <v>3</v>
      </c>
      <c r="AS9" s="152"/>
      <c r="AT9" s="152"/>
      <c r="AU9" s="152">
        <v>3</v>
      </c>
      <c r="AV9" s="152">
        <v>1</v>
      </c>
      <c r="AW9" s="152"/>
      <c r="AX9" s="152">
        <v>1</v>
      </c>
      <c r="AY9" s="152"/>
      <c r="AZ9" s="152">
        <v>2</v>
      </c>
      <c r="BA9" s="152">
        <v>5</v>
      </c>
      <c r="BB9" s="152">
        <v>1</v>
      </c>
      <c r="BC9" s="152"/>
      <c r="BD9" s="152">
        <v>1</v>
      </c>
      <c r="BE9" s="152"/>
      <c r="BF9" s="152"/>
      <c r="BG9" s="152"/>
      <c r="BH9" s="152"/>
      <c r="BI9" s="152">
        <v>0</v>
      </c>
      <c r="BJ9" s="152">
        <v>1</v>
      </c>
      <c r="BK9" s="152"/>
      <c r="BL9" s="152"/>
      <c r="BM9" s="152"/>
      <c r="BN9" s="152">
        <v>0</v>
      </c>
      <c r="BO9" s="152">
        <v>0</v>
      </c>
      <c r="BP9" s="152">
        <v>67</v>
      </c>
    </row>
    <row r="10" spans="1:68" x14ac:dyDescent="0.35">
      <c r="A10" s="146" t="s">
        <v>332</v>
      </c>
      <c r="B10" s="146" t="s">
        <v>1210</v>
      </c>
      <c r="C10" s="152">
        <v>1</v>
      </c>
      <c r="D10" s="152"/>
      <c r="E10" s="152"/>
      <c r="F10" s="152"/>
      <c r="G10" s="152">
        <v>1</v>
      </c>
      <c r="H10" s="152">
        <v>1</v>
      </c>
      <c r="I10" s="152"/>
      <c r="J10" s="152"/>
      <c r="K10" s="152"/>
      <c r="L10" s="152">
        <v>1</v>
      </c>
      <c r="M10" s="152">
        <v>2</v>
      </c>
      <c r="N10" s="152"/>
      <c r="O10" s="152"/>
      <c r="P10" s="152"/>
      <c r="Q10" s="152">
        <v>0</v>
      </c>
      <c r="R10" s="152"/>
      <c r="S10" s="152"/>
      <c r="T10" s="152"/>
      <c r="U10" s="152"/>
      <c r="V10" s="152">
        <v>0</v>
      </c>
      <c r="W10" s="152">
        <v>0</v>
      </c>
      <c r="X10" s="152"/>
      <c r="Y10" s="152"/>
      <c r="Z10" s="152"/>
      <c r="AA10" s="152">
        <v>0</v>
      </c>
      <c r="AB10" s="152"/>
      <c r="AC10" s="152"/>
      <c r="AD10" s="152"/>
      <c r="AE10" s="152"/>
      <c r="AF10" s="152">
        <v>0</v>
      </c>
      <c r="AG10" s="152">
        <v>0</v>
      </c>
      <c r="AH10" s="152"/>
      <c r="AI10" s="152"/>
      <c r="AJ10" s="152"/>
      <c r="AK10" s="152">
        <v>0</v>
      </c>
      <c r="AL10" s="152"/>
      <c r="AM10" s="152"/>
      <c r="AN10" s="152"/>
      <c r="AO10" s="152"/>
      <c r="AP10" s="152">
        <v>0</v>
      </c>
      <c r="AQ10" s="152">
        <v>0</v>
      </c>
      <c r="AR10" s="152"/>
      <c r="AS10" s="152"/>
      <c r="AT10" s="152"/>
      <c r="AU10" s="152">
        <v>0</v>
      </c>
      <c r="AV10" s="152"/>
      <c r="AW10" s="152"/>
      <c r="AX10" s="152"/>
      <c r="AY10" s="152"/>
      <c r="AZ10" s="152">
        <v>0</v>
      </c>
      <c r="BA10" s="152">
        <v>0</v>
      </c>
      <c r="BB10" s="152"/>
      <c r="BC10" s="152"/>
      <c r="BD10" s="152">
        <v>0</v>
      </c>
      <c r="BE10" s="152"/>
      <c r="BF10" s="152"/>
      <c r="BG10" s="152"/>
      <c r="BH10" s="152"/>
      <c r="BI10" s="152">
        <v>0</v>
      </c>
      <c r="BJ10" s="152">
        <v>0</v>
      </c>
      <c r="BK10" s="152"/>
      <c r="BL10" s="152"/>
      <c r="BM10" s="152"/>
      <c r="BN10" s="152">
        <v>0</v>
      </c>
      <c r="BO10" s="152">
        <v>0</v>
      </c>
      <c r="BP10" s="152">
        <v>2</v>
      </c>
    </row>
    <row r="11" spans="1:68" x14ac:dyDescent="0.35">
      <c r="A11" s="146" t="s">
        <v>333</v>
      </c>
      <c r="B11" s="146" t="s">
        <v>334</v>
      </c>
      <c r="C11" s="152">
        <v>3</v>
      </c>
      <c r="D11" s="152"/>
      <c r="E11" s="152"/>
      <c r="F11" s="152"/>
      <c r="G11" s="152">
        <v>3</v>
      </c>
      <c r="H11" s="152">
        <v>8</v>
      </c>
      <c r="I11" s="152">
        <v>6</v>
      </c>
      <c r="J11" s="152"/>
      <c r="K11" s="152">
        <v>2</v>
      </c>
      <c r="L11" s="152">
        <v>16</v>
      </c>
      <c r="M11" s="152">
        <v>19</v>
      </c>
      <c r="N11" s="152">
        <v>1</v>
      </c>
      <c r="O11" s="152"/>
      <c r="P11" s="152"/>
      <c r="Q11" s="152">
        <v>1</v>
      </c>
      <c r="R11" s="152"/>
      <c r="S11" s="152">
        <v>2</v>
      </c>
      <c r="T11" s="152">
        <v>1</v>
      </c>
      <c r="U11" s="152"/>
      <c r="V11" s="152">
        <v>3</v>
      </c>
      <c r="W11" s="152">
        <v>4</v>
      </c>
      <c r="X11" s="152"/>
      <c r="Y11" s="152"/>
      <c r="Z11" s="152"/>
      <c r="AA11" s="152">
        <v>0</v>
      </c>
      <c r="AB11" s="152">
        <v>1</v>
      </c>
      <c r="AC11" s="152"/>
      <c r="AD11" s="152"/>
      <c r="AE11" s="152"/>
      <c r="AF11" s="152">
        <v>1</v>
      </c>
      <c r="AG11" s="152">
        <v>1</v>
      </c>
      <c r="AH11" s="152"/>
      <c r="AI11" s="152"/>
      <c r="AJ11" s="152"/>
      <c r="AK11" s="152">
        <v>0</v>
      </c>
      <c r="AL11" s="152"/>
      <c r="AM11" s="152"/>
      <c r="AN11" s="152"/>
      <c r="AO11" s="152"/>
      <c r="AP11" s="152">
        <v>0</v>
      </c>
      <c r="AQ11" s="152">
        <v>0</v>
      </c>
      <c r="AR11" s="152"/>
      <c r="AS11" s="152"/>
      <c r="AT11" s="152"/>
      <c r="AU11" s="152">
        <v>0</v>
      </c>
      <c r="AV11" s="152"/>
      <c r="AW11" s="152"/>
      <c r="AX11" s="152"/>
      <c r="AY11" s="152"/>
      <c r="AZ11" s="152">
        <v>0</v>
      </c>
      <c r="BA11" s="152">
        <v>0</v>
      </c>
      <c r="BB11" s="152"/>
      <c r="BC11" s="152"/>
      <c r="BD11" s="152">
        <v>0</v>
      </c>
      <c r="BE11" s="152"/>
      <c r="BF11" s="152"/>
      <c r="BG11" s="152"/>
      <c r="BH11" s="152"/>
      <c r="BI11" s="152">
        <v>0</v>
      </c>
      <c r="BJ11" s="152">
        <v>0</v>
      </c>
      <c r="BK11" s="152"/>
      <c r="BL11" s="152"/>
      <c r="BM11" s="152"/>
      <c r="BN11" s="152">
        <v>0</v>
      </c>
      <c r="BO11" s="152">
        <v>0</v>
      </c>
      <c r="BP11" s="152">
        <v>24</v>
      </c>
    </row>
    <row r="12" spans="1:68" x14ac:dyDescent="0.35">
      <c r="A12" s="146" t="s">
        <v>335</v>
      </c>
      <c r="B12" s="146" t="s">
        <v>336</v>
      </c>
      <c r="C12" s="152">
        <v>12</v>
      </c>
      <c r="D12" s="152">
        <v>1</v>
      </c>
      <c r="E12" s="152">
        <v>1</v>
      </c>
      <c r="F12" s="152"/>
      <c r="G12" s="152">
        <v>14</v>
      </c>
      <c r="H12" s="152">
        <v>85</v>
      </c>
      <c r="I12" s="152">
        <v>61</v>
      </c>
      <c r="J12" s="152">
        <v>30</v>
      </c>
      <c r="K12" s="152">
        <v>12</v>
      </c>
      <c r="L12" s="152">
        <v>188</v>
      </c>
      <c r="M12" s="152">
        <v>202</v>
      </c>
      <c r="N12" s="152">
        <v>8</v>
      </c>
      <c r="O12" s="152"/>
      <c r="P12" s="152"/>
      <c r="Q12" s="152">
        <v>8</v>
      </c>
      <c r="R12" s="152">
        <v>36</v>
      </c>
      <c r="S12" s="152">
        <v>31</v>
      </c>
      <c r="T12" s="152">
        <v>8</v>
      </c>
      <c r="U12" s="152"/>
      <c r="V12" s="152">
        <v>75</v>
      </c>
      <c r="W12" s="152">
        <v>83</v>
      </c>
      <c r="X12" s="152">
        <v>5</v>
      </c>
      <c r="Y12" s="152"/>
      <c r="Z12" s="152"/>
      <c r="AA12" s="152">
        <v>5</v>
      </c>
      <c r="AB12" s="152">
        <v>4</v>
      </c>
      <c r="AC12" s="152">
        <v>8</v>
      </c>
      <c r="AD12" s="152"/>
      <c r="AE12" s="152"/>
      <c r="AF12" s="152">
        <v>12</v>
      </c>
      <c r="AG12" s="152">
        <v>17</v>
      </c>
      <c r="AH12" s="152"/>
      <c r="AI12" s="152"/>
      <c r="AJ12" s="152"/>
      <c r="AK12" s="152">
        <v>0</v>
      </c>
      <c r="AL12" s="152"/>
      <c r="AM12" s="152"/>
      <c r="AN12" s="152"/>
      <c r="AO12" s="152"/>
      <c r="AP12" s="152">
        <v>0</v>
      </c>
      <c r="AQ12" s="152">
        <v>0</v>
      </c>
      <c r="AR12" s="152">
        <v>3</v>
      </c>
      <c r="AS12" s="152"/>
      <c r="AT12" s="152"/>
      <c r="AU12" s="152">
        <v>3</v>
      </c>
      <c r="AV12" s="152">
        <v>5</v>
      </c>
      <c r="AW12" s="152">
        <v>1</v>
      </c>
      <c r="AX12" s="152"/>
      <c r="AY12" s="152"/>
      <c r="AZ12" s="152">
        <v>6</v>
      </c>
      <c r="BA12" s="152">
        <v>9</v>
      </c>
      <c r="BB12" s="152"/>
      <c r="BC12" s="152"/>
      <c r="BD12" s="152">
        <v>0</v>
      </c>
      <c r="BE12" s="152">
        <v>3</v>
      </c>
      <c r="BF12" s="152">
        <v>3</v>
      </c>
      <c r="BG12" s="152"/>
      <c r="BH12" s="152"/>
      <c r="BI12" s="152">
        <v>6</v>
      </c>
      <c r="BJ12" s="152">
        <v>6</v>
      </c>
      <c r="BK12" s="152"/>
      <c r="BL12" s="152"/>
      <c r="BM12" s="152"/>
      <c r="BN12" s="152">
        <v>0</v>
      </c>
      <c r="BO12" s="152">
        <v>0</v>
      </c>
      <c r="BP12" s="152">
        <v>317</v>
      </c>
    </row>
    <row r="13" spans="1:68" x14ac:dyDescent="0.35">
      <c r="A13" s="146" t="s">
        <v>337</v>
      </c>
      <c r="B13" s="146" t="s">
        <v>338</v>
      </c>
      <c r="C13" s="152">
        <v>2</v>
      </c>
      <c r="D13" s="152"/>
      <c r="E13" s="152"/>
      <c r="F13" s="152"/>
      <c r="G13" s="152">
        <v>2</v>
      </c>
      <c r="H13" s="152">
        <v>12</v>
      </c>
      <c r="I13" s="152">
        <v>37</v>
      </c>
      <c r="J13" s="152">
        <v>34</v>
      </c>
      <c r="K13" s="152">
        <v>14</v>
      </c>
      <c r="L13" s="152">
        <v>97</v>
      </c>
      <c r="M13" s="152">
        <v>99</v>
      </c>
      <c r="N13" s="152">
        <v>1</v>
      </c>
      <c r="O13" s="152"/>
      <c r="P13" s="152"/>
      <c r="Q13" s="152">
        <v>1</v>
      </c>
      <c r="R13" s="152">
        <v>2</v>
      </c>
      <c r="S13" s="152"/>
      <c r="T13" s="152"/>
      <c r="U13" s="152"/>
      <c r="V13" s="152">
        <v>2</v>
      </c>
      <c r="W13" s="152">
        <v>3</v>
      </c>
      <c r="X13" s="152"/>
      <c r="Y13" s="152"/>
      <c r="Z13" s="152"/>
      <c r="AA13" s="152">
        <v>0</v>
      </c>
      <c r="AB13" s="152"/>
      <c r="AC13" s="152"/>
      <c r="AD13" s="152"/>
      <c r="AE13" s="152"/>
      <c r="AF13" s="152">
        <v>0</v>
      </c>
      <c r="AG13" s="152">
        <v>0</v>
      </c>
      <c r="AH13" s="152"/>
      <c r="AI13" s="152"/>
      <c r="AJ13" s="152"/>
      <c r="AK13" s="152">
        <v>0</v>
      </c>
      <c r="AL13" s="152"/>
      <c r="AM13" s="152"/>
      <c r="AN13" s="152"/>
      <c r="AO13" s="152"/>
      <c r="AP13" s="152">
        <v>0</v>
      </c>
      <c r="AQ13" s="152">
        <v>0</v>
      </c>
      <c r="AR13" s="152"/>
      <c r="AS13" s="152"/>
      <c r="AT13" s="152"/>
      <c r="AU13" s="152">
        <v>0</v>
      </c>
      <c r="AV13" s="152"/>
      <c r="AW13" s="152"/>
      <c r="AX13" s="152"/>
      <c r="AY13" s="152"/>
      <c r="AZ13" s="152">
        <v>0</v>
      </c>
      <c r="BA13" s="152">
        <v>0</v>
      </c>
      <c r="BB13" s="152"/>
      <c r="BC13" s="152"/>
      <c r="BD13" s="152">
        <v>0</v>
      </c>
      <c r="BE13" s="152"/>
      <c r="BF13" s="152"/>
      <c r="BG13" s="152"/>
      <c r="BH13" s="152"/>
      <c r="BI13" s="152">
        <v>0</v>
      </c>
      <c r="BJ13" s="152">
        <v>0</v>
      </c>
      <c r="BK13" s="152"/>
      <c r="BL13" s="152"/>
      <c r="BM13" s="152"/>
      <c r="BN13" s="152">
        <v>0</v>
      </c>
      <c r="BO13" s="152">
        <v>0</v>
      </c>
      <c r="BP13" s="152">
        <v>102</v>
      </c>
    </row>
    <row r="14" spans="1:68" x14ac:dyDescent="0.35">
      <c r="A14" s="146" t="s">
        <v>339</v>
      </c>
      <c r="B14" s="146" t="s">
        <v>340</v>
      </c>
      <c r="C14" s="152">
        <v>21</v>
      </c>
      <c r="D14" s="152"/>
      <c r="E14" s="152"/>
      <c r="F14" s="152"/>
      <c r="G14" s="152">
        <v>21</v>
      </c>
      <c r="H14" s="152">
        <v>32</v>
      </c>
      <c r="I14" s="152">
        <v>16</v>
      </c>
      <c r="J14" s="152">
        <v>2</v>
      </c>
      <c r="K14" s="152">
        <v>2</v>
      </c>
      <c r="L14" s="152">
        <v>52</v>
      </c>
      <c r="M14" s="152">
        <v>73</v>
      </c>
      <c r="N14" s="152">
        <v>62</v>
      </c>
      <c r="O14" s="152"/>
      <c r="P14" s="152">
        <v>2</v>
      </c>
      <c r="Q14" s="152">
        <v>64</v>
      </c>
      <c r="R14" s="152">
        <v>53</v>
      </c>
      <c r="S14" s="152">
        <v>11</v>
      </c>
      <c r="T14" s="152">
        <v>4</v>
      </c>
      <c r="U14" s="152">
        <v>1</v>
      </c>
      <c r="V14" s="152">
        <v>69</v>
      </c>
      <c r="W14" s="152">
        <v>133</v>
      </c>
      <c r="X14" s="152">
        <v>5</v>
      </c>
      <c r="Y14" s="152"/>
      <c r="Z14" s="152"/>
      <c r="AA14" s="152">
        <v>5</v>
      </c>
      <c r="AB14" s="152">
        <v>1</v>
      </c>
      <c r="AC14" s="152"/>
      <c r="AD14" s="152"/>
      <c r="AE14" s="152"/>
      <c r="AF14" s="152">
        <v>1</v>
      </c>
      <c r="AG14" s="152">
        <v>6</v>
      </c>
      <c r="AH14" s="152"/>
      <c r="AI14" s="152"/>
      <c r="AJ14" s="152"/>
      <c r="AK14" s="152">
        <v>0</v>
      </c>
      <c r="AL14" s="152"/>
      <c r="AM14" s="152"/>
      <c r="AN14" s="152"/>
      <c r="AO14" s="152"/>
      <c r="AP14" s="152">
        <v>0</v>
      </c>
      <c r="AQ14" s="152">
        <v>0</v>
      </c>
      <c r="AR14" s="152">
        <v>2</v>
      </c>
      <c r="AS14" s="152"/>
      <c r="AT14" s="152"/>
      <c r="AU14" s="152">
        <v>2</v>
      </c>
      <c r="AV14" s="152">
        <v>4</v>
      </c>
      <c r="AW14" s="152"/>
      <c r="AX14" s="152"/>
      <c r="AY14" s="152"/>
      <c r="AZ14" s="152">
        <v>4</v>
      </c>
      <c r="BA14" s="152">
        <v>6</v>
      </c>
      <c r="BB14" s="152">
        <v>18</v>
      </c>
      <c r="BC14" s="152"/>
      <c r="BD14" s="152">
        <v>18</v>
      </c>
      <c r="BE14" s="152">
        <v>3</v>
      </c>
      <c r="BF14" s="152">
        <v>2</v>
      </c>
      <c r="BG14" s="152"/>
      <c r="BH14" s="152"/>
      <c r="BI14" s="152">
        <v>5</v>
      </c>
      <c r="BJ14" s="152">
        <v>23</v>
      </c>
      <c r="BK14" s="152"/>
      <c r="BL14" s="152"/>
      <c r="BM14" s="152"/>
      <c r="BN14" s="152">
        <v>0</v>
      </c>
      <c r="BO14" s="152">
        <v>0</v>
      </c>
      <c r="BP14" s="152">
        <v>241</v>
      </c>
    </row>
    <row r="15" spans="1:68" x14ac:dyDescent="0.35">
      <c r="A15" s="146" t="s">
        <v>341</v>
      </c>
      <c r="B15" s="146" t="s">
        <v>342</v>
      </c>
      <c r="C15" s="152"/>
      <c r="D15" s="152"/>
      <c r="E15" s="152"/>
      <c r="F15" s="152"/>
      <c r="G15" s="152">
        <v>0</v>
      </c>
      <c r="H15" s="152">
        <v>6</v>
      </c>
      <c r="I15" s="152">
        <v>3</v>
      </c>
      <c r="J15" s="152">
        <v>2</v>
      </c>
      <c r="K15" s="152"/>
      <c r="L15" s="152">
        <v>11</v>
      </c>
      <c r="M15" s="152">
        <v>11</v>
      </c>
      <c r="N15" s="152"/>
      <c r="O15" s="152"/>
      <c r="P15" s="152"/>
      <c r="Q15" s="152">
        <v>0</v>
      </c>
      <c r="R15" s="152"/>
      <c r="S15" s="152"/>
      <c r="T15" s="152"/>
      <c r="U15" s="152"/>
      <c r="V15" s="152">
        <v>0</v>
      </c>
      <c r="W15" s="152">
        <v>0</v>
      </c>
      <c r="X15" s="152">
        <v>1</v>
      </c>
      <c r="Y15" s="152"/>
      <c r="Z15" s="152"/>
      <c r="AA15" s="152">
        <v>1</v>
      </c>
      <c r="AB15" s="152"/>
      <c r="AC15" s="152"/>
      <c r="AD15" s="152"/>
      <c r="AE15" s="152"/>
      <c r="AF15" s="152">
        <v>0</v>
      </c>
      <c r="AG15" s="152">
        <v>1</v>
      </c>
      <c r="AH15" s="152"/>
      <c r="AI15" s="152"/>
      <c r="AJ15" s="152"/>
      <c r="AK15" s="152">
        <v>0</v>
      </c>
      <c r="AL15" s="152"/>
      <c r="AM15" s="152"/>
      <c r="AN15" s="152"/>
      <c r="AO15" s="152"/>
      <c r="AP15" s="152">
        <v>0</v>
      </c>
      <c r="AQ15" s="152">
        <v>0</v>
      </c>
      <c r="AR15" s="152"/>
      <c r="AS15" s="152"/>
      <c r="AT15" s="152"/>
      <c r="AU15" s="152">
        <v>0</v>
      </c>
      <c r="AV15" s="152"/>
      <c r="AW15" s="152"/>
      <c r="AX15" s="152"/>
      <c r="AY15" s="152"/>
      <c r="AZ15" s="152">
        <v>0</v>
      </c>
      <c r="BA15" s="152">
        <v>0</v>
      </c>
      <c r="BB15" s="152"/>
      <c r="BC15" s="152"/>
      <c r="BD15" s="152">
        <v>0</v>
      </c>
      <c r="BE15" s="152"/>
      <c r="BF15" s="152"/>
      <c r="BG15" s="152"/>
      <c r="BH15" s="152"/>
      <c r="BI15" s="152">
        <v>0</v>
      </c>
      <c r="BJ15" s="152">
        <v>0</v>
      </c>
      <c r="BK15" s="152"/>
      <c r="BL15" s="152"/>
      <c r="BM15" s="152"/>
      <c r="BN15" s="152">
        <v>0</v>
      </c>
      <c r="BO15" s="152">
        <v>0</v>
      </c>
      <c r="BP15" s="152">
        <v>12</v>
      </c>
    </row>
    <row r="16" spans="1:68" x14ac:dyDescent="0.35">
      <c r="A16" s="146" t="s">
        <v>343</v>
      </c>
      <c r="B16" s="146" t="s">
        <v>344</v>
      </c>
      <c r="C16" s="152">
        <v>4</v>
      </c>
      <c r="D16" s="152"/>
      <c r="E16" s="152"/>
      <c r="F16" s="152"/>
      <c r="G16" s="152">
        <v>4</v>
      </c>
      <c r="H16" s="152">
        <v>19</v>
      </c>
      <c r="I16" s="152">
        <v>4</v>
      </c>
      <c r="J16" s="152">
        <v>2</v>
      </c>
      <c r="K16" s="152">
        <v>3</v>
      </c>
      <c r="L16" s="152">
        <v>28</v>
      </c>
      <c r="M16" s="152">
        <v>32</v>
      </c>
      <c r="N16" s="152">
        <v>1</v>
      </c>
      <c r="O16" s="152"/>
      <c r="P16" s="152"/>
      <c r="Q16" s="152">
        <v>1</v>
      </c>
      <c r="R16" s="152"/>
      <c r="S16" s="152"/>
      <c r="T16" s="152"/>
      <c r="U16" s="152"/>
      <c r="V16" s="152">
        <v>0</v>
      </c>
      <c r="W16" s="152">
        <v>1</v>
      </c>
      <c r="X16" s="152"/>
      <c r="Y16" s="152"/>
      <c r="Z16" s="152"/>
      <c r="AA16" s="152">
        <v>0</v>
      </c>
      <c r="AB16" s="152"/>
      <c r="AC16" s="152"/>
      <c r="AD16" s="152"/>
      <c r="AE16" s="152"/>
      <c r="AF16" s="152">
        <v>0</v>
      </c>
      <c r="AG16" s="152">
        <v>0</v>
      </c>
      <c r="AH16" s="152"/>
      <c r="AI16" s="152"/>
      <c r="AJ16" s="152"/>
      <c r="AK16" s="152">
        <v>0</v>
      </c>
      <c r="AL16" s="152"/>
      <c r="AM16" s="152"/>
      <c r="AN16" s="152"/>
      <c r="AO16" s="152"/>
      <c r="AP16" s="152">
        <v>0</v>
      </c>
      <c r="AQ16" s="152">
        <v>0</v>
      </c>
      <c r="AR16" s="152"/>
      <c r="AS16" s="152"/>
      <c r="AT16" s="152"/>
      <c r="AU16" s="152">
        <v>0</v>
      </c>
      <c r="AV16" s="152"/>
      <c r="AW16" s="152"/>
      <c r="AX16" s="152"/>
      <c r="AY16" s="152"/>
      <c r="AZ16" s="152">
        <v>0</v>
      </c>
      <c r="BA16" s="152">
        <v>0</v>
      </c>
      <c r="BB16" s="152"/>
      <c r="BC16" s="152"/>
      <c r="BD16" s="152">
        <v>0</v>
      </c>
      <c r="BE16" s="152"/>
      <c r="BF16" s="152"/>
      <c r="BG16" s="152"/>
      <c r="BH16" s="152"/>
      <c r="BI16" s="152">
        <v>0</v>
      </c>
      <c r="BJ16" s="152">
        <v>0</v>
      </c>
      <c r="BK16" s="152"/>
      <c r="BL16" s="152"/>
      <c r="BM16" s="152"/>
      <c r="BN16" s="152">
        <v>0</v>
      </c>
      <c r="BO16" s="152">
        <v>0</v>
      </c>
      <c r="BP16" s="152">
        <v>33</v>
      </c>
    </row>
    <row r="17" spans="1:68" x14ac:dyDescent="0.35">
      <c r="A17" s="146" t="s">
        <v>345</v>
      </c>
      <c r="B17" s="146" t="s">
        <v>346</v>
      </c>
      <c r="C17" s="152"/>
      <c r="D17" s="152"/>
      <c r="E17" s="152"/>
      <c r="F17" s="152"/>
      <c r="G17" s="152">
        <v>0</v>
      </c>
      <c r="H17" s="152">
        <v>9</v>
      </c>
      <c r="I17" s="152">
        <v>14</v>
      </c>
      <c r="J17" s="152">
        <v>12</v>
      </c>
      <c r="K17" s="152">
        <v>3</v>
      </c>
      <c r="L17" s="152">
        <v>38</v>
      </c>
      <c r="M17" s="152">
        <v>38</v>
      </c>
      <c r="N17" s="152">
        <v>1</v>
      </c>
      <c r="O17" s="152"/>
      <c r="P17" s="152"/>
      <c r="Q17" s="152">
        <v>1</v>
      </c>
      <c r="R17" s="152"/>
      <c r="S17" s="152">
        <v>1</v>
      </c>
      <c r="T17" s="152"/>
      <c r="U17" s="152"/>
      <c r="V17" s="152">
        <v>1</v>
      </c>
      <c r="W17" s="152">
        <v>2</v>
      </c>
      <c r="X17" s="152"/>
      <c r="Y17" s="152"/>
      <c r="Z17" s="152"/>
      <c r="AA17" s="152">
        <v>0</v>
      </c>
      <c r="AB17" s="152"/>
      <c r="AC17" s="152"/>
      <c r="AD17" s="152"/>
      <c r="AE17" s="152"/>
      <c r="AF17" s="152">
        <v>0</v>
      </c>
      <c r="AG17" s="152">
        <v>0</v>
      </c>
      <c r="AH17" s="152"/>
      <c r="AI17" s="152"/>
      <c r="AJ17" s="152"/>
      <c r="AK17" s="152">
        <v>0</v>
      </c>
      <c r="AL17" s="152"/>
      <c r="AM17" s="152"/>
      <c r="AN17" s="152"/>
      <c r="AO17" s="152"/>
      <c r="AP17" s="152">
        <v>0</v>
      </c>
      <c r="AQ17" s="152">
        <v>0</v>
      </c>
      <c r="AR17" s="152"/>
      <c r="AS17" s="152"/>
      <c r="AT17" s="152"/>
      <c r="AU17" s="152">
        <v>0</v>
      </c>
      <c r="AV17" s="152"/>
      <c r="AW17" s="152"/>
      <c r="AX17" s="152"/>
      <c r="AY17" s="152"/>
      <c r="AZ17" s="152">
        <v>0</v>
      </c>
      <c r="BA17" s="152">
        <v>0</v>
      </c>
      <c r="BB17" s="152"/>
      <c r="BC17" s="152"/>
      <c r="BD17" s="152">
        <v>0</v>
      </c>
      <c r="BE17" s="152"/>
      <c r="BF17" s="152"/>
      <c r="BG17" s="152"/>
      <c r="BH17" s="152"/>
      <c r="BI17" s="152">
        <v>0</v>
      </c>
      <c r="BJ17" s="152">
        <v>0</v>
      </c>
      <c r="BK17" s="152"/>
      <c r="BL17" s="152"/>
      <c r="BM17" s="152"/>
      <c r="BN17" s="152">
        <v>0</v>
      </c>
      <c r="BO17" s="152">
        <v>0</v>
      </c>
      <c r="BP17" s="152">
        <v>40</v>
      </c>
    </row>
    <row r="18" spans="1:68" x14ac:dyDescent="0.35">
      <c r="A18" s="146" t="s">
        <v>347</v>
      </c>
      <c r="B18" s="146" t="s">
        <v>348</v>
      </c>
      <c r="C18" s="152"/>
      <c r="D18" s="152"/>
      <c r="E18" s="152"/>
      <c r="F18" s="152"/>
      <c r="G18" s="152">
        <v>0</v>
      </c>
      <c r="H18" s="152">
        <v>3</v>
      </c>
      <c r="I18" s="152">
        <v>2</v>
      </c>
      <c r="J18" s="152"/>
      <c r="K18" s="152">
        <v>1</v>
      </c>
      <c r="L18" s="152">
        <v>6</v>
      </c>
      <c r="M18" s="152">
        <v>6</v>
      </c>
      <c r="N18" s="152"/>
      <c r="O18" s="152"/>
      <c r="P18" s="152"/>
      <c r="Q18" s="152">
        <v>0</v>
      </c>
      <c r="R18" s="152">
        <v>1</v>
      </c>
      <c r="S18" s="152"/>
      <c r="T18" s="152"/>
      <c r="U18" s="152">
        <v>1</v>
      </c>
      <c r="V18" s="152">
        <v>2</v>
      </c>
      <c r="W18" s="152">
        <v>2</v>
      </c>
      <c r="X18" s="152"/>
      <c r="Y18" s="152"/>
      <c r="Z18" s="152"/>
      <c r="AA18" s="152">
        <v>0</v>
      </c>
      <c r="AB18" s="152">
        <v>1</v>
      </c>
      <c r="AC18" s="152"/>
      <c r="AD18" s="152"/>
      <c r="AE18" s="152"/>
      <c r="AF18" s="152">
        <v>1</v>
      </c>
      <c r="AG18" s="152">
        <v>1</v>
      </c>
      <c r="AH18" s="152">
        <v>1</v>
      </c>
      <c r="AI18" s="152"/>
      <c r="AJ18" s="152"/>
      <c r="AK18" s="152">
        <v>1</v>
      </c>
      <c r="AL18" s="152"/>
      <c r="AM18" s="152"/>
      <c r="AN18" s="152"/>
      <c r="AO18" s="152"/>
      <c r="AP18" s="152">
        <v>0</v>
      </c>
      <c r="AQ18" s="152">
        <v>1</v>
      </c>
      <c r="AR18" s="152"/>
      <c r="AS18" s="152"/>
      <c r="AT18" s="152"/>
      <c r="AU18" s="152">
        <v>0</v>
      </c>
      <c r="AV18" s="152"/>
      <c r="AW18" s="152"/>
      <c r="AX18" s="152"/>
      <c r="AY18" s="152"/>
      <c r="AZ18" s="152">
        <v>0</v>
      </c>
      <c r="BA18" s="152">
        <v>0</v>
      </c>
      <c r="BB18" s="152"/>
      <c r="BC18" s="152"/>
      <c r="BD18" s="152">
        <v>0</v>
      </c>
      <c r="BE18" s="152"/>
      <c r="BF18" s="152"/>
      <c r="BG18" s="152"/>
      <c r="BH18" s="152"/>
      <c r="BI18" s="152">
        <v>0</v>
      </c>
      <c r="BJ18" s="152">
        <v>0</v>
      </c>
      <c r="BK18" s="152"/>
      <c r="BL18" s="152"/>
      <c r="BM18" s="152"/>
      <c r="BN18" s="152">
        <v>0</v>
      </c>
      <c r="BO18" s="152">
        <v>0</v>
      </c>
      <c r="BP18" s="152">
        <v>10</v>
      </c>
    </row>
    <row r="19" spans="1:68" x14ac:dyDescent="0.35">
      <c r="A19" s="146" t="s">
        <v>349</v>
      </c>
      <c r="B19" s="146" t="s">
        <v>1211</v>
      </c>
      <c r="C19" s="152">
        <v>2</v>
      </c>
      <c r="D19" s="152"/>
      <c r="E19" s="152"/>
      <c r="F19" s="152"/>
      <c r="G19" s="152">
        <v>2</v>
      </c>
      <c r="H19" s="152">
        <v>59</v>
      </c>
      <c r="I19" s="152">
        <v>7</v>
      </c>
      <c r="J19" s="152">
        <v>2</v>
      </c>
      <c r="K19" s="152"/>
      <c r="L19" s="152">
        <v>68</v>
      </c>
      <c r="M19" s="152">
        <v>70</v>
      </c>
      <c r="N19" s="152"/>
      <c r="O19" s="152"/>
      <c r="P19" s="152"/>
      <c r="Q19" s="152">
        <v>0</v>
      </c>
      <c r="R19" s="152">
        <v>5</v>
      </c>
      <c r="S19" s="152">
        <v>1</v>
      </c>
      <c r="T19" s="152"/>
      <c r="U19" s="152"/>
      <c r="V19" s="152">
        <v>6</v>
      </c>
      <c r="W19" s="152">
        <v>6</v>
      </c>
      <c r="X19" s="152">
        <v>1</v>
      </c>
      <c r="Y19" s="152"/>
      <c r="Z19" s="152"/>
      <c r="AA19" s="152">
        <v>1</v>
      </c>
      <c r="AB19" s="152"/>
      <c r="AC19" s="152">
        <v>1</v>
      </c>
      <c r="AD19" s="152"/>
      <c r="AE19" s="152"/>
      <c r="AF19" s="152">
        <v>1</v>
      </c>
      <c r="AG19" s="152">
        <v>2</v>
      </c>
      <c r="AH19" s="152"/>
      <c r="AI19" s="152"/>
      <c r="AJ19" s="152"/>
      <c r="AK19" s="152">
        <v>0</v>
      </c>
      <c r="AL19" s="152"/>
      <c r="AM19" s="152"/>
      <c r="AN19" s="152"/>
      <c r="AO19" s="152"/>
      <c r="AP19" s="152">
        <v>0</v>
      </c>
      <c r="AQ19" s="152">
        <v>0</v>
      </c>
      <c r="AR19" s="152"/>
      <c r="AS19" s="152"/>
      <c r="AT19" s="152"/>
      <c r="AU19" s="152">
        <v>0</v>
      </c>
      <c r="AV19" s="152">
        <v>3</v>
      </c>
      <c r="AW19" s="152"/>
      <c r="AX19" s="152"/>
      <c r="AY19" s="152"/>
      <c r="AZ19" s="152">
        <v>3</v>
      </c>
      <c r="BA19" s="152">
        <v>3</v>
      </c>
      <c r="BB19" s="152">
        <v>1</v>
      </c>
      <c r="BC19" s="152"/>
      <c r="BD19" s="152">
        <v>1</v>
      </c>
      <c r="BE19" s="152">
        <v>1</v>
      </c>
      <c r="BF19" s="152"/>
      <c r="BG19" s="152"/>
      <c r="BH19" s="152"/>
      <c r="BI19" s="152">
        <v>1</v>
      </c>
      <c r="BJ19" s="152">
        <v>2</v>
      </c>
      <c r="BK19" s="152"/>
      <c r="BL19" s="152"/>
      <c r="BM19" s="152"/>
      <c r="BN19" s="152">
        <v>0</v>
      </c>
      <c r="BO19" s="152">
        <v>0</v>
      </c>
      <c r="BP19" s="152">
        <v>83</v>
      </c>
    </row>
    <row r="20" spans="1:68" x14ac:dyDescent="0.35">
      <c r="A20" s="146" t="s">
        <v>350</v>
      </c>
      <c r="B20" s="146" t="s">
        <v>351</v>
      </c>
      <c r="C20" s="152">
        <v>1</v>
      </c>
      <c r="D20" s="152"/>
      <c r="E20" s="152"/>
      <c r="F20" s="152"/>
      <c r="G20" s="152">
        <v>1</v>
      </c>
      <c r="H20" s="152">
        <v>19</v>
      </c>
      <c r="I20" s="152">
        <v>6</v>
      </c>
      <c r="J20" s="152">
        <v>3</v>
      </c>
      <c r="K20" s="152">
        <v>1</v>
      </c>
      <c r="L20" s="152">
        <v>29</v>
      </c>
      <c r="M20" s="152">
        <v>30</v>
      </c>
      <c r="N20" s="152">
        <v>1</v>
      </c>
      <c r="O20" s="152"/>
      <c r="P20" s="152"/>
      <c r="Q20" s="152">
        <v>1</v>
      </c>
      <c r="R20" s="152">
        <v>1</v>
      </c>
      <c r="S20" s="152">
        <v>1</v>
      </c>
      <c r="T20" s="152"/>
      <c r="U20" s="152"/>
      <c r="V20" s="152">
        <v>2</v>
      </c>
      <c r="W20" s="152">
        <v>3</v>
      </c>
      <c r="X20" s="152"/>
      <c r="Y20" s="152"/>
      <c r="Z20" s="152"/>
      <c r="AA20" s="152">
        <v>0</v>
      </c>
      <c r="AB20" s="152">
        <v>7</v>
      </c>
      <c r="AC20" s="152"/>
      <c r="AD20" s="152"/>
      <c r="AE20" s="152"/>
      <c r="AF20" s="152">
        <v>7</v>
      </c>
      <c r="AG20" s="152">
        <v>7</v>
      </c>
      <c r="AH20" s="152"/>
      <c r="AI20" s="152"/>
      <c r="AJ20" s="152"/>
      <c r="AK20" s="152">
        <v>0</v>
      </c>
      <c r="AL20" s="152">
        <v>1</v>
      </c>
      <c r="AM20" s="152"/>
      <c r="AN20" s="152"/>
      <c r="AO20" s="152"/>
      <c r="AP20" s="152">
        <v>1</v>
      </c>
      <c r="AQ20" s="152">
        <v>1</v>
      </c>
      <c r="AR20" s="152"/>
      <c r="AS20" s="152"/>
      <c r="AT20" s="152"/>
      <c r="AU20" s="152">
        <v>0</v>
      </c>
      <c r="AV20" s="152"/>
      <c r="AW20" s="152"/>
      <c r="AX20" s="152"/>
      <c r="AY20" s="152"/>
      <c r="AZ20" s="152">
        <v>0</v>
      </c>
      <c r="BA20" s="152">
        <v>0</v>
      </c>
      <c r="BB20" s="152"/>
      <c r="BC20" s="152"/>
      <c r="BD20" s="152">
        <v>0</v>
      </c>
      <c r="BE20" s="152">
        <v>1</v>
      </c>
      <c r="BF20" s="152"/>
      <c r="BG20" s="152"/>
      <c r="BH20" s="152"/>
      <c r="BI20" s="152">
        <v>1</v>
      </c>
      <c r="BJ20" s="152">
        <v>1</v>
      </c>
      <c r="BK20" s="152"/>
      <c r="BL20" s="152"/>
      <c r="BM20" s="152"/>
      <c r="BN20" s="152">
        <v>0</v>
      </c>
      <c r="BO20" s="152">
        <v>0</v>
      </c>
      <c r="BP20" s="152">
        <v>42</v>
      </c>
    </row>
    <row r="21" spans="1:68" x14ac:dyDescent="0.35">
      <c r="A21" s="146" t="s">
        <v>352</v>
      </c>
      <c r="B21" s="146" t="s">
        <v>1212</v>
      </c>
      <c r="C21" s="152">
        <v>36</v>
      </c>
      <c r="D21" s="152">
        <v>1</v>
      </c>
      <c r="E21" s="152"/>
      <c r="F21" s="152"/>
      <c r="G21" s="152">
        <v>37</v>
      </c>
      <c r="H21" s="152">
        <v>28</v>
      </c>
      <c r="I21" s="152">
        <v>2</v>
      </c>
      <c r="J21" s="152"/>
      <c r="K21" s="152"/>
      <c r="L21" s="152">
        <v>30</v>
      </c>
      <c r="M21" s="152">
        <v>67</v>
      </c>
      <c r="N21" s="152">
        <v>13</v>
      </c>
      <c r="O21" s="152"/>
      <c r="P21" s="152"/>
      <c r="Q21" s="152">
        <v>13</v>
      </c>
      <c r="R21" s="152">
        <v>7</v>
      </c>
      <c r="S21" s="152"/>
      <c r="T21" s="152"/>
      <c r="U21" s="152"/>
      <c r="V21" s="152">
        <v>7</v>
      </c>
      <c r="W21" s="152">
        <v>20</v>
      </c>
      <c r="X21" s="152">
        <v>6</v>
      </c>
      <c r="Y21" s="152"/>
      <c r="Z21" s="152"/>
      <c r="AA21" s="152">
        <v>6</v>
      </c>
      <c r="AB21" s="152">
        <v>2</v>
      </c>
      <c r="AC21" s="152"/>
      <c r="AD21" s="152"/>
      <c r="AE21" s="152"/>
      <c r="AF21" s="152">
        <v>2</v>
      </c>
      <c r="AG21" s="152">
        <v>8</v>
      </c>
      <c r="AH21" s="152">
        <v>4</v>
      </c>
      <c r="AI21" s="152"/>
      <c r="AJ21" s="152"/>
      <c r="AK21" s="152">
        <v>4</v>
      </c>
      <c r="AL21" s="152"/>
      <c r="AM21" s="152"/>
      <c r="AN21" s="152"/>
      <c r="AO21" s="152"/>
      <c r="AP21" s="152">
        <v>0</v>
      </c>
      <c r="AQ21" s="152">
        <v>4</v>
      </c>
      <c r="AR21" s="152">
        <v>10</v>
      </c>
      <c r="AS21" s="152"/>
      <c r="AT21" s="152"/>
      <c r="AU21" s="152">
        <v>10</v>
      </c>
      <c r="AV21" s="152">
        <v>1</v>
      </c>
      <c r="AW21" s="152"/>
      <c r="AX21" s="152"/>
      <c r="AY21" s="152"/>
      <c r="AZ21" s="152">
        <v>1</v>
      </c>
      <c r="BA21" s="152">
        <v>11</v>
      </c>
      <c r="BB21" s="152">
        <v>11</v>
      </c>
      <c r="BC21" s="152"/>
      <c r="BD21" s="152">
        <v>11</v>
      </c>
      <c r="BE21" s="152">
        <v>3</v>
      </c>
      <c r="BF21" s="152"/>
      <c r="BG21" s="152"/>
      <c r="BH21" s="152"/>
      <c r="BI21" s="152">
        <v>3</v>
      </c>
      <c r="BJ21" s="152">
        <v>14</v>
      </c>
      <c r="BK21" s="152"/>
      <c r="BL21" s="152"/>
      <c r="BM21" s="152"/>
      <c r="BN21" s="152">
        <v>0</v>
      </c>
      <c r="BO21" s="152">
        <v>0</v>
      </c>
      <c r="BP21" s="152">
        <v>124</v>
      </c>
    </row>
    <row r="22" spans="1:68" x14ac:dyDescent="0.35">
      <c r="A22" s="146" t="s">
        <v>353</v>
      </c>
      <c r="B22" s="146" t="s">
        <v>354</v>
      </c>
      <c r="C22" s="152">
        <v>44</v>
      </c>
      <c r="D22" s="152">
        <v>9</v>
      </c>
      <c r="E22" s="152">
        <v>5</v>
      </c>
      <c r="F22" s="152"/>
      <c r="G22" s="152">
        <v>58</v>
      </c>
      <c r="H22" s="152">
        <v>296</v>
      </c>
      <c r="I22" s="152">
        <v>282</v>
      </c>
      <c r="J22" s="152">
        <v>99</v>
      </c>
      <c r="K22" s="152">
        <v>8</v>
      </c>
      <c r="L22" s="152">
        <v>685</v>
      </c>
      <c r="M22" s="152">
        <v>743</v>
      </c>
      <c r="N22" s="152">
        <v>6</v>
      </c>
      <c r="O22" s="152"/>
      <c r="P22" s="152"/>
      <c r="Q22" s="152">
        <v>6</v>
      </c>
      <c r="R22" s="152">
        <v>7</v>
      </c>
      <c r="S22" s="152">
        <v>4</v>
      </c>
      <c r="T22" s="152">
        <v>3</v>
      </c>
      <c r="U22" s="152">
        <v>2</v>
      </c>
      <c r="V22" s="152">
        <v>16</v>
      </c>
      <c r="W22" s="152">
        <v>22</v>
      </c>
      <c r="X22" s="152">
        <v>16</v>
      </c>
      <c r="Y22" s="152">
        <v>2</v>
      </c>
      <c r="Z22" s="152">
        <v>1</v>
      </c>
      <c r="AA22" s="152">
        <v>19</v>
      </c>
      <c r="AB22" s="152">
        <v>62</v>
      </c>
      <c r="AC22" s="152">
        <v>27</v>
      </c>
      <c r="AD22" s="152">
        <v>2</v>
      </c>
      <c r="AE22" s="152">
        <v>1</v>
      </c>
      <c r="AF22" s="152">
        <v>92</v>
      </c>
      <c r="AG22" s="152">
        <v>111</v>
      </c>
      <c r="AH22" s="152">
        <v>29</v>
      </c>
      <c r="AI22" s="152">
        <v>6</v>
      </c>
      <c r="AJ22" s="152"/>
      <c r="AK22" s="152">
        <v>35</v>
      </c>
      <c r="AL22" s="152">
        <v>14</v>
      </c>
      <c r="AM22" s="152">
        <v>12</v>
      </c>
      <c r="AN22" s="152"/>
      <c r="AO22" s="152"/>
      <c r="AP22" s="152">
        <v>26</v>
      </c>
      <c r="AQ22" s="152">
        <v>61</v>
      </c>
      <c r="AR22" s="152">
        <v>6</v>
      </c>
      <c r="AS22" s="152"/>
      <c r="AT22" s="152"/>
      <c r="AU22" s="152">
        <v>6</v>
      </c>
      <c r="AV22" s="152">
        <v>17</v>
      </c>
      <c r="AW22" s="152">
        <v>2</v>
      </c>
      <c r="AX22" s="152">
        <v>1</v>
      </c>
      <c r="AY22" s="152"/>
      <c r="AZ22" s="152">
        <v>20</v>
      </c>
      <c r="BA22" s="152">
        <v>26</v>
      </c>
      <c r="BB22" s="152">
        <v>3</v>
      </c>
      <c r="BC22" s="152">
        <v>1</v>
      </c>
      <c r="BD22" s="152">
        <v>4</v>
      </c>
      <c r="BE22" s="152">
        <v>3</v>
      </c>
      <c r="BF22" s="152">
        <v>1</v>
      </c>
      <c r="BG22" s="152">
        <v>1</v>
      </c>
      <c r="BH22" s="152"/>
      <c r="BI22" s="152">
        <v>5</v>
      </c>
      <c r="BJ22" s="152">
        <v>9</v>
      </c>
      <c r="BK22" s="152"/>
      <c r="BL22" s="152"/>
      <c r="BM22" s="152"/>
      <c r="BN22" s="152">
        <v>0</v>
      </c>
      <c r="BO22" s="152">
        <v>0</v>
      </c>
      <c r="BP22" s="152">
        <v>972</v>
      </c>
    </row>
    <row r="23" spans="1:68" x14ac:dyDescent="0.35">
      <c r="A23" s="146" t="s">
        <v>355</v>
      </c>
      <c r="B23" s="146" t="s">
        <v>1213</v>
      </c>
      <c r="C23" s="152"/>
      <c r="D23" s="152"/>
      <c r="E23" s="152"/>
      <c r="F23" s="152"/>
      <c r="G23" s="152">
        <v>0</v>
      </c>
      <c r="H23" s="152">
        <v>19</v>
      </c>
      <c r="I23" s="152">
        <v>2</v>
      </c>
      <c r="J23" s="152">
        <v>1</v>
      </c>
      <c r="K23" s="152"/>
      <c r="L23" s="152">
        <v>22</v>
      </c>
      <c r="M23" s="152">
        <v>22</v>
      </c>
      <c r="N23" s="152">
        <v>1</v>
      </c>
      <c r="O23" s="152"/>
      <c r="P23" s="152"/>
      <c r="Q23" s="152">
        <v>1</v>
      </c>
      <c r="R23" s="152"/>
      <c r="S23" s="152"/>
      <c r="T23" s="152"/>
      <c r="U23" s="152"/>
      <c r="V23" s="152">
        <v>0</v>
      </c>
      <c r="W23" s="152">
        <v>1</v>
      </c>
      <c r="X23" s="152"/>
      <c r="Y23" s="152"/>
      <c r="Z23" s="152"/>
      <c r="AA23" s="152">
        <v>0</v>
      </c>
      <c r="AB23" s="152"/>
      <c r="AC23" s="152"/>
      <c r="AD23" s="152"/>
      <c r="AE23" s="152"/>
      <c r="AF23" s="152">
        <v>0</v>
      </c>
      <c r="AG23" s="152">
        <v>0</v>
      </c>
      <c r="AH23" s="152"/>
      <c r="AI23" s="152"/>
      <c r="AJ23" s="152"/>
      <c r="AK23" s="152">
        <v>0</v>
      </c>
      <c r="AL23" s="152"/>
      <c r="AM23" s="152"/>
      <c r="AN23" s="152"/>
      <c r="AO23" s="152"/>
      <c r="AP23" s="152">
        <v>0</v>
      </c>
      <c r="AQ23" s="152">
        <v>0</v>
      </c>
      <c r="AR23" s="152">
        <v>3</v>
      </c>
      <c r="AS23" s="152"/>
      <c r="AT23" s="152"/>
      <c r="AU23" s="152">
        <v>3</v>
      </c>
      <c r="AV23" s="152">
        <v>7</v>
      </c>
      <c r="AW23" s="152"/>
      <c r="AX23" s="152"/>
      <c r="AY23" s="152"/>
      <c r="AZ23" s="152">
        <v>7</v>
      </c>
      <c r="BA23" s="152">
        <v>10</v>
      </c>
      <c r="BB23" s="152"/>
      <c r="BC23" s="152"/>
      <c r="BD23" s="152">
        <v>0</v>
      </c>
      <c r="BE23" s="152">
        <v>1</v>
      </c>
      <c r="BF23" s="152"/>
      <c r="BG23" s="152"/>
      <c r="BH23" s="152"/>
      <c r="BI23" s="152">
        <v>1</v>
      </c>
      <c r="BJ23" s="152">
        <v>1</v>
      </c>
      <c r="BK23" s="152"/>
      <c r="BL23" s="152"/>
      <c r="BM23" s="152"/>
      <c r="BN23" s="152">
        <v>0</v>
      </c>
      <c r="BO23" s="152">
        <v>0</v>
      </c>
      <c r="BP23" s="152">
        <v>34</v>
      </c>
    </row>
    <row r="24" spans="1:68" x14ac:dyDescent="0.35">
      <c r="A24" s="146" t="s">
        <v>356</v>
      </c>
      <c r="B24" s="146" t="s">
        <v>1214</v>
      </c>
      <c r="C24" s="152"/>
      <c r="D24" s="152">
        <v>1</v>
      </c>
      <c r="E24" s="152"/>
      <c r="F24" s="152"/>
      <c r="G24" s="152">
        <v>1</v>
      </c>
      <c r="H24" s="152">
        <v>1</v>
      </c>
      <c r="I24" s="152"/>
      <c r="J24" s="152"/>
      <c r="K24" s="152"/>
      <c r="L24" s="152">
        <v>1</v>
      </c>
      <c r="M24" s="152">
        <v>2</v>
      </c>
      <c r="N24" s="152"/>
      <c r="O24" s="152"/>
      <c r="P24" s="152"/>
      <c r="Q24" s="152">
        <v>0</v>
      </c>
      <c r="R24" s="152">
        <v>1</v>
      </c>
      <c r="S24" s="152"/>
      <c r="T24" s="152"/>
      <c r="U24" s="152"/>
      <c r="V24" s="152">
        <v>1</v>
      </c>
      <c r="W24" s="152">
        <v>1</v>
      </c>
      <c r="X24" s="152"/>
      <c r="Y24" s="152"/>
      <c r="Z24" s="152"/>
      <c r="AA24" s="152">
        <v>0</v>
      </c>
      <c r="AB24" s="152"/>
      <c r="AC24" s="152"/>
      <c r="AD24" s="152"/>
      <c r="AE24" s="152"/>
      <c r="AF24" s="152">
        <v>0</v>
      </c>
      <c r="AG24" s="152">
        <v>0</v>
      </c>
      <c r="AH24" s="152"/>
      <c r="AI24" s="152"/>
      <c r="AJ24" s="152"/>
      <c r="AK24" s="152">
        <v>0</v>
      </c>
      <c r="AL24" s="152"/>
      <c r="AM24" s="152"/>
      <c r="AN24" s="152"/>
      <c r="AO24" s="152"/>
      <c r="AP24" s="152">
        <v>0</v>
      </c>
      <c r="AQ24" s="152">
        <v>0</v>
      </c>
      <c r="AR24" s="152"/>
      <c r="AS24" s="152"/>
      <c r="AT24" s="152"/>
      <c r="AU24" s="152">
        <v>0</v>
      </c>
      <c r="AV24" s="152"/>
      <c r="AW24" s="152"/>
      <c r="AX24" s="152"/>
      <c r="AY24" s="152"/>
      <c r="AZ24" s="152">
        <v>0</v>
      </c>
      <c r="BA24" s="152">
        <v>0</v>
      </c>
      <c r="BB24" s="152"/>
      <c r="BC24" s="152"/>
      <c r="BD24" s="152">
        <v>0</v>
      </c>
      <c r="BE24" s="152"/>
      <c r="BF24" s="152"/>
      <c r="BG24" s="152"/>
      <c r="BH24" s="152"/>
      <c r="BI24" s="152">
        <v>0</v>
      </c>
      <c r="BJ24" s="152">
        <v>0</v>
      </c>
      <c r="BK24" s="152"/>
      <c r="BL24" s="152"/>
      <c r="BM24" s="152"/>
      <c r="BN24" s="152">
        <v>0</v>
      </c>
      <c r="BO24" s="152">
        <v>0</v>
      </c>
      <c r="BP24" s="152">
        <v>3</v>
      </c>
    </row>
    <row r="25" spans="1:68" x14ac:dyDescent="0.35">
      <c r="A25" s="146" t="s">
        <v>357</v>
      </c>
      <c r="B25" s="146" t="s">
        <v>358</v>
      </c>
      <c r="C25" s="152">
        <v>11</v>
      </c>
      <c r="D25" s="152">
        <v>1</v>
      </c>
      <c r="E25" s="152">
        <v>1</v>
      </c>
      <c r="F25" s="152"/>
      <c r="G25" s="152">
        <v>13</v>
      </c>
      <c r="H25" s="152">
        <v>33</v>
      </c>
      <c r="I25" s="152">
        <v>38</v>
      </c>
      <c r="J25" s="152">
        <v>15</v>
      </c>
      <c r="K25" s="152">
        <v>2</v>
      </c>
      <c r="L25" s="152">
        <v>88</v>
      </c>
      <c r="M25" s="152">
        <v>101</v>
      </c>
      <c r="N25" s="152">
        <v>6</v>
      </c>
      <c r="O25" s="152"/>
      <c r="P25" s="152"/>
      <c r="Q25" s="152">
        <v>6</v>
      </c>
      <c r="R25" s="152">
        <v>6</v>
      </c>
      <c r="S25" s="152">
        <v>3</v>
      </c>
      <c r="T25" s="152">
        <v>1</v>
      </c>
      <c r="U25" s="152"/>
      <c r="V25" s="152">
        <v>10</v>
      </c>
      <c r="W25" s="152">
        <v>16</v>
      </c>
      <c r="X25" s="152">
        <v>6</v>
      </c>
      <c r="Y25" s="152"/>
      <c r="Z25" s="152"/>
      <c r="AA25" s="152">
        <v>6</v>
      </c>
      <c r="AB25" s="152">
        <v>27</v>
      </c>
      <c r="AC25" s="152">
        <v>19</v>
      </c>
      <c r="AD25" s="152">
        <v>3</v>
      </c>
      <c r="AE25" s="152"/>
      <c r="AF25" s="152">
        <v>49</v>
      </c>
      <c r="AG25" s="152">
        <v>55</v>
      </c>
      <c r="AH25" s="152">
        <v>2</v>
      </c>
      <c r="AI25" s="152"/>
      <c r="AJ25" s="152"/>
      <c r="AK25" s="152">
        <v>2</v>
      </c>
      <c r="AL25" s="152">
        <v>1</v>
      </c>
      <c r="AM25" s="152"/>
      <c r="AN25" s="152"/>
      <c r="AO25" s="152"/>
      <c r="AP25" s="152">
        <v>1</v>
      </c>
      <c r="AQ25" s="152">
        <v>3</v>
      </c>
      <c r="AR25" s="152">
        <v>2</v>
      </c>
      <c r="AS25" s="152">
        <v>1</v>
      </c>
      <c r="AT25" s="152"/>
      <c r="AU25" s="152">
        <v>3</v>
      </c>
      <c r="AV25" s="152">
        <v>15</v>
      </c>
      <c r="AW25" s="152">
        <v>5</v>
      </c>
      <c r="AX25" s="152"/>
      <c r="AY25" s="152">
        <v>1</v>
      </c>
      <c r="AZ25" s="152">
        <v>21</v>
      </c>
      <c r="BA25" s="152">
        <v>24</v>
      </c>
      <c r="BB25" s="152">
        <v>5</v>
      </c>
      <c r="BC25" s="152"/>
      <c r="BD25" s="152">
        <v>5</v>
      </c>
      <c r="BE25" s="152">
        <v>6</v>
      </c>
      <c r="BF25" s="152">
        <v>1</v>
      </c>
      <c r="BG25" s="152"/>
      <c r="BH25" s="152"/>
      <c r="BI25" s="152">
        <v>7</v>
      </c>
      <c r="BJ25" s="152">
        <v>12</v>
      </c>
      <c r="BK25" s="152"/>
      <c r="BL25" s="152"/>
      <c r="BM25" s="152"/>
      <c r="BN25" s="152">
        <v>0</v>
      </c>
      <c r="BO25" s="152">
        <v>0</v>
      </c>
      <c r="BP25" s="152">
        <v>211</v>
      </c>
    </row>
    <row r="26" spans="1:68" x14ac:dyDescent="0.35">
      <c r="A26" s="146" t="s">
        <v>359</v>
      </c>
      <c r="B26" s="146" t="s">
        <v>360</v>
      </c>
      <c r="C26" s="152">
        <v>12</v>
      </c>
      <c r="D26" s="152">
        <v>1</v>
      </c>
      <c r="E26" s="152"/>
      <c r="F26" s="152"/>
      <c r="G26" s="152">
        <v>13</v>
      </c>
      <c r="H26" s="152">
        <v>19</v>
      </c>
      <c r="I26" s="152">
        <v>3</v>
      </c>
      <c r="J26" s="152">
        <v>5</v>
      </c>
      <c r="K26" s="152">
        <v>1</v>
      </c>
      <c r="L26" s="152">
        <v>28</v>
      </c>
      <c r="M26" s="152">
        <v>41</v>
      </c>
      <c r="N26" s="152">
        <v>5</v>
      </c>
      <c r="O26" s="152"/>
      <c r="P26" s="152"/>
      <c r="Q26" s="152">
        <v>5</v>
      </c>
      <c r="R26" s="152">
        <v>6</v>
      </c>
      <c r="S26" s="152"/>
      <c r="T26" s="152"/>
      <c r="U26" s="152"/>
      <c r="V26" s="152">
        <v>6</v>
      </c>
      <c r="W26" s="152">
        <v>11</v>
      </c>
      <c r="X26" s="152">
        <v>8</v>
      </c>
      <c r="Y26" s="152"/>
      <c r="Z26" s="152"/>
      <c r="AA26" s="152">
        <v>8</v>
      </c>
      <c r="AB26" s="152">
        <v>6</v>
      </c>
      <c r="AC26" s="152">
        <v>1</v>
      </c>
      <c r="AD26" s="152"/>
      <c r="AE26" s="152"/>
      <c r="AF26" s="152">
        <v>7</v>
      </c>
      <c r="AG26" s="152">
        <v>15</v>
      </c>
      <c r="AH26" s="152">
        <v>1</v>
      </c>
      <c r="AI26" s="152"/>
      <c r="AJ26" s="152"/>
      <c r="AK26" s="152">
        <v>1</v>
      </c>
      <c r="AL26" s="152"/>
      <c r="AM26" s="152"/>
      <c r="AN26" s="152"/>
      <c r="AO26" s="152"/>
      <c r="AP26" s="152">
        <v>0</v>
      </c>
      <c r="AQ26" s="152">
        <v>1</v>
      </c>
      <c r="AR26" s="152">
        <v>4</v>
      </c>
      <c r="AS26" s="152"/>
      <c r="AT26" s="152"/>
      <c r="AU26" s="152">
        <v>4</v>
      </c>
      <c r="AV26" s="152">
        <v>10</v>
      </c>
      <c r="AW26" s="152">
        <v>1</v>
      </c>
      <c r="AX26" s="152">
        <v>1</v>
      </c>
      <c r="AY26" s="152"/>
      <c r="AZ26" s="152">
        <v>12</v>
      </c>
      <c r="BA26" s="152">
        <v>16</v>
      </c>
      <c r="BB26" s="152">
        <v>4</v>
      </c>
      <c r="BC26" s="152"/>
      <c r="BD26" s="152">
        <v>4</v>
      </c>
      <c r="BE26" s="152">
        <v>3</v>
      </c>
      <c r="BF26" s="152">
        <v>1</v>
      </c>
      <c r="BG26" s="152"/>
      <c r="BH26" s="152"/>
      <c r="BI26" s="152">
        <v>4</v>
      </c>
      <c r="BJ26" s="152">
        <v>8</v>
      </c>
      <c r="BK26" s="152"/>
      <c r="BL26" s="152"/>
      <c r="BM26" s="152"/>
      <c r="BN26" s="152">
        <v>0</v>
      </c>
      <c r="BO26" s="152">
        <v>0</v>
      </c>
      <c r="BP26" s="152">
        <v>92</v>
      </c>
    </row>
    <row r="27" spans="1:68" x14ac:dyDescent="0.35">
      <c r="A27" s="146" t="s">
        <v>361</v>
      </c>
      <c r="B27" s="146" t="s">
        <v>362</v>
      </c>
      <c r="C27" s="152">
        <v>15</v>
      </c>
      <c r="D27" s="152"/>
      <c r="E27" s="152"/>
      <c r="F27" s="152"/>
      <c r="G27" s="152">
        <v>15</v>
      </c>
      <c r="H27" s="152">
        <v>12</v>
      </c>
      <c r="I27" s="152">
        <v>3</v>
      </c>
      <c r="J27" s="152"/>
      <c r="K27" s="152">
        <v>1</v>
      </c>
      <c r="L27" s="152">
        <v>16</v>
      </c>
      <c r="M27" s="152">
        <v>31</v>
      </c>
      <c r="N27" s="152">
        <v>10</v>
      </c>
      <c r="O27" s="152"/>
      <c r="P27" s="152"/>
      <c r="Q27" s="152">
        <v>10</v>
      </c>
      <c r="R27" s="152">
        <v>3</v>
      </c>
      <c r="S27" s="152">
        <v>1</v>
      </c>
      <c r="T27" s="152"/>
      <c r="U27" s="152"/>
      <c r="V27" s="152">
        <v>4</v>
      </c>
      <c r="W27" s="152">
        <v>14</v>
      </c>
      <c r="X27" s="152"/>
      <c r="Y27" s="152"/>
      <c r="Z27" s="152"/>
      <c r="AA27" s="152">
        <v>0</v>
      </c>
      <c r="AB27" s="152">
        <v>1</v>
      </c>
      <c r="AC27" s="152"/>
      <c r="AD27" s="152"/>
      <c r="AE27" s="152"/>
      <c r="AF27" s="152">
        <v>1</v>
      </c>
      <c r="AG27" s="152">
        <v>1</v>
      </c>
      <c r="AH27" s="152">
        <v>1</v>
      </c>
      <c r="AI27" s="152"/>
      <c r="AJ27" s="152"/>
      <c r="AK27" s="152">
        <v>1</v>
      </c>
      <c r="AL27" s="152"/>
      <c r="AM27" s="152"/>
      <c r="AN27" s="152"/>
      <c r="AO27" s="152"/>
      <c r="AP27" s="152">
        <v>0</v>
      </c>
      <c r="AQ27" s="152">
        <v>1</v>
      </c>
      <c r="AR27" s="152">
        <v>7</v>
      </c>
      <c r="AS27" s="152"/>
      <c r="AT27" s="152"/>
      <c r="AU27" s="152">
        <v>7</v>
      </c>
      <c r="AV27" s="152">
        <v>2</v>
      </c>
      <c r="AW27" s="152"/>
      <c r="AX27" s="152"/>
      <c r="AY27" s="152"/>
      <c r="AZ27" s="152">
        <v>2</v>
      </c>
      <c r="BA27" s="152">
        <v>9</v>
      </c>
      <c r="BB27" s="152">
        <v>2</v>
      </c>
      <c r="BC27" s="152"/>
      <c r="BD27" s="152">
        <v>2</v>
      </c>
      <c r="BE27" s="152">
        <v>2</v>
      </c>
      <c r="BF27" s="152"/>
      <c r="BG27" s="152"/>
      <c r="BH27" s="152"/>
      <c r="BI27" s="152">
        <v>2</v>
      </c>
      <c r="BJ27" s="152">
        <v>4</v>
      </c>
      <c r="BK27" s="152"/>
      <c r="BL27" s="152"/>
      <c r="BM27" s="152"/>
      <c r="BN27" s="152">
        <v>0</v>
      </c>
      <c r="BO27" s="152">
        <v>0</v>
      </c>
      <c r="BP27" s="152">
        <v>60</v>
      </c>
    </row>
    <row r="28" spans="1:68" x14ac:dyDescent="0.35">
      <c r="A28" s="146" t="s">
        <v>363</v>
      </c>
      <c r="B28" s="146" t="s">
        <v>1215</v>
      </c>
      <c r="C28" s="152">
        <v>14</v>
      </c>
      <c r="D28" s="152">
        <v>1</v>
      </c>
      <c r="E28" s="152">
        <v>2</v>
      </c>
      <c r="F28" s="152"/>
      <c r="G28" s="152">
        <v>17</v>
      </c>
      <c r="H28" s="152">
        <v>80</v>
      </c>
      <c r="I28" s="152">
        <v>53</v>
      </c>
      <c r="J28" s="152">
        <v>18</v>
      </c>
      <c r="K28" s="152">
        <v>2</v>
      </c>
      <c r="L28" s="152">
        <v>153</v>
      </c>
      <c r="M28" s="152">
        <v>170</v>
      </c>
      <c r="N28" s="152">
        <v>5</v>
      </c>
      <c r="O28" s="152"/>
      <c r="P28" s="152">
        <v>1</v>
      </c>
      <c r="Q28" s="152">
        <v>6</v>
      </c>
      <c r="R28" s="152">
        <v>8</v>
      </c>
      <c r="S28" s="152">
        <v>6</v>
      </c>
      <c r="T28" s="152">
        <v>1</v>
      </c>
      <c r="U28" s="152">
        <v>1</v>
      </c>
      <c r="V28" s="152">
        <v>16</v>
      </c>
      <c r="W28" s="152">
        <v>22</v>
      </c>
      <c r="X28" s="152">
        <v>2</v>
      </c>
      <c r="Y28" s="152"/>
      <c r="Z28" s="152"/>
      <c r="AA28" s="152">
        <v>2</v>
      </c>
      <c r="AB28" s="152">
        <v>6</v>
      </c>
      <c r="AC28" s="152">
        <v>4</v>
      </c>
      <c r="AD28" s="152">
        <v>1</v>
      </c>
      <c r="AE28" s="152"/>
      <c r="AF28" s="152">
        <v>11</v>
      </c>
      <c r="AG28" s="152">
        <v>13</v>
      </c>
      <c r="AH28" s="152">
        <v>19</v>
      </c>
      <c r="AI28" s="152"/>
      <c r="AJ28" s="152"/>
      <c r="AK28" s="152">
        <v>19</v>
      </c>
      <c r="AL28" s="152">
        <v>9</v>
      </c>
      <c r="AM28" s="152"/>
      <c r="AN28" s="152"/>
      <c r="AO28" s="152"/>
      <c r="AP28" s="152">
        <v>9</v>
      </c>
      <c r="AQ28" s="152">
        <v>28</v>
      </c>
      <c r="AR28" s="152">
        <v>2</v>
      </c>
      <c r="AS28" s="152"/>
      <c r="AT28" s="152"/>
      <c r="AU28" s="152">
        <v>2</v>
      </c>
      <c r="AV28" s="152">
        <v>6</v>
      </c>
      <c r="AW28" s="152"/>
      <c r="AX28" s="152"/>
      <c r="AY28" s="152"/>
      <c r="AZ28" s="152">
        <v>6</v>
      </c>
      <c r="BA28" s="152">
        <v>8</v>
      </c>
      <c r="BB28" s="152"/>
      <c r="BC28" s="152"/>
      <c r="BD28" s="152">
        <v>0</v>
      </c>
      <c r="BE28" s="152">
        <v>2</v>
      </c>
      <c r="BF28" s="152"/>
      <c r="BG28" s="152"/>
      <c r="BH28" s="152"/>
      <c r="BI28" s="152">
        <v>2</v>
      </c>
      <c r="BJ28" s="152">
        <v>2</v>
      </c>
      <c r="BK28" s="152"/>
      <c r="BL28" s="152"/>
      <c r="BM28" s="152"/>
      <c r="BN28" s="152">
        <v>0</v>
      </c>
      <c r="BO28" s="152">
        <v>0</v>
      </c>
      <c r="BP28" s="152">
        <v>243</v>
      </c>
    </row>
    <row r="29" spans="1:68" x14ac:dyDescent="0.35">
      <c r="A29" s="146" t="s">
        <v>364</v>
      </c>
      <c r="B29" s="146" t="s">
        <v>1216</v>
      </c>
      <c r="C29" s="152">
        <v>16</v>
      </c>
      <c r="D29" s="152">
        <v>1</v>
      </c>
      <c r="E29" s="152"/>
      <c r="F29" s="152"/>
      <c r="G29" s="152">
        <v>17</v>
      </c>
      <c r="H29" s="152">
        <v>129</v>
      </c>
      <c r="I29" s="152">
        <v>24</v>
      </c>
      <c r="J29" s="152">
        <v>3</v>
      </c>
      <c r="K29" s="152">
        <v>1</v>
      </c>
      <c r="L29" s="152">
        <v>157</v>
      </c>
      <c r="M29" s="152">
        <v>174</v>
      </c>
      <c r="N29" s="152">
        <v>9</v>
      </c>
      <c r="O29" s="152"/>
      <c r="P29" s="152"/>
      <c r="Q29" s="152">
        <v>9</v>
      </c>
      <c r="R29" s="152">
        <v>12</v>
      </c>
      <c r="S29" s="152">
        <v>7</v>
      </c>
      <c r="T29" s="152"/>
      <c r="U29" s="152"/>
      <c r="V29" s="152">
        <v>19</v>
      </c>
      <c r="W29" s="152">
        <v>28</v>
      </c>
      <c r="X29" s="152">
        <v>4</v>
      </c>
      <c r="Y29" s="152"/>
      <c r="Z29" s="152"/>
      <c r="AA29" s="152">
        <v>4</v>
      </c>
      <c r="AB29" s="152">
        <v>10</v>
      </c>
      <c r="AC29" s="152"/>
      <c r="AD29" s="152"/>
      <c r="AE29" s="152"/>
      <c r="AF29" s="152">
        <v>10</v>
      </c>
      <c r="AG29" s="152">
        <v>14</v>
      </c>
      <c r="AH29" s="152">
        <v>5</v>
      </c>
      <c r="AI29" s="152"/>
      <c r="AJ29" s="152"/>
      <c r="AK29" s="152">
        <v>5</v>
      </c>
      <c r="AL29" s="152">
        <v>5</v>
      </c>
      <c r="AM29" s="152">
        <v>1</v>
      </c>
      <c r="AN29" s="152"/>
      <c r="AO29" s="152"/>
      <c r="AP29" s="152">
        <v>6</v>
      </c>
      <c r="AQ29" s="152">
        <v>11</v>
      </c>
      <c r="AR29" s="152">
        <v>8</v>
      </c>
      <c r="AS29" s="152">
        <v>1</v>
      </c>
      <c r="AT29" s="152"/>
      <c r="AU29" s="152">
        <v>9</v>
      </c>
      <c r="AV29" s="152">
        <v>10</v>
      </c>
      <c r="AW29" s="152"/>
      <c r="AX29" s="152"/>
      <c r="AY29" s="152"/>
      <c r="AZ29" s="152">
        <v>10</v>
      </c>
      <c r="BA29" s="152">
        <v>19</v>
      </c>
      <c r="BB29" s="152">
        <v>2</v>
      </c>
      <c r="BC29" s="152"/>
      <c r="BD29" s="152">
        <v>2</v>
      </c>
      <c r="BE29" s="152">
        <v>4</v>
      </c>
      <c r="BF29" s="152"/>
      <c r="BG29" s="152"/>
      <c r="BH29" s="152"/>
      <c r="BI29" s="152">
        <v>4</v>
      </c>
      <c r="BJ29" s="152">
        <v>6</v>
      </c>
      <c r="BK29" s="152"/>
      <c r="BL29" s="152"/>
      <c r="BM29" s="152"/>
      <c r="BN29" s="152">
        <v>0</v>
      </c>
      <c r="BO29" s="152">
        <v>0</v>
      </c>
      <c r="BP29" s="152">
        <v>252</v>
      </c>
    </row>
    <row r="30" spans="1:68" x14ac:dyDescent="0.35">
      <c r="A30" s="146" t="s">
        <v>365</v>
      </c>
      <c r="B30" s="146" t="s">
        <v>366</v>
      </c>
      <c r="C30" s="152">
        <v>14</v>
      </c>
      <c r="D30" s="152"/>
      <c r="E30" s="152"/>
      <c r="F30" s="152"/>
      <c r="G30" s="152">
        <v>14</v>
      </c>
      <c r="H30" s="152">
        <v>52</v>
      </c>
      <c r="I30" s="152">
        <v>19</v>
      </c>
      <c r="J30" s="152">
        <v>5</v>
      </c>
      <c r="K30" s="152"/>
      <c r="L30" s="152">
        <v>76</v>
      </c>
      <c r="M30" s="152">
        <v>90</v>
      </c>
      <c r="N30" s="152"/>
      <c r="O30" s="152"/>
      <c r="P30" s="152"/>
      <c r="Q30" s="152">
        <v>0</v>
      </c>
      <c r="R30" s="152"/>
      <c r="S30" s="152">
        <v>1</v>
      </c>
      <c r="T30" s="152"/>
      <c r="U30" s="152"/>
      <c r="V30" s="152">
        <v>1</v>
      </c>
      <c r="W30" s="152">
        <v>1</v>
      </c>
      <c r="X30" s="152">
        <v>2</v>
      </c>
      <c r="Y30" s="152"/>
      <c r="Z30" s="152"/>
      <c r="AA30" s="152">
        <v>2</v>
      </c>
      <c r="AB30" s="152">
        <v>6</v>
      </c>
      <c r="AC30" s="152">
        <v>1</v>
      </c>
      <c r="AD30" s="152"/>
      <c r="AE30" s="152"/>
      <c r="AF30" s="152">
        <v>7</v>
      </c>
      <c r="AG30" s="152">
        <v>9</v>
      </c>
      <c r="AH30" s="152">
        <v>5</v>
      </c>
      <c r="AI30" s="152"/>
      <c r="AJ30" s="152"/>
      <c r="AK30" s="152">
        <v>5</v>
      </c>
      <c r="AL30" s="152">
        <v>2</v>
      </c>
      <c r="AM30" s="152">
        <v>1</v>
      </c>
      <c r="AN30" s="152"/>
      <c r="AO30" s="152"/>
      <c r="AP30" s="152">
        <v>3</v>
      </c>
      <c r="AQ30" s="152">
        <v>8</v>
      </c>
      <c r="AR30" s="152">
        <v>3</v>
      </c>
      <c r="AS30" s="152"/>
      <c r="AT30" s="152"/>
      <c r="AU30" s="152">
        <v>3</v>
      </c>
      <c r="AV30" s="152">
        <v>3</v>
      </c>
      <c r="AW30" s="152">
        <v>1</v>
      </c>
      <c r="AX30" s="152"/>
      <c r="AY30" s="152"/>
      <c r="AZ30" s="152">
        <v>4</v>
      </c>
      <c r="BA30" s="152">
        <v>7</v>
      </c>
      <c r="BB30" s="152">
        <v>3</v>
      </c>
      <c r="BC30" s="152"/>
      <c r="BD30" s="152">
        <v>3</v>
      </c>
      <c r="BE30" s="152"/>
      <c r="BF30" s="152"/>
      <c r="BG30" s="152"/>
      <c r="BH30" s="152"/>
      <c r="BI30" s="152">
        <v>0</v>
      </c>
      <c r="BJ30" s="152">
        <v>3</v>
      </c>
      <c r="BK30" s="152"/>
      <c r="BL30" s="152"/>
      <c r="BM30" s="152"/>
      <c r="BN30" s="152">
        <v>0</v>
      </c>
      <c r="BO30" s="152">
        <v>0</v>
      </c>
      <c r="BP30" s="152">
        <v>118</v>
      </c>
    </row>
    <row r="31" spans="1:68" x14ac:dyDescent="0.35">
      <c r="A31" s="146" t="s">
        <v>367</v>
      </c>
      <c r="B31" s="146" t="s">
        <v>1217</v>
      </c>
      <c r="C31" s="152">
        <v>4</v>
      </c>
      <c r="D31" s="152"/>
      <c r="E31" s="152"/>
      <c r="F31" s="152"/>
      <c r="G31" s="152">
        <v>4</v>
      </c>
      <c r="H31" s="152">
        <v>12</v>
      </c>
      <c r="I31" s="152">
        <v>5</v>
      </c>
      <c r="J31" s="152">
        <v>1</v>
      </c>
      <c r="K31" s="152"/>
      <c r="L31" s="152">
        <v>18</v>
      </c>
      <c r="M31" s="152">
        <v>22</v>
      </c>
      <c r="N31" s="152">
        <v>7</v>
      </c>
      <c r="O31" s="152"/>
      <c r="P31" s="152"/>
      <c r="Q31" s="152">
        <v>7</v>
      </c>
      <c r="R31" s="152">
        <v>5</v>
      </c>
      <c r="S31" s="152"/>
      <c r="T31" s="152"/>
      <c r="U31" s="152"/>
      <c r="V31" s="152">
        <v>5</v>
      </c>
      <c r="W31" s="152">
        <v>12</v>
      </c>
      <c r="X31" s="152">
        <v>1</v>
      </c>
      <c r="Y31" s="152"/>
      <c r="Z31" s="152"/>
      <c r="AA31" s="152">
        <v>1</v>
      </c>
      <c r="AB31" s="152"/>
      <c r="AC31" s="152">
        <v>1</v>
      </c>
      <c r="AD31" s="152"/>
      <c r="AE31" s="152"/>
      <c r="AF31" s="152">
        <v>1</v>
      </c>
      <c r="AG31" s="152">
        <v>2</v>
      </c>
      <c r="AH31" s="152"/>
      <c r="AI31" s="152"/>
      <c r="AJ31" s="152"/>
      <c r="AK31" s="152">
        <v>0</v>
      </c>
      <c r="AL31" s="152"/>
      <c r="AM31" s="152"/>
      <c r="AN31" s="152"/>
      <c r="AO31" s="152"/>
      <c r="AP31" s="152">
        <v>0</v>
      </c>
      <c r="AQ31" s="152">
        <v>0</v>
      </c>
      <c r="AR31" s="152"/>
      <c r="AS31" s="152"/>
      <c r="AT31" s="152"/>
      <c r="AU31" s="152">
        <v>0</v>
      </c>
      <c r="AV31" s="152">
        <v>1</v>
      </c>
      <c r="AW31" s="152"/>
      <c r="AX31" s="152"/>
      <c r="AY31" s="152"/>
      <c r="AZ31" s="152">
        <v>1</v>
      </c>
      <c r="BA31" s="152">
        <v>1</v>
      </c>
      <c r="BB31" s="152">
        <v>1</v>
      </c>
      <c r="BC31" s="152"/>
      <c r="BD31" s="152">
        <v>1</v>
      </c>
      <c r="BE31" s="152">
        <v>2</v>
      </c>
      <c r="BF31" s="152"/>
      <c r="BG31" s="152"/>
      <c r="BH31" s="152"/>
      <c r="BI31" s="152">
        <v>2</v>
      </c>
      <c r="BJ31" s="152">
        <v>3</v>
      </c>
      <c r="BK31" s="152"/>
      <c r="BL31" s="152"/>
      <c r="BM31" s="152"/>
      <c r="BN31" s="152">
        <v>0</v>
      </c>
      <c r="BO31" s="152">
        <v>0</v>
      </c>
      <c r="BP31" s="152">
        <v>40</v>
      </c>
    </row>
    <row r="32" spans="1:68" x14ac:dyDescent="0.35">
      <c r="A32" s="146" t="s">
        <v>368</v>
      </c>
      <c r="B32" s="146" t="s">
        <v>1218</v>
      </c>
      <c r="C32" s="152"/>
      <c r="D32" s="152"/>
      <c r="E32" s="152"/>
      <c r="F32" s="152"/>
      <c r="G32" s="152">
        <v>0</v>
      </c>
      <c r="H32" s="152">
        <v>5</v>
      </c>
      <c r="I32" s="152"/>
      <c r="J32" s="152"/>
      <c r="K32" s="152"/>
      <c r="L32" s="152">
        <v>5</v>
      </c>
      <c r="M32" s="152">
        <v>5</v>
      </c>
      <c r="N32" s="152"/>
      <c r="O32" s="152"/>
      <c r="P32" s="152"/>
      <c r="Q32" s="152">
        <v>0</v>
      </c>
      <c r="R32" s="152"/>
      <c r="S32" s="152"/>
      <c r="T32" s="152"/>
      <c r="U32" s="152"/>
      <c r="V32" s="152">
        <v>0</v>
      </c>
      <c r="W32" s="152">
        <v>0</v>
      </c>
      <c r="X32" s="152"/>
      <c r="Y32" s="152"/>
      <c r="Z32" s="152"/>
      <c r="AA32" s="152">
        <v>0</v>
      </c>
      <c r="AB32" s="152"/>
      <c r="AC32" s="152"/>
      <c r="AD32" s="152"/>
      <c r="AE32" s="152"/>
      <c r="AF32" s="152">
        <v>0</v>
      </c>
      <c r="AG32" s="152">
        <v>0</v>
      </c>
      <c r="AH32" s="152"/>
      <c r="AI32" s="152"/>
      <c r="AJ32" s="152"/>
      <c r="AK32" s="152">
        <v>0</v>
      </c>
      <c r="AL32" s="152"/>
      <c r="AM32" s="152"/>
      <c r="AN32" s="152"/>
      <c r="AO32" s="152"/>
      <c r="AP32" s="152">
        <v>0</v>
      </c>
      <c r="AQ32" s="152">
        <v>0</v>
      </c>
      <c r="AR32" s="152"/>
      <c r="AS32" s="152"/>
      <c r="AT32" s="152"/>
      <c r="AU32" s="152">
        <v>0</v>
      </c>
      <c r="AV32" s="152"/>
      <c r="AW32" s="152"/>
      <c r="AX32" s="152"/>
      <c r="AY32" s="152"/>
      <c r="AZ32" s="152">
        <v>0</v>
      </c>
      <c r="BA32" s="152">
        <v>0</v>
      </c>
      <c r="BB32" s="152"/>
      <c r="BC32" s="152"/>
      <c r="BD32" s="152">
        <v>0</v>
      </c>
      <c r="BE32" s="152"/>
      <c r="BF32" s="152"/>
      <c r="BG32" s="152"/>
      <c r="BH32" s="152"/>
      <c r="BI32" s="152">
        <v>0</v>
      </c>
      <c r="BJ32" s="152">
        <v>0</v>
      </c>
      <c r="BK32" s="152"/>
      <c r="BL32" s="152"/>
      <c r="BM32" s="152"/>
      <c r="BN32" s="152">
        <v>0</v>
      </c>
      <c r="BO32" s="152">
        <v>0</v>
      </c>
      <c r="BP32" s="152">
        <v>5</v>
      </c>
    </row>
    <row r="33" spans="1:68" x14ac:dyDescent="0.35">
      <c r="A33" s="146" t="s">
        <v>369</v>
      </c>
      <c r="B33" s="146" t="s">
        <v>370</v>
      </c>
      <c r="C33" s="152">
        <v>5</v>
      </c>
      <c r="D33" s="152"/>
      <c r="E33" s="152"/>
      <c r="F33" s="152"/>
      <c r="G33" s="152">
        <v>5</v>
      </c>
      <c r="H33" s="152">
        <v>31</v>
      </c>
      <c r="I33" s="152">
        <v>33</v>
      </c>
      <c r="J33" s="152">
        <v>11</v>
      </c>
      <c r="K33" s="152">
        <v>7</v>
      </c>
      <c r="L33" s="152">
        <v>82</v>
      </c>
      <c r="M33" s="152">
        <v>87</v>
      </c>
      <c r="N33" s="152">
        <v>2</v>
      </c>
      <c r="O33" s="152"/>
      <c r="P33" s="152"/>
      <c r="Q33" s="152">
        <v>2</v>
      </c>
      <c r="R33" s="152">
        <v>2</v>
      </c>
      <c r="S33" s="152"/>
      <c r="T33" s="152"/>
      <c r="U33" s="152"/>
      <c r="V33" s="152">
        <v>2</v>
      </c>
      <c r="W33" s="152">
        <v>4</v>
      </c>
      <c r="X33" s="152">
        <v>3</v>
      </c>
      <c r="Y33" s="152"/>
      <c r="Z33" s="152"/>
      <c r="AA33" s="152">
        <v>3</v>
      </c>
      <c r="AB33" s="152">
        <v>1</v>
      </c>
      <c r="AC33" s="152"/>
      <c r="AD33" s="152"/>
      <c r="AE33" s="152"/>
      <c r="AF33" s="152">
        <v>1</v>
      </c>
      <c r="AG33" s="152">
        <v>4</v>
      </c>
      <c r="AH33" s="152">
        <v>1</v>
      </c>
      <c r="AI33" s="152"/>
      <c r="AJ33" s="152"/>
      <c r="AK33" s="152">
        <v>1</v>
      </c>
      <c r="AL33" s="152">
        <v>4</v>
      </c>
      <c r="AM33" s="152"/>
      <c r="AN33" s="152"/>
      <c r="AO33" s="152"/>
      <c r="AP33" s="152">
        <v>4</v>
      </c>
      <c r="AQ33" s="152">
        <v>5</v>
      </c>
      <c r="AR33" s="152"/>
      <c r="AS33" s="152"/>
      <c r="AT33" s="152"/>
      <c r="AU33" s="152">
        <v>0</v>
      </c>
      <c r="AV33" s="152">
        <v>2</v>
      </c>
      <c r="AW33" s="152">
        <v>1</v>
      </c>
      <c r="AX33" s="152"/>
      <c r="AY33" s="152"/>
      <c r="AZ33" s="152">
        <v>3</v>
      </c>
      <c r="BA33" s="152">
        <v>3</v>
      </c>
      <c r="BB33" s="152">
        <v>1</v>
      </c>
      <c r="BC33" s="152"/>
      <c r="BD33" s="152">
        <v>1</v>
      </c>
      <c r="BE33" s="152">
        <v>1</v>
      </c>
      <c r="BF33" s="152"/>
      <c r="BG33" s="152"/>
      <c r="BH33" s="152"/>
      <c r="BI33" s="152">
        <v>1</v>
      </c>
      <c r="BJ33" s="152">
        <v>2</v>
      </c>
      <c r="BK33" s="152"/>
      <c r="BL33" s="152"/>
      <c r="BM33" s="152"/>
      <c r="BN33" s="152">
        <v>0</v>
      </c>
      <c r="BO33" s="152">
        <v>0</v>
      </c>
      <c r="BP33" s="152">
        <v>105</v>
      </c>
    </row>
    <row r="34" spans="1:68" x14ac:dyDescent="0.35">
      <c r="A34" s="146" t="s">
        <v>371</v>
      </c>
      <c r="B34" s="146" t="s">
        <v>1219</v>
      </c>
      <c r="C34" s="152">
        <v>4</v>
      </c>
      <c r="D34" s="152"/>
      <c r="E34" s="152"/>
      <c r="F34" s="152"/>
      <c r="G34" s="152">
        <v>4</v>
      </c>
      <c r="H34" s="152">
        <v>7</v>
      </c>
      <c r="I34" s="152">
        <v>8</v>
      </c>
      <c r="J34" s="152">
        <v>1</v>
      </c>
      <c r="K34" s="152">
        <v>1</v>
      </c>
      <c r="L34" s="152">
        <v>17</v>
      </c>
      <c r="M34" s="152">
        <v>21</v>
      </c>
      <c r="N34" s="152">
        <v>4</v>
      </c>
      <c r="O34" s="152"/>
      <c r="P34" s="152"/>
      <c r="Q34" s="152">
        <v>4</v>
      </c>
      <c r="R34" s="152">
        <v>4</v>
      </c>
      <c r="S34" s="152"/>
      <c r="T34" s="152"/>
      <c r="U34" s="152"/>
      <c r="V34" s="152">
        <v>4</v>
      </c>
      <c r="W34" s="152">
        <v>8</v>
      </c>
      <c r="X34" s="152"/>
      <c r="Y34" s="152"/>
      <c r="Z34" s="152"/>
      <c r="AA34" s="152">
        <v>0</v>
      </c>
      <c r="AB34" s="152">
        <v>1</v>
      </c>
      <c r="AC34" s="152">
        <v>1</v>
      </c>
      <c r="AD34" s="152"/>
      <c r="AE34" s="152"/>
      <c r="AF34" s="152">
        <v>2</v>
      </c>
      <c r="AG34" s="152">
        <v>2</v>
      </c>
      <c r="AH34" s="152"/>
      <c r="AI34" s="152"/>
      <c r="AJ34" s="152"/>
      <c r="AK34" s="152">
        <v>0</v>
      </c>
      <c r="AL34" s="152">
        <v>2</v>
      </c>
      <c r="AM34" s="152"/>
      <c r="AN34" s="152"/>
      <c r="AO34" s="152"/>
      <c r="AP34" s="152">
        <v>2</v>
      </c>
      <c r="AQ34" s="152">
        <v>2</v>
      </c>
      <c r="AR34" s="152">
        <v>4</v>
      </c>
      <c r="AS34" s="152"/>
      <c r="AT34" s="152"/>
      <c r="AU34" s="152">
        <v>4</v>
      </c>
      <c r="AV34" s="152">
        <v>3</v>
      </c>
      <c r="AW34" s="152"/>
      <c r="AX34" s="152"/>
      <c r="AY34" s="152"/>
      <c r="AZ34" s="152">
        <v>3</v>
      </c>
      <c r="BA34" s="152">
        <v>7</v>
      </c>
      <c r="BB34" s="152">
        <v>3</v>
      </c>
      <c r="BC34" s="152"/>
      <c r="BD34" s="152">
        <v>3</v>
      </c>
      <c r="BE34" s="152">
        <v>1</v>
      </c>
      <c r="BF34" s="152"/>
      <c r="BG34" s="152"/>
      <c r="BH34" s="152"/>
      <c r="BI34" s="152">
        <v>1</v>
      </c>
      <c r="BJ34" s="152">
        <v>4</v>
      </c>
      <c r="BK34" s="152"/>
      <c r="BL34" s="152"/>
      <c r="BM34" s="152"/>
      <c r="BN34" s="152">
        <v>0</v>
      </c>
      <c r="BO34" s="152">
        <v>0</v>
      </c>
      <c r="BP34" s="152">
        <v>44</v>
      </c>
    </row>
    <row r="35" spans="1:68" x14ac:dyDescent="0.35">
      <c r="A35" s="146" t="s">
        <v>372</v>
      </c>
      <c r="B35" s="146" t="s">
        <v>373</v>
      </c>
      <c r="C35" s="152">
        <v>1</v>
      </c>
      <c r="D35" s="152"/>
      <c r="E35" s="152"/>
      <c r="F35" s="152"/>
      <c r="G35" s="152">
        <v>1</v>
      </c>
      <c r="H35" s="152"/>
      <c r="I35" s="152">
        <v>1</v>
      </c>
      <c r="J35" s="152"/>
      <c r="K35" s="152"/>
      <c r="L35" s="152">
        <v>1</v>
      </c>
      <c r="M35" s="152">
        <v>2</v>
      </c>
      <c r="N35" s="152"/>
      <c r="O35" s="152"/>
      <c r="P35" s="152"/>
      <c r="Q35" s="152">
        <v>0</v>
      </c>
      <c r="R35" s="152"/>
      <c r="S35" s="152"/>
      <c r="T35" s="152"/>
      <c r="U35" s="152"/>
      <c r="V35" s="152">
        <v>0</v>
      </c>
      <c r="W35" s="152">
        <v>0</v>
      </c>
      <c r="X35" s="152"/>
      <c r="Y35" s="152"/>
      <c r="Z35" s="152"/>
      <c r="AA35" s="152">
        <v>0</v>
      </c>
      <c r="AB35" s="152"/>
      <c r="AC35" s="152"/>
      <c r="AD35" s="152"/>
      <c r="AE35" s="152"/>
      <c r="AF35" s="152">
        <v>0</v>
      </c>
      <c r="AG35" s="152">
        <v>0</v>
      </c>
      <c r="AH35" s="152"/>
      <c r="AI35" s="152"/>
      <c r="AJ35" s="152"/>
      <c r="AK35" s="152">
        <v>0</v>
      </c>
      <c r="AL35" s="152"/>
      <c r="AM35" s="152"/>
      <c r="AN35" s="152"/>
      <c r="AO35" s="152"/>
      <c r="AP35" s="152">
        <v>0</v>
      </c>
      <c r="AQ35" s="152">
        <v>0</v>
      </c>
      <c r="AR35" s="152"/>
      <c r="AS35" s="152"/>
      <c r="AT35" s="152"/>
      <c r="AU35" s="152">
        <v>0</v>
      </c>
      <c r="AV35" s="152"/>
      <c r="AW35" s="152"/>
      <c r="AX35" s="152"/>
      <c r="AY35" s="152"/>
      <c r="AZ35" s="152">
        <v>0</v>
      </c>
      <c r="BA35" s="152">
        <v>0</v>
      </c>
      <c r="BB35" s="152"/>
      <c r="BC35" s="152"/>
      <c r="BD35" s="152">
        <v>0</v>
      </c>
      <c r="BE35" s="152"/>
      <c r="BF35" s="152"/>
      <c r="BG35" s="152"/>
      <c r="BH35" s="152"/>
      <c r="BI35" s="152">
        <v>0</v>
      </c>
      <c r="BJ35" s="152">
        <v>0</v>
      </c>
      <c r="BK35" s="152"/>
      <c r="BL35" s="152"/>
      <c r="BM35" s="152"/>
      <c r="BN35" s="152">
        <v>0</v>
      </c>
      <c r="BO35" s="152">
        <v>0</v>
      </c>
      <c r="BP35" s="152">
        <v>2</v>
      </c>
    </row>
    <row r="36" spans="1:68" x14ac:dyDescent="0.35">
      <c r="A36" s="146" t="s">
        <v>374</v>
      </c>
      <c r="B36" s="146" t="s">
        <v>1220</v>
      </c>
      <c r="C36" s="152">
        <v>2</v>
      </c>
      <c r="D36" s="152"/>
      <c r="E36" s="152"/>
      <c r="F36" s="152"/>
      <c r="G36" s="152">
        <v>2</v>
      </c>
      <c r="H36" s="152">
        <v>4</v>
      </c>
      <c r="I36" s="152">
        <v>4</v>
      </c>
      <c r="J36" s="152"/>
      <c r="K36" s="152"/>
      <c r="L36" s="152">
        <v>8</v>
      </c>
      <c r="M36" s="152">
        <v>10</v>
      </c>
      <c r="N36" s="152"/>
      <c r="O36" s="152"/>
      <c r="P36" s="152"/>
      <c r="Q36" s="152">
        <v>0</v>
      </c>
      <c r="R36" s="152"/>
      <c r="S36" s="152"/>
      <c r="T36" s="152"/>
      <c r="U36" s="152"/>
      <c r="V36" s="152">
        <v>0</v>
      </c>
      <c r="W36" s="152">
        <v>0</v>
      </c>
      <c r="X36" s="152">
        <v>1</v>
      </c>
      <c r="Y36" s="152"/>
      <c r="Z36" s="152"/>
      <c r="AA36" s="152">
        <v>1</v>
      </c>
      <c r="AB36" s="152"/>
      <c r="AC36" s="152"/>
      <c r="AD36" s="152"/>
      <c r="AE36" s="152"/>
      <c r="AF36" s="152">
        <v>0</v>
      </c>
      <c r="AG36" s="152">
        <v>1</v>
      </c>
      <c r="AH36" s="152"/>
      <c r="AI36" s="152"/>
      <c r="AJ36" s="152"/>
      <c r="AK36" s="152">
        <v>0</v>
      </c>
      <c r="AL36" s="152">
        <v>1</v>
      </c>
      <c r="AM36" s="152">
        <v>1</v>
      </c>
      <c r="AN36" s="152"/>
      <c r="AO36" s="152"/>
      <c r="AP36" s="152">
        <v>2</v>
      </c>
      <c r="AQ36" s="152">
        <v>2</v>
      </c>
      <c r="AR36" s="152"/>
      <c r="AS36" s="152"/>
      <c r="AT36" s="152"/>
      <c r="AU36" s="152">
        <v>0</v>
      </c>
      <c r="AV36" s="152"/>
      <c r="AW36" s="152"/>
      <c r="AX36" s="152"/>
      <c r="AY36" s="152"/>
      <c r="AZ36" s="152">
        <v>0</v>
      </c>
      <c r="BA36" s="152">
        <v>0</v>
      </c>
      <c r="BB36" s="152"/>
      <c r="BC36" s="152"/>
      <c r="BD36" s="152">
        <v>0</v>
      </c>
      <c r="BE36" s="152"/>
      <c r="BF36" s="152"/>
      <c r="BG36" s="152"/>
      <c r="BH36" s="152"/>
      <c r="BI36" s="152">
        <v>0</v>
      </c>
      <c r="BJ36" s="152">
        <v>0</v>
      </c>
      <c r="BK36" s="152"/>
      <c r="BL36" s="152"/>
      <c r="BM36" s="152"/>
      <c r="BN36" s="152">
        <v>0</v>
      </c>
      <c r="BO36" s="152">
        <v>0</v>
      </c>
      <c r="BP36" s="152">
        <v>13</v>
      </c>
    </row>
    <row r="37" spans="1:68" x14ac:dyDescent="0.35">
      <c r="A37" s="146" t="s">
        <v>375</v>
      </c>
      <c r="B37" s="146" t="s">
        <v>1221</v>
      </c>
      <c r="C37" s="152">
        <v>1</v>
      </c>
      <c r="D37" s="152"/>
      <c r="E37" s="152"/>
      <c r="F37" s="152"/>
      <c r="G37" s="152">
        <v>1</v>
      </c>
      <c r="H37" s="152">
        <v>1</v>
      </c>
      <c r="I37" s="152"/>
      <c r="J37" s="152"/>
      <c r="K37" s="152"/>
      <c r="L37" s="152">
        <v>1</v>
      </c>
      <c r="M37" s="152">
        <v>2</v>
      </c>
      <c r="N37" s="152">
        <v>1</v>
      </c>
      <c r="O37" s="152"/>
      <c r="P37" s="152"/>
      <c r="Q37" s="152">
        <v>1</v>
      </c>
      <c r="R37" s="152"/>
      <c r="S37" s="152"/>
      <c r="T37" s="152"/>
      <c r="U37" s="152"/>
      <c r="V37" s="152">
        <v>0</v>
      </c>
      <c r="W37" s="152">
        <v>1</v>
      </c>
      <c r="X37" s="152">
        <v>1</v>
      </c>
      <c r="Y37" s="152"/>
      <c r="Z37" s="152"/>
      <c r="AA37" s="152">
        <v>1</v>
      </c>
      <c r="AB37" s="152"/>
      <c r="AC37" s="152"/>
      <c r="AD37" s="152"/>
      <c r="AE37" s="152"/>
      <c r="AF37" s="152">
        <v>0</v>
      </c>
      <c r="AG37" s="152">
        <v>1</v>
      </c>
      <c r="AH37" s="152"/>
      <c r="AI37" s="152"/>
      <c r="AJ37" s="152"/>
      <c r="AK37" s="152">
        <v>0</v>
      </c>
      <c r="AL37" s="152"/>
      <c r="AM37" s="152">
        <v>1</v>
      </c>
      <c r="AN37" s="152"/>
      <c r="AO37" s="152"/>
      <c r="AP37" s="152">
        <v>1</v>
      </c>
      <c r="AQ37" s="152">
        <v>1</v>
      </c>
      <c r="AR37" s="152"/>
      <c r="AS37" s="152"/>
      <c r="AT37" s="152"/>
      <c r="AU37" s="152">
        <v>0</v>
      </c>
      <c r="AV37" s="152"/>
      <c r="AW37" s="152"/>
      <c r="AX37" s="152"/>
      <c r="AY37" s="152"/>
      <c r="AZ37" s="152">
        <v>0</v>
      </c>
      <c r="BA37" s="152">
        <v>0</v>
      </c>
      <c r="BB37" s="152"/>
      <c r="BC37" s="152"/>
      <c r="BD37" s="152">
        <v>0</v>
      </c>
      <c r="BE37" s="152"/>
      <c r="BF37" s="152"/>
      <c r="BG37" s="152"/>
      <c r="BH37" s="152"/>
      <c r="BI37" s="152">
        <v>0</v>
      </c>
      <c r="BJ37" s="152">
        <v>0</v>
      </c>
      <c r="BK37" s="152"/>
      <c r="BL37" s="152"/>
      <c r="BM37" s="152"/>
      <c r="BN37" s="152">
        <v>0</v>
      </c>
      <c r="BO37" s="152">
        <v>0</v>
      </c>
      <c r="BP37" s="152">
        <v>5</v>
      </c>
    </row>
    <row r="38" spans="1:68" x14ac:dyDescent="0.35">
      <c r="A38" s="146" t="s">
        <v>376</v>
      </c>
      <c r="B38" s="146" t="s">
        <v>1222</v>
      </c>
      <c r="C38" s="152"/>
      <c r="D38" s="152"/>
      <c r="E38" s="152"/>
      <c r="F38" s="152"/>
      <c r="G38" s="152">
        <v>0</v>
      </c>
      <c r="H38" s="152"/>
      <c r="I38" s="152"/>
      <c r="J38" s="152"/>
      <c r="K38" s="152"/>
      <c r="L38" s="152">
        <v>0</v>
      </c>
      <c r="M38" s="152">
        <v>0</v>
      </c>
      <c r="N38" s="152"/>
      <c r="O38" s="152"/>
      <c r="P38" s="152"/>
      <c r="Q38" s="152">
        <v>0</v>
      </c>
      <c r="R38" s="152"/>
      <c r="S38" s="152"/>
      <c r="T38" s="152"/>
      <c r="U38" s="152"/>
      <c r="V38" s="152">
        <v>0</v>
      </c>
      <c r="W38" s="152">
        <v>0</v>
      </c>
      <c r="X38" s="152"/>
      <c r="Y38" s="152"/>
      <c r="Z38" s="152"/>
      <c r="AA38" s="152">
        <v>0</v>
      </c>
      <c r="AB38" s="152"/>
      <c r="AC38" s="152"/>
      <c r="AD38" s="152"/>
      <c r="AE38" s="152"/>
      <c r="AF38" s="152">
        <v>0</v>
      </c>
      <c r="AG38" s="152">
        <v>0</v>
      </c>
      <c r="AH38" s="152"/>
      <c r="AI38" s="152"/>
      <c r="AJ38" s="152"/>
      <c r="AK38" s="152">
        <v>0</v>
      </c>
      <c r="AL38" s="152"/>
      <c r="AM38" s="152"/>
      <c r="AN38" s="152"/>
      <c r="AO38" s="152"/>
      <c r="AP38" s="152">
        <v>0</v>
      </c>
      <c r="AQ38" s="152">
        <v>0</v>
      </c>
      <c r="AR38" s="152"/>
      <c r="AS38" s="152"/>
      <c r="AT38" s="152"/>
      <c r="AU38" s="152">
        <v>0</v>
      </c>
      <c r="AV38" s="152">
        <v>1</v>
      </c>
      <c r="AW38" s="152"/>
      <c r="AX38" s="152"/>
      <c r="AY38" s="152"/>
      <c r="AZ38" s="152">
        <v>1</v>
      </c>
      <c r="BA38" s="152">
        <v>1</v>
      </c>
      <c r="BB38" s="152"/>
      <c r="BC38" s="152"/>
      <c r="BD38" s="152">
        <v>0</v>
      </c>
      <c r="BE38" s="152"/>
      <c r="BF38" s="152"/>
      <c r="BG38" s="152"/>
      <c r="BH38" s="152"/>
      <c r="BI38" s="152">
        <v>0</v>
      </c>
      <c r="BJ38" s="152">
        <v>0</v>
      </c>
      <c r="BK38" s="152"/>
      <c r="BL38" s="152"/>
      <c r="BM38" s="152"/>
      <c r="BN38" s="152">
        <v>0</v>
      </c>
      <c r="BO38" s="152">
        <v>0</v>
      </c>
      <c r="BP38" s="152">
        <v>1</v>
      </c>
    </row>
    <row r="39" spans="1:68" x14ac:dyDescent="0.35">
      <c r="A39" s="146" t="s">
        <v>377</v>
      </c>
      <c r="B39" s="146" t="s">
        <v>378</v>
      </c>
      <c r="C39" s="152">
        <v>10</v>
      </c>
      <c r="D39" s="152">
        <v>1</v>
      </c>
      <c r="E39" s="152"/>
      <c r="F39" s="152"/>
      <c r="G39" s="152">
        <v>11</v>
      </c>
      <c r="H39" s="152">
        <v>11</v>
      </c>
      <c r="I39" s="152">
        <v>2</v>
      </c>
      <c r="J39" s="152">
        <v>1</v>
      </c>
      <c r="K39" s="152"/>
      <c r="L39" s="152">
        <v>14</v>
      </c>
      <c r="M39" s="152">
        <v>25</v>
      </c>
      <c r="N39" s="152">
        <v>8</v>
      </c>
      <c r="O39" s="152"/>
      <c r="P39" s="152"/>
      <c r="Q39" s="152">
        <v>8</v>
      </c>
      <c r="R39" s="152"/>
      <c r="S39" s="152"/>
      <c r="T39" s="152"/>
      <c r="U39" s="152"/>
      <c r="V39" s="152">
        <v>0</v>
      </c>
      <c r="W39" s="152">
        <v>8</v>
      </c>
      <c r="X39" s="152">
        <v>3</v>
      </c>
      <c r="Y39" s="152"/>
      <c r="Z39" s="152"/>
      <c r="AA39" s="152">
        <v>3</v>
      </c>
      <c r="AB39" s="152">
        <v>1</v>
      </c>
      <c r="AC39" s="152"/>
      <c r="AD39" s="152"/>
      <c r="AE39" s="152"/>
      <c r="AF39" s="152">
        <v>1</v>
      </c>
      <c r="AG39" s="152">
        <v>4</v>
      </c>
      <c r="AH39" s="152">
        <v>1</v>
      </c>
      <c r="AI39" s="152"/>
      <c r="AJ39" s="152"/>
      <c r="AK39" s="152">
        <v>1</v>
      </c>
      <c r="AL39" s="152">
        <v>2</v>
      </c>
      <c r="AM39" s="152"/>
      <c r="AN39" s="152"/>
      <c r="AO39" s="152"/>
      <c r="AP39" s="152">
        <v>2</v>
      </c>
      <c r="AQ39" s="152">
        <v>3</v>
      </c>
      <c r="AR39" s="152">
        <v>3</v>
      </c>
      <c r="AS39" s="152"/>
      <c r="AT39" s="152"/>
      <c r="AU39" s="152">
        <v>3</v>
      </c>
      <c r="AV39" s="152">
        <v>1</v>
      </c>
      <c r="AW39" s="152"/>
      <c r="AX39" s="152"/>
      <c r="AY39" s="152"/>
      <c r="AZ39" s="152">
        <v>1</v>
      </c>
      <c r="BA39" s="152">
        <v>4</v>
      </c>
      <c r="BB39" s="152">
        <v>1</v>
      </c>
      <c r="BC39" s="152"/>
      <c r="BD39" s="152">
        <v>1</v>
      </c>
      <c r="BE39" s="152">
        <v>2</v>
      </c>
      <c r="BF39" s="152"/>
      <c r="BG39" s="152"/>
      <c r="BH39" s="152"/>
      <c r="BI39" s="152">
        <v>2</v>
      </c>
      <c r="BJ39" s="152">
        <v>3</v>
      </c>
      <c r="BK39" s="152"/>
      <c r="BL39" s="152"/>
      <c r="BM39" s="152"/>
      <c r="BN39" s="152">
        <v>0</v>
      </c>
      <c r="BO39" s="152">
        <v>0</v>
      </c>
      <c r="BP39" s="152">
        <v>47</v>
      </c>
    </row>
    <row r="40" spans="1:68" x14ac:dyDescent="0.35">
      <c r="A40" s="146" t="s">
        <v>379</v>
      </c>
      <c r="B40" s="146" t="s">
        <v>380</v>
      </c>
      <c r="C40" s="152">
        <v>2</v>
      </c>
      <c r="D40" s="152"/>
      <c r="E40" s="152"/>
      <c r="F40" s="152"/>
      <c r="G40" s="152">
        <v>2</v>
      </c>
      <c r="H40" s="152">
        <v>6</v>
      </c>
      <c r="I40" s="152">
        <v>2</v>
      </c>
      <c r="J40" s="152">
        <v>1</v>
      </c>
      <c r="K40" s="152">
        <v>2</v>
      </c>
      <c r="L40" s="152">
        <v>11</v>
      </c>
      <c r="M40" s="152">
        <v>13</v>
      </c>
      <c r="N40" s="152">
        <v>38</v>
      </c>
      <c r="O40" s="152"/>
      <c r="P40" s="152"/>
      <c r="Q40" s="152">
        <v>38</v>
      </c>
      <c r="R40" s="152">
        <v>9</v>
      </c>
      <c r="S40" s="152">
        <v>3</v>
      </c>
      <c r="T40" s="152">
        <v>2</v>
      </c>
      <c r="U40" s="152">
        <v>1</v>
      </c>
      <c r="V40" s="152">
        <v>15</v>
      </c>
      <c r="W40" s="152">
        <v>53</v>
      </c>
      <c r="X40" s="152"/>
      <c r="Y40" s="152"/>
      <c r="Z40" s="152"/>
      <c r="AA40" s="152">
        <v>0</v>
      </c>
      <c r="AB40" s="152"/>
      <c r="AC40" s="152"/>
      <c r="AD40" s="152"/>
      <c r="AE40" s="152"/>
      <c r="AF40" s="152">
        <v>0</v>
      </c>
      <c r="AG40" s="152">
        <v>0</v>
      </c>
      <c r="AH40" s="152"/>
      <c r="AI40" s="152"/>
      <c r="AJ40" s="152"/>
      <c r="AK40" s="152">
        <v>0</v>
      </c>
      <c r="AL40" s="152"/>
      <c r="AM40" s="152"/>
      <c r="AN40" s="152"/>
      <c r="AO40" s="152"/>
      <c r="AP40" s="152">
        <v>0</v>
      </c>
      <c r="AQ40" s="152">
        <v>0</v>
      </c>
      <c r="AR40" s="152"/>
      <c r="AS40" s="152"/>
      <c r="AT40" s="152"/>
      <c r="AU40" s="152">
        <v>0</v>
      </c>
      <c r="AV40" s="152"/>
      <c r="AW40" s="152"/>
      <c r="AX40" s="152"/>
      <c r="AY40" s="152"/>
      <c r="AZ40" s="152">
        <v>0</v>
      </c>
      <c r="BA40" s="152">
        <v>0</v>
      </c>
      <c r="BB40" s="152"/>
      <c r="BC40" s="152"/>
      <c r="BD40" s="152">
        <v>0</v>
      </c>
      <c r="BE40" s="152"/>
      <c r="BF40" s="152"/>
      <c r="BG40" s="152"/>
      <c r="BH40" s="152"/>
      <c r="BI40" s="152">
        <v>0</v>
      </c>
      <c r="BJ40" s="152">
        <v>0</v>
      </c>
      <c r="BK40" s="152"/>
      <c r="BL40" s="152"/>
      <c r="BM40" s="152"/>
      <c r="BN40" s="152">
        <v>0</v>
      </c>
      <c r="BO40" s="152">
        <v>0</v>
      </c>
      <c r="BP40" s="152">
        <v>66</v>
      </c>
    </row>
    <row r="41" spans="1:68" x14ac:dyDescent="0.35">
      <c r="A41" s="146" t="s">
        <v>1196</v>
      </c>
      <c r="B41" s="146" t="s">
        <v>1205</v>
      </c>
      <c r="C41" s="152"/>
      <c r="D41" s="152"/>
      <c r="E41" s="152"/>
      <c r="F41" s="152"/>
      <c r="G41" s="152">
        <v>0</v>
      </c>
      <c r="H41" s="152">
        <v>1</v>
      </c>
      <c r="I41" s="152"/>
      <c r="J41" s="152"/>
      <c r="K41" s="152"/>
      <c r="L41" s="152">
        <v>1</v>
      </c>
      <c r="M41" s="152">
        <v>1</v>
      </c>
      <c r="N41" s="152"/>
      <c r="O41" s="152"/>
      <c r="P41" s="152"/>
      <c r="Q41" s="152">
        <v>0</v>
      </c>
      <c r="R41" s="152"/>
      <c r="S41" s="152"/>
      <c r="T41" s="152"/>
      <c r="U41" s="152"/>
      <c r="V41" s="152">
        <v>0</v>
      </c>
      <c r="W41" s="152">
        <v>0</v>
      </c>
      <c r="X41" s="152"/>
      <c r="Y41" s="152"/>
      <c r="Z41" s="152"/>
      <c r="AA41" s="152">
        <v>0</v>
      </c>
      <c r="AB41" s="152"/>
      <c r="AC41" s="152"/>
      <c r="AD41" s="152"/>
      <c r="AE41" s="152"/>
      <c r="AF41" s="152">
        <v>0</v>
      </c>
      <c r="AG41" s="152">
        <v>0</v>
      </c>
      <c r="AH41" s="152"/>
      <c r="AI41" s="152"/>
      <c r="AJ41" s="152"/>
      <c r="AK41" s="152">
        <v>0</v>
      </c>
      <c r="AL41" s="152"/>
      <c r="AM41" s="152"/>
      <c r="AN41" s="152"/>
      <c r="AO41" s="152"/>
      <c r="AP41" s="152">
        <v>0</v>
      </c>
      <c r="AQ41" s="152">
        <v>0</v>
      </c>
      <c r="AR41" s="152"/>
      <c r="AS41" s="152"/>
      <c r="AT41" s="152"/>
      <c r="AU41" s="152">
        <v>0</v>
      </c>
      <c r="AV41" s="152"/>
      <c r="AW41" s="152"/>
      <c r="AX41" s="152"/>
      <c r="AY41" s="152"/>
      <c r="AZ41" s="152">
        <v>0</v>
      </c>
      <c r="BA41" s="152">
        <v>0</v>
      </c>
      <c r="BB41" s="152"/>
      <c r="BC41" s="152"/>
      <c r="BD41" s="152">
        <v>0</v>
      </c>
      <c r="BE41" s="152"/>
      <c r="BF41" s="152"/>
      <c r="BG41" s="152"/>
      <c r="BH41" s="152"/>
      <c r="BI41" s="152">
        <v>0</v>
      </c>
      <c r="BJ41" s="152">
        <v>0</v>
      </c>
      <c r="BK41" s="152"/>
      <c r="BL41" s="152"/>
      <c r="BM41" s="152"/>
      <c r="BN41" s="152">
        <v>0</v>
      </c>
      <c r="BO41" s="152">
        <v>0</v>
      </c>
      <c r="BP41" s="152">
        <v>1</v>
      </c>
    </row>
    <row r="42" spans="1:68" x14ac:dyDescent="0.35">
      <c r="A42" s="146" t="s">
        <v>381</v>
      </c>
      <c r="B42" s="146" t="s">
        <v>382</v>
      </c>
      <c r="C42" s="152"/>
      <c r="D42" s="152"/>
      <c r="E42" s="152"/>
      <c r="F42" s="152"/>
      <c r="G42" s="152">
        <v>0</v>
      </c>
      <c r="H42" s="152"/>
      <c r="I42" s="152"/>
      <c r="J42" s="152">
        <v>1</v>
      </c>
      <c r="K42" s="152"/>
      <c r="L42" s="152">
        <v>1</v>
      </c>
      <c r="M42" s="152">
        <v>1</v>
      </c>
      <c r="N42" s="152"/>
      <c r="O42" s="152"/>
      <c r="P42" s="152"/>
      <c r="Q42" s="152">
        <v>0</v>
      </c>
      <c r="R42" s="152"/>
      <c r="S42" s="152"/>
      <c r="T42" s="152"/>
      <c r="U42" s="152"/>
      <c r="V42" s="152">
        <v>0</v>
      </c>
      <c r="W42" s="152">
        <v>0</v>
      </c>
      <c r="X42" s="152"/>
      <c r="Y42" s="152"/>
      <c r="Z42" s="152"/>
      <c r="AA42" s="152">
        <v>0</v>
      </c>
      <c r="AB42" s="152"/>
      <c r="AC42" s="152"/>
      <c r="AD42" s="152"/>
      <c r="AE42" s="152"/>
      <c r="AF42" s="152">
        <v>0</v>
      </c>
      <c r="AG42" s="152">
        <v>0</v>
      </c>
      <c r="AH42" s="152"/>
      <c r="AI42" s="152"/>
      <c r="AJ42" s="152"/>
      <c r="AK42" s="152">
        <v>0</v>
      </c>
      <c r="AL42" s="152"/>
      <c r="AM42" s="152"/>
      <c r="AN42" s="152"/>
      <c r="AO42" s="152"/>
      <c r="AP42" s="152">
        <v>0</v>
      </c>
      <c r="AQ42" s="152">
        <v>0</v>
      </c>
      <c r="AR42" s="152"/>
      <c r="AS42" s="152"/>
      <c r="AT42" s="152"/>
      <c r="AU42" s="152">
        <v>0</v>
      </c>
      <c r="AV42" s="152"/>
      <c r="AW42" s="152"/>
      <c r="AX42" s="152"/>
      <c r="AY42" s="152"/>
      <c r="AZ42" s="152">
        <v>0</v>
      </c>
      <c r="BA42" s="152">
        <v>0</v>
      </c>
      <c r="BB42" s="152"/>
      <c r="BC42" s="152"/>
      <c r="BD42" s="152">
        <v>0</v>
      </c>
      <c r="BE42" s="152"/>
      <c r="BF42" s="152"/>
      <c r="BG42" s="152"/>
      <c r="BH42" s="152"/>
      <c r="BI42" s="152">
        <v>0</v>
      </c>
      <c r="BJ42" s="152">
        <v>0</v>
      </c>
      <c r="BK42" s="152"/>
      <c r="BL42" s="152"/>
      <c r="BM42" s="152"/>
      <c r="BN42" s="152">
        <v>0</v>
      </c>
      <c r="BO42" s="152">
        <v>0</v>
      </c>
      <c r="BP42" s="152">
        <v>1</v>
      </c>
    </row>
    <row r="43" spans="1:68" x14ac:dyDescent="0.35">
      <c r="A43" s="146" t="s">
        <v>383</v>
      </c>
      <c r="B43" s="146" t="s">
        <v>384</v>
      </c>
      <c r="C43" s="152">
        <v>9</v>
      </c>
      <c r="D43" s="152">
        <v>5</v>
      </c>
      <c r="E43" s="152">
        <v>1</v>
      </c>
      <c r="F43" s="152"/>
      <c r="G43" s="152">
        <v>15</v>
      </c>
      <c r="H43" s="152">
        <v>92</v>
      </c>
      <c r="I43" s="152">
        <v>41</v>
      </c>
      <c r="J43" s="152">
        <v>10</v>
      </c>
      <c r="K43" s="152">
        <v>11</v>
      </c>
      <c r="L43" s="152">
        <v>154</v>
      </c>
      <c r="M43" s="152">
        <v>169</v>
      </c>
      <c r="N43" s="152">
        <v>6</v>
      </c>
      <c r="O43" s="152"/>
      <c r="P43" s="152"/>
      <c r="Q43" s="152">
        <v>6</v>
      </c>
      <c r="R43" s="152">
        <v>2</v>
      </c>
      <c r="S43" s="152"/>
      <c r="T43" s="152"/>
      <c r="U43" s="152"/>
      <c r="V43" s="152">
        <v>2</v>
      </c>
      <c r="W43" s="152">
        <v>8</v>
      </c>
      <c r="X43" s="152">
        <v>3</v>
      </c>
      <c r="Y43" s="152">
        <v>1</v>
      </c>
      <c r="Z43" s="152"/>
      <c r="AA43" s="152">
        <v>4</v>
      </c>
      <c r="AB43" s="152">
        <v>5</v>
      </c>
      <c r="AC43" s="152"/>
      <c r="AD43" s="152"/>
      <c r="AE43" s="152"/>
      <c r="AF43" s="152">
        <v>5</v>
      </c>
      <c r="AG43" s="152">
        <v>9</v>
      </c>
      <c r="AH43" s="152">
        <v>14</v>
      </c>
      <c r="AI43" s="152">
        <v>4</v>
      </c>
      <c r="AJ43" s="152">
        <v>1</v>
      </c>
      <c r="AK43" s="152">
        <v>19</v>
      </c>
      <c r="AL43" s="152">
        <v>27</v>
      </c>
      <c r="AM43" s="152">
        <v>9</v>
      </c>
      <c r="AN43" s="152">
        <v>1</v>
      </c>
      <c r="AO43" s="152"/>
      <c r="AP43" s="152">
        <v>37</v>
      </c>
      <c r="AQ43" s="152">
        <v>56</v>
      </c>
      <c r="AR43" s="152">
        <v>7</v>
      </c>
      <c r="AS43" s="152">
        <v>1</v>
      </c>
      <c r="AT43" s="152"/>
      <c r="AU43" s="152">
        <v>8</v>
      </c>
      <c r="AV43" s="152">
        <v>12</v>
      </c>
      <c r="AW43" s="152">
        <v>3</v>
      </c>
      <c r="AX43" s="152"/>
      <c r="AY43" s="152"/>
      <c r="AZ43" s="152">
        <v>15</v>
      </c>
      <c r="BA43" s="152">
        <v>23</v>
      </c>
      <c r="BB43" s="152">
        <v>1</v>
      </c>
      <c r="BC43" s="152"/>
      <c r="BD43" s="152">
        <v>1</v>
      </c>
      <c r="BE43" s="152">
        <v>17</v>
      </c>
      <c r="BF43" s="152">
        <v>1</v>
      </c>
      <c r="BG43" s="152"/>
      <c r="BH43" s="152"/>
      <c r="BI43" s="152">
        <v>18</v>
      </c>
      <c r="BJ43" s="152">
        <v>19</v>
      </c>
      <c r="BK43" s="152"/>
      <c r="BL43" s="152"/>
      <c r="BM43" s="152"/>
      <c r="BN43" s="152">
        <v>0</v>
      </c>
      <c r="BO43" s="152">
        <v>0</v>
      </c>
      <c r="BP43" s="152">
        <v>284</v>
      </c>
    </row>
    <row r="44" spans="1:68" x14ac:dyDescent="0.35">
      <c r="A44" s="146" t="s">
        <v>385</v>
      </c>
      <c r="B44" s="146" t="s">
        <v>386</v>
      </c>
      <c r="C44" s="152"/>
      <c r="D44" s="152"/>
      <c r="E44" s="152"/>
      <c r="F44" s="152"/>
      <c r="G44" s="152">
        <v>0</v>
      </c>
      <c r="H44" s="152">
        <v>4</v>
      </c>
      <c r="I44" s="152">
        <v>1</v>
      </c>
      <c r="J44" s="152"/>
      <c r="K44" s="152">
        <v>2</v>
      </c>
      <c r="L44" s="152">
        <v>7</v>
      </c>
      <c r="M44" s="152">
        <v>7</v>
      </c>
      <c r="N44" s="152"/>
      <c r="O44" s="152"/>
      <c r="P44" s="152"/>
      <c r="Q44" s="152">
        <v>0</v>
      </c>
      <c r="R44" s="152">
        <v>2</v>
      </c>
      <c r="S44" s="152"/>
      <c r="T44" s="152"/>
      <c r="U44" s="152"/>
      <c r="V44" s="152">
        <v>2</v>
      </c>
      <c r="W44" s="152">
        <v>2</v>
      </c>
      <c r="X44" s="152"/>
      <c r="Y44" s="152"/>
      <c r="Z44" s="152"/>
      <c r="AA44" s="152">
        <v>0</v>
      </c>
      <c r="AB44" s="152"/>
      <c r="AC44" s="152"/>
      <c r="AD44" s="152"/>
      <c r="AE44" s="152"/>
      <c r="AF44" s="152">
        <v>0</v>
      </c>
      <c r="AG44" s="152">
        <v>0</v>
      </c>
      <c r="AH44" s="152"/>
      <c r="AI44" s="152"/>
      <c r="AJ44" s="152"/>
      <c r="AK44" s="152">
        <v>0</v>
      </c>
      <c r="AL44" s="152"/>
      <c r="AM44" s="152"/>
      <c r="AN44" s="152"/>
      <c r="AO44" s="152"/>
      <c r="AP44" s="152">
        <v>0</v>
      </c>
      <c r="AQ44" s="152">
        <v>0</v>
      </c>
      <c r="AR44" s="152"/>
      <c r="AS44" s="152"/>
      <c r="AT44" s="152"/>
      <c r="AU44" s="152">
        <v>0</v>
      </c>
      <c r="AV44" s="152"/>
      <c r="AW44" s="152">
        <v>1</v>
      </c>
      <c r="AX44" s="152"/>
      <c r="AY44" s="152"/>
      <c r="AZ44" s="152">
        <v>1</v>
      </c>
      <c r="BA44" s="152">
        <v>1</v>
      </c>
      <c r="BB44" s="152"/>
      <c r="BC44" s="152"/>
      <c r="BD44" s="152">
        <v>0</v>
      </c>
      <c r="BE44" s="152"/>
      <c r="BF44" s="152"/>
      <c r="BG44" s="152"/>
      <c r="BH44" s="152"/>
      <c r="BI44" s="152">
        <v>0</v>
      </c>
      <c r="BJ44" s="152">
        <v>0</v>
      </c>
      <c r="BK44" s="152"/>
      <c r="BL44" s="152"/>
      <c r="BM44" s="152"/>
      <c r="BN44" s="152">
        <v>0</v>
      </c>
      <c r="BO44" s="152">
        <v>0</v>
      </c>
      <c r="BP44" s="152">
        <v>10</v>
      </c>
    </row>
    <row r="45" spans="1:68" x14ac:dyDescent="0.35">
      <c r="A45" s="146" t="s">
        <v>387</v>
      </c>
      <c r="B45" s="146" t="s">
        <v>388</v>
      </c>
      <c r="C45" s="152">
        <v>2</v>
      </c>
      <c r="D45" s="152"/>
      <c r="E45" s="152"/>
      <c r="F45" s="152"/>
      <c r="G45" s="152">
        <v>2</v>
      </c>
      <c r="H45" s="152">
        <v>39</v>
      </c>
      <c r="I45" s="152">
        <v>15</v>
      </c>
      <c r="J45" s="152">
        <v>3</v>
      </c>
      <c r="K45" s="152">
        <v>2</v>
      </c>
      <c r="L45" s="152">
        <v>59</v>
      </c>
      <c r="M45" s="152">
        <v>61</v>
      </c>
      <c r="N45" s="152">
        <v>5</v>
      </c>
      <c r="O45" s="152"/>
      <c r="P45" s="152"/>
      <c r="Q45" s="152">
        <v>5</v>
      </c>
      <c r="R45" s="152">
        <v>4</v>
      </c>
      <c r="S45" s="152">
        <v>4</v>
      </c>
      <c r="T45" s="152">
        <v>1</v>
      </c>
      <c r="U45" s="152"/>
      <c r="V45" s="152">
        <v>9</v>
      </c>
      <c r="W45" s="152">
        <v>14</v>
      </c>
      <c r="X45" s="152">
        <v>3</v>
      </c>
      <c r="Y45" s="152"/>
      <c r="Z45" s="152"/>
      <c r="AA45" s="152">
        <v>3</v>
      </c>
      <c r="AB45" s="152">
        <v>3</v>
      </c>
      <c r="AC45" s="152">
        <v>1</v>
      </c>
      <c r="AD45" s="152"/>
      <c r="AE45" s="152"/>
      <c r="AF45" s="152">
        <v>4</v>
      </c>
      <c r="AG45" s="152">
        <v>7</v>
      </c>
      <c r="AH45" s="152">
        <v>1</v>
      </c>
      <c r="AI45" s="152"/>
      <c r="AJ45" s="152"/>
      <c r="AK45" s="152">
        <v>1</v>
      </c>
      <c r="AL45" s="152">
        <v>1</v>
      </c>
      <c r="AM45" s="152">
        <v>1</v>
      </c>
      <c r="AN45" s="152"/>
      <c r="AO45" s="152"/>
      <c r="AP45" s="152">
        <v>2</v>
      </c>
      <c r="AQ45" s="152">
        <v>3</v>
      </c>
      <c r="AR45" s="152">
        <v>3</v>
      </c>
      <c r="AS45" s="152"/>
      <c r="AT45" s="152"/>
      <c r="AU45" s="152">
        <v>3</v>
      </c>
      <c r="AV45" s="152">
        <v>10</v>
      </c>
      <c r="AW45" s="152">
        <v>3</v>
      </c>
      <c r="AX45" s="152"/>
      <c r="AY45" s="152">
        <v>2</v>
      </c>
      <c r="AZ45" s="152">
        <v>15</v>
      </c>
      <c r="BA45" s="152">
        <v>18</v>
      </c>
      <c r="BB45" s="152"/>
      <c r="BC45" s="152"/>
      <c r="BD45" s="152">
        <v>0</v>
      </c>
      <c r="BE45" s="152">
        <v>4</v>
      </c>
      <c r="BF45" s="152">
        <v>2</v>
      </c>
      <c r="BG45" s="152"/>
      <c r="BH45" s="152"/>
      <c r="BI45" s="152">
        <v>6</v>
      </c>
      <c r="BJ45" s="152">
        <v>6</v>
      </c>
      <c r="BK45" s="152"/>
      <c r="BL45" s="152"/>
      <c r="BM45" s="152"/>
      <c r="BN45" s="152">
        <v>0</v>
      </c>
      <c r="BO45" s="152">
        <v>0</v>
      </c>
      <c r="BP45" s="152">
        <v>109</v>
      </c>
    </row>
    <row r="46" spans="1:68" x14ac:dyDescent="0.35">
      <c r="A46" s="146" t="s">
        <v>389</v>
      </c>
      <c r="B46" s="146" t="s">
        <v>390</v>
      </c>
      <c r="C46" s="152"/>
      <c r="D46" s="152"/>
      <c r="E46" s="152"/>
      <c r="F46" s="152"/>
      <c r="G46" s="152">
        <v>0</v>
      </c>
      <c r="H46" s="152">
        <v>2</v>
      </c>
      <c r="I46" s="152">
        <v>5</v>
      </c>
      <c r="J46" s="152">
        <v>1</v>
      </c>
      <c r="K46" s="152"/>
      <c r="L46" s="152">
        <v>8</v>
      </c>
      <c r="M46" s="152">
        <v>8</v>
      </c>
      <c r="N46" s="152"/>
      <c r="O46" s="152"/>
      <c r="P46" s="152"/>
      <c r="Q46" s="152">
        <v>0</v>
      </c>
      <c r="R46" s="152"/>
      <c r="S46" s="152"/>
      <c r="T46" s="152"/>
      <c r="U46" s="152"/>
      <c r="V46" s="152">
        <v>0</v>
      </c>
      <c r="W46" s="152">
        <v>0</v>
      </c>
      <c r="X46" s="152"/>
      <c r="Y46" s="152"/>
      <c r="Z46" s="152"/>
      <c r="AA46" s="152">
        <v>0</v>
      </c>
      <c r="AB46" s="152">
        <v>1</v>
      </c>
      <c r="AC46" s="152"/>
      <c r="AD46" s="152"/>
      <c r="AE46" s="152"/>
      <c r="AF46" s="152">
        <v>1</v>
      </c>
      <c r="AG46" s="152">
        <v>1</v>
      </c>
      <c r="AH46" s="152"/>
      <c r="AI46" s="152"/>
      <c r="AJ46" s="152"/>
      <c r="AK46" s="152">
        <v>0</v>
      </c>
      <c r="AL46" s="152"/>
      <c r="AM46" s="152"/>
      <c r="AN46" s="152"/>
      <c r="AO46" s="152"/>
      <c r="AP46" s="152">
        <v>0</v>
      </c>
      <c r="AQ46" s="152">
        <v>0</v>
      </c>
      <c r="AR46" s="152"/>
      <c r="AS46" s="152"/>
      <c r="AT46" s="152"/>
      <c r="AU46" s="152">
        <v>0</v>
      </c>
      <c r="AV46" s="152">
        <v>1</v>
      </c>
      <c r="AW46" s="152"/>
      <c r="AX46" s="152"/>
      <c r="AY46" s="152"/>
      <c r="AZ46" s="152">
        <v>1</v>
      </c>
      <c r="BA46" s="152">
        <v>1</v>
      </c>
      <c r="BB46" s="152"/>
      <c r="BC46" s="152"/>
      <c r="BD46" s="152">
        <v>0</v>
      </c>
      <c r="BE46" s="152"/>
      <c r="BF46" s="152"/>
      <c r="BG46" s="152"/>
      <c r="BH46" s="152"/>
      <c r="BI46" s="152">
        <v>0</v>
      </c>
      <c r="BJ46" s="152">
        <v>0</v>
      </c>
      <c r="BK46" s="152"/>
      <c r="BL46" s="152"/>
      <c r="BM46" s="152"/>
      <c r="BN46" s="152">
        <v>0</v>
      </c>
      <c r="BO46" s="152">
        <v>0</v>
      </c>
      <c r="BP46" s="152">
        <v>10</v>
      </c>
    </row>
    <row r="47" spans="1:68" x14ac:dyDescent="0.35">
      <c r="A47" s="146" t="s">
        <v>391</v>
      </c>
      <c r="B47" s="146" t="s">
        <v>392</v>
      </c>
      <c r="C47" s="152">
        <v>1</v>
      </c>
      <c r="D47" s="152"/>
      <c r="E47" s="152"/>
      <c r="F47" s="152"/>
      <c r="G47" s="152">
        <v>1</v>
      </c>
      <c r="H47" s="152">
        <v>7</v>
      </c>
      <c r="I47" s="152">
        <v>1</v>
      </c>
      <c r="J47" s="152"/>
      <c r="K47" s="152"/>
      <c r="L47" s="152">
        <v>8</v>
      </c>
      <c r="M47" s="152">
        <v>9</v>
      </c>
      <c r="N47" s="152"/>
      <c r="O47" s="152"/>
      <c r="P47" s="152"/>
      <c r="Q47" s="152">
        <v>0</v>
      </c>
      <c r="R47" s="152"/>
      <c r="S47" s="152"/>
      <c r="T47" s="152"/>
      <c r="U47" s="152"/>
      <c r="V47" s="152">
        <v>0</v>
      </c>
      <c r="W47" s="152">
        <v>0</v>
      </c>
      <c r="X47" s="152"/>
      <c r="Y47" s="152"/>
      <c r="Z47" s="152"/>
      <c r="AA47" s="152">
        <v>0</v>
      </c>
      <c r="AB47" s="152"/>
      <c r="AC47" s="152"/>
      <c r="AD47" s="152"/>
      <c r="AE47" s="152"/>
      <c r="AF47" s="152">
        <v>0</v>
      </c>
      <c r="AG47" s="152">
        <v>0</v>
      </c>
      <c r="AH47" s="152"/>
      <c r="AI47" s="152"/>
      <c r="AJ47" s="152"/>
      <c r="AK47" s="152">
        <v>0</v>
      </c>
      <c r="AL47" s="152"/>
      <c r="AM47" s="152"/>
      <c r="AN47" s="152"/>
      <c r="AO47" s="152"/>
      <c r="AP47" s="152">
        <v>0</v>
      </c>
      <c r="AQ47" s="152">
        <v>0</v>
      </c>
      <c r="AR47" s="152"/>
      <c r="AS47" s="152"/>
      <c r="AT47" s="152"/>
      <c r="AU47" s="152">
        <v>0</v>
      </c>
      <c r="AV47" s="152"/>
      <c r="AW47" s="152"/>
      <c r="AX47" s="152"/>
      <c r="AY47" s="152"/>
      <c r="AZ47" s="152">
        <v>0</v>
      </c>
      <c r="BA47" s="152">
        <v>0</v>
      </c>
      <c r="BB47" s="152"/>
      <c r="BC47" s="152"/>
      <c r="BD47" s="152">
        <v>0</v>
      </c>
      <c r="BE47" s="152"/>
      <c r="BF47" s="152"/>
      <c r="BG47" s="152"/>
      <c r="BH47" s="152"/>
      <c r="BI47" s="152">
        <v>0</v>
      </c>
      <c r="BJ47" s="152">
        <v>0</v>
      </c>
      <c r="BK47" s="152"/>
      <c r="BL47" s="152"/>
      <c r="BM47" s="152"/>
      <c r="BN47" s="152">
        <v>0</v>
      </c>
      <c r="BO47" s="152">
        <v>0</v>
      </c>
      <c r="BP47" s="152">
        <v>9</v>
      </c>
    </row>
    <row r="48" spans="1:68" x14ac:dyDescent="0.35">
      <c r="A48" s="146" t="s">
        <v>393</v>
      </c>
      <c r="B48" s="146" t="s">
        <v>394</v>
      </c>
      <c r="C48" s="152"/>
      <c r="D48" s="152"/>
      <c r="E48" s="152"/>
      <c r="F48" s="152"/>
      <c r="G48" s="152">
        <v>0</v>
      </c>
      <c r="H48" s="152">
        <v>2</v>
      </c>
      <c r="I48" s="152"/>
      <c r="J48" s="152"/>
      <c r="K48" s="152"/>
      <c r="L48" s="152">
        <v>2</v>
      </c>
      <c r="M48" s="152">
        <v>2</v>
      </c>
      <c r="N48" s="152"/>
      <c r="O48" s="152"/>
      <c r="P48" s="152"/>
      <c r="Q48" s="152">
        <v>0</v>
      </c>
      <c r="R48" s="152"/>
      <c r="S48" s="152"/>
      <c r="T48" s="152"/>
      <c r="U48" s="152"/>
      <c r="V48" s="152">
        <v>0</v>
      </c>
      <c r="W48" s="152">
        <v>0</v>
      </c>
      <c r="X48" s="152"/>
      <c r="Y48" s="152"/>
      <c r="Z48" s="152"/>
      <c r="AA48" s="152">
        <v>0</v>
      </c>
      <c r="AB48" s="152"/>
      <c r="AC48" s="152"/>
      <c r="AD48" s="152"/>
      <c r="AE48" s="152"/>
      <c r="AF48" s="152">
        <v>0</v>
      </c>
      <c r="AG48" s="152">
        <v>0</v>
      </c>
      <c r="AH48" s="152"/>
      <c r="AI48" s="152"/>
      <c r="AJ48" s="152"/>
      <c r="AK48" s="152">
        <v>0</v>
      </c>
      <c r="AL48" s="152"/>
      <c r="AM48" s="152"/>
      <c r="AN48" s="152"/>
      <c r="AO48" s="152"/>
      <c r="AP48" s="152">
        <v>0</v>
      </c>
      <c r="AQ48" s="152">
        <v>0</v>
      </c>
      <c r="AR48" s="152"/>
      <c r="AS48" s="152"/>
      <c r="AT48" s="152"/>
      <c r="AU48" s="152">
        <v>0</v>
      </c>
      <c r="AV48" s="152"/>
      <c r="AW48" s="152"/>
      <c r="AX48" s="152"/>
      <c r="AY48" s="152"/>
      <c r="AZ48" s="152">
        <v>0</v>
      </c>
      <c r="BA48" s="152">
        <v>0</v>
      </c>
      <c r="BB48" s="152"/>
      <c r="BC48" s="152"/>
      <c r="BD48" s="152">
        <v>0</v>
      </c>
      <c r="BE48" s="152">
        <v>1</v>
      </c>
      <c r="BF48" s="152">
        <v>1</v>
      </c>
      <c r="BG48" s="152"/>
      <c r="BH48" s="152"/>
      <c r="BI48" s="152">
        <v>2</v>
      </c>
      <c r="BJ48" s="152">
        <v>2</v>
      </c>
      <c r="BK48" s="152"/>
      <c r="BL48" s="152"/>
      <c r="BM48" s="152"/>
      <c r="BN48" s="152">
        <v>0</v>
      </c>
      <c r="BO48" s="152">
        <v>0</v>
      </c>
      <c r="BP48" s="152">
        <v>4</v>
      </c>
    </row>
    <row r="49" spans="1:68" x14ac:dyDescent="0.35">
      <c r="A49" s="146" t="s">
        <v>1197</v>
      </c>
      <c r="B49" s="146" t="s">
        <v>1206</v>
      </c>
      <c r="C49" s="152"/>
      <c r="D49" s="152"/>
      <c r="E49" s="152"/>
      <c r="F49" s="152"/>
      <c r="G49" s="152">
        <v>0</v>
      </c>
      <c r="H49" s="152">
        <v>1</v>
      </c>
      <c r="I49" s="152"/>
      <c r="J49" s="152"/>
      <c r="K49" s="152"/>
      <c r="L49" s="152">
        <v>1</v>
      </c>
      <c r="M49" s="152">
        <v>1</v>
      </c>
      <c r="N49" s="152"/>
      <c r="O49" s="152"/>
      <c r="P49" s="152"/>
      <c r="Q49" s="152">
        <v>0</v>
      </c>
      <c r="R49" s="152"/>
      <c r="S49" s="152"/>
      <c r="T49" s="152"/>
      <c r="U49" s="152"/>
      <c r="V49" s="152">
        <v>0</v>
      </c>
      <c r="W49" s="152">
        <v>0</v>
      </c>
      <c r="X49" s="152"/>
      <c r="Y49" s="152"/>
      <c r="Z49" s="152"/>
      <c r="AA49" s="152">
        <v>0</v>
      </c>
      <c r="AB49" s="152"/>
      <c r="AC49" s="152"/>
      <c r="AD49" s="152"/>
      <c r="AE49" s="152"/>
      <c r="AF49" s="152">
        <v>0</v>
      </c>
      <c r="AG49" s="152">
        <v>0</v>
      </c>
      <c r="AH49" s="152"/>
      <c r="AI49" s="152"/>
      <c r="AJ49" s="152"/>
      <c r="AK49" s="152">
        <v>0</v>
      </c>
      <c r="AL49" s="152"/>
      <c r="AM49" s="152"/>
      <c r="AN49" s="152"/>
      <c r="AO49" s="152"/>
      <c r="AP49" s="152">
        <v>0</v>
      </c>
      <c r="AQ49" s="152">
        <v>0</v>
      </c>
      <c r="AR49" s="152"/>
      <c r="AS49" s="152"/>
      <c r="AT49" s="152"/>
      <c r="AU49" s="152">
        <v>0</v>
      </c>
      <c r="AV49" s="152"/>
      <c r="AW49" s="152"/>
      <c r="AX49" s="152"/>
      <c r="AY49" s="152"/>
      <c r="AZ49" s="152">
        <v>0</v>
      </c>
      <c r="BA49" s="152">
        <v>0</v>
      </c>
      <c r="BB49" s="152"/>
      <c r="BC49" s="152"/>
      <c r="BD49" s="152">
        <v>0</v>
      </c>
      <c r="BE49" s="152"/>
      <c r="BF49" s="152"/>
      <c r="BG49" s="152"/>
      <c r="BH49" s="152"/>
      <c r="BI49" s="152">
        <v>0</v>
      </c>
      <c r="BJ49" s="152">
        <v>0</v>
      </c>
      <c r="BK49" s="152"/>
      <c r="BL49" s="152"/>
      <c r="BM49" s="152"/>
      <c r="BN49" s="152">
        <v>0</v>
      </c>
      <c r="BO49" s="152">
        <v>0</v>
      </c>
      <c r="BP49" s="152">
        <v>1</v>
      </c>
    </row>
    <row r="50" spans="1:68" x14ac:dyDescent="0.35">
      <c r="A50" s="146" t="s">
        <v>395</v>
      </c>
      <c r="B50" s="146" t="s">
        <v>396</v>
      </c>
      <c r="C50" s="152"/>
      <c r="D50" s="152"/>
      <c r="E50" s="152"/>
      <c r="F50" s="152"/>
      <c r="G50" s="152">
        <v>0</v>
      </c>
      <c r="H50" s="152">
        <v>1</v>
      </c>
      <c r="I50" s="152">
        <v>1</v>
      </c>
      <c r="J50" s="152">
        <v>1</v>
      </c>
      <c r="K50" s="152"/>
      <c r="L50" s="152">
        <v>3</v>
      </c>
      <c r="M50" s="152">
        <v>3</v>
      </c>
      <c r="N50" s="152"/>
      <c r="O50" s="152"/>
      <c r="P50" s="152"/>
      <c r="Q50" s="152">
        <v>0</v>
      </c>
      <c r="R50" s="152"/>
      <c r="S50" s="152"/>
      <c r="T50" s="152"/>
      <c r="U50" s="152"/>
      <c r="V50" s="152">
        <v>0</v>
      </c>
      <c r="W50" s="152">
        <v>0</v>
      </c>
      <c r="X50" s="152"/>
      <c r="Y50" s="152"/>
      <c r="Z50" s="152"/>
      <c r="AA50" s="152">
        <v>0</v>
      </c>
      <c r="AB50" s="152"/>
      <c r="AC50" s="152"/>
      <c r="AD50" s="152"/>
      <c r="AE50" s="152"/>
      <c r="AF50" s="152">
        <v>0</v>
      </c>
      <c r="AG50" s="152">
        <v>0</v>
      </c>
      <c r="AH50" s="152"/>
      <c r="AI50" s="152"/>
      <c r="AJ50" s="152"/>
      <c r="AK50" s="152">
        <v>0</v>
      </c>
      <c r="AL50" s="152"/>
      <c r="AM50" s="152"/>
      <c r="AN50" s="152"/>
      <c r="AO50" s="152"/>
      <c r="AP50" s="152">
        <v>0</v>
      </c>
      <c r="AQ50" s="152">
        <v>0</v>
      </c>
      <c r="AR50" s="152"/>
      <c r="AS50" s="152"/>
      <c r="AT50" s="152"/>
      <c r="AU50" s="152">
        <v>0</v>
      </c>
      <c r="AV50" s="152"/>
      <c r="AW50" s="152"/>
      <c r="AX50" s="152"/>
      <c r="AY50" s="152"/>
      <c r="AZ50" s="152">
        <v>0</v>
      </c>
      <c r="BA50" s="152">
        <v>0</v>
      </c>
      <c r="BB50" s="152"/>
      <c r="BC50" s="152"/>
      <c r="BD50" s="152">
        <v>0</v>
      </c>
      <c r="BE50" s="152"/>
      <c r="BF50" s="152"/>
      <c r="BG50" s="152"/>
      <c r="BH50" s="152"/>
      <c r="BI50" s="152">
        <v>0</v>
      </c>
      <c r="BJ50" s="152">
        <v>0</v>
      </c>
      <c r="BK50" s="152"/>
      <c r="BL50" s="152"/>
      <c r="BM50" s="152"/>
      <c r="BN50" s="152">
        <v>0</v>
      </c>
      <c r="BO50" s="152">
        <v>0</v>
      </c>
      <c r="BP50" s="152">
        <v>3</v>
      </c>
    </row>
    <row r="51" spans="1:68" x14ac:dyDescent="0.35">
      <c r="A51" s="146" t="s">
        <v>397</v>
      </c>
      <c r="B51" s="146" t="s">
        <v>398</v>
      </c>
      <c r="C51" s="152"/>
      <c r="D51" s="152"/>
      <c r="E51" s="152"/>
      <c r="F51" s="152"/>
      <c r="G51" s="152">
        <v>0</v>
      </c>
      <c r="H51" s="152">
        <v>3</v>
      </c>
      <c r="I51" s="152"/>
      <c r="J51" s="152"/>
      <c r="K51" s="152"/>
      <c r="L51" s="152">
        <v>3</v>
      </c>
      <c r="M51" s="152">
        <v>3</v>
      </c>
      <c r="N51" s="152"/>
      <c r="O51" s="152"/>
      <c r="P51" s="152"/>
      <c r="Q51" s="152">
        <v>0</v>
      </c>
      <c r="R51" s="152"/>
      <c r="S51" s="152"/>
      <c r="T51" s="152"/>
      <c r="U51" s="152"/>
      <c r="V51" s="152">
        <v>0</v>
      </c>
      <c r="W51" s="152">
        <v>0</v>
      </c>
      <c r="X51" s="152"/>
      <c r="Y51" s="152"/>
      <c r="Z51" s="152"/>
      <c r="AA51" s="152">
        <v>0</v>
      </c>
      <c r="AB51" s="152"/>
      <c r="AC51" s="152"/>
      <c r="AD51" s="152"/>
      <c r="AE51" s="152"/>
      <c r="AF51" s="152">
        <v>0</v>
      </c>
      <c r="AG51" s="152">
        <v>0</v>
      </c>
      <c r="AH51" s="152"/>
      <c r="AI51" s="152"/>
      <c r="AJ51" s="152"/>
      <c r="AK51" s="152">
        <v>0</v>
      </c>
      <c r="AL51" s="152"/>
      <c r="AM51" s="152"/>
      <c r="AN51" s="152"/>
      <c r="AO51" s="152"/>
      <c r="AP51" s="152">
        <v>0</v>
      </c>
      <c r="AQ51" s="152">
        <v>0</v>
      </c>
      <c r="AR51" s="152"/>
      <c r="AS51" s="152"/>
      <c r="AT51" s="152"/>
      <c r="AU51" s="152">
        <v>0</v>
      </c>
      <c r="AV51" s="152">
        <v>1</v>
      </c>
      <c r="AW51" s="152"/>
      <c r="AX51" s="152"/>
      <c r="AY51" s="152"/>
      <c r="AZ51" s="152">
        <v>1</v>
      </c>
      <c r="BA51" s="152">
        <v>1</v>
      </c>
      <c r="BB51" s="152"/>
      <c r="BC51" s="152"/>
      <c r="BD51" s="152">
        <v>0</v>
      </c>
      <c r="BE51" s="152"/>
      <c r="BF51" s="152"/>
      <c r="BG51" s="152"/>
      <c r="BH51" s="152"/>
      <c r="BI51" s="152">
        <v>0</v>
      </c>
      <c r="BJ51" s="152">
        <v>0</v>
      </c>
      <c r="BK51" s="152"/>
      <c r="BL51" s="152"/>
      <c r="BM51" s="152"/>
      <c r="BN51" s="152">
        <v>0</v>
      </c>
      <c r="BO51" s="152">
        <v>0</v>
      </c>
      <c r="BP51" s="152">
        <v>4</v>
      </c>
    </row>
    <row r="52" spans="1:68" x14ac:dyDescent="0.35">
      <c r="A52" s="146" t="s">
        <v>399</v>
      </c>
      <c r="B52" s="146" t="s">
        <v>400</v>
      </c>
      <c r="C52" s="152">
        <v>5</v>
      </c>
      <c r="D52" s="152"/>
      <c r="E52" s="152"/>
      <c r="F52" s="152">
        <v>1</v>
      </c>
      <c r="G52" s="152">
        <v>6</v>
      </c>
      <c r="H52" s="152">
        <v>39</v>
      </c>
      <c r="I52" s="152">
        <v>10</v>
      </c>
      <c r="J52" s="152">
        <v>8</v>
      </c>
      <c r="K52" s="152">
        <v>4</v>
      </c>
      <c r="L52" s="152">
        <v>61</v>
      </c>
      <c r="M52" s="152">
        <v>67</v>
      </c>
      <c r="N52" s="152">
        <v>2</v>
      </c>
      <c r="O52" s="152"/>
      <c r="P52" s="152"/>
      <c r="Q52" s="152">
        <v>2</v>
      </c>
      <c r="R52" s="152">
        <v>1</v>
      </c>
      <c r="S52" s="152"/>
      <c r="T52" s="152"/>
      <c r="U52" s="152"/>
      <c r="V52" s="152">
        <v>1</v>
      </c>
      <c r="W52" s="152">
        <v>3</v>
      </c>
      <c r="X52" s="152"/>
      <c r="Y52" s="152"/>
      <c r="Z52" s="152"/>
      <c r="AA52" s="152">
        <v>0</v>
      </c>
      <c r="AB52" s="152">
        <v>1</v>
      </c>
      <c r="AC52" s="152"/>
      <c r="AD52" s="152"/>
      <c r="AE52" s="152"/>
      <c r="AF52" s="152">
        <v>1</v>
      </c>
      <c r="AG52" s="152">
        <v>1</v>
      </c>
      <c r="AH52" s="152"/>
      <c r="AI52" s="152"/>
      <c r="AJ52" s="152">
        <v>1</v>
      </c>
      <c r="AK52" s="152">
        <v>1</v>
      </c>
      <c r="AL52" s="152">
        <v>6</v>
      </c>
      <c r="AM52" s="152">
        <v>2</v>
      </c>
      <c r="AN52" s="152"/>
      <c r="AO52" s="152"/>
      <c r="AP52" s="152">
        <v>8</v>
      </c>
      <c r="AQ52" s="152">
        <v>9</v>
      </c>
      <c r="AR52" s="152">
        <v>2</v>
      </c>
      <c r="AS52" s="152"/>
      <c r="AT52" s="152"/>
      <c r="AU52" s="152">
        <v>2</v>
      </c>
      <c r="AV52" s="152">
        <v>1</v>
      </c>
      <c r="AW52" s="152"/>
      <c r="AX52" s="152"/>
      <c r="AY52" s="152"/>
      <c r="AZ52" s="152">
        <v>1</v>
      </c>
      <c r="BA52" s="152">
        <v>3</v>
      </c>
      <c r="BB52" s="152">
        <v>1</v>
      </c>
      <c r="BC52" s="152"/>
      <c r="BD52" s="152">
        <v>1</v>
      </c>
      <c r="BE52" s="152">
        <v>1</v>
      </c>
      <c r="BF52" s="152">
        <v>1</v>
      </c>
      <c r="BG52" s="152">
        <v>1</v>
      </c>
      <c r="BH52" s="152"/>
      <c r="BI52" s="152">
        <v>3</v>
      </c>
      <c r="BJ52" s="152">
        <v>4</v>
      </c>
      <c r="BK52" s="152"/>
      <c r="BL52" s="152"/>
      <c r="BM52" s="152"/>
      <c r="BN52" s="152">
        <v>0</v>
      </c>
      <c r="BO52" s="152">
        <v>0</v>
      </c>
      <c r="BP52" s="152">
        <v>87</v>
      </c>
    </row>
    <row r="53" spans="1:68" x14ac:dyDescent="0.35">
      <c r="A53" s="146" t="s">
        <v>401</v>
      </c>
      <c r="B53" s="146" t="s">
        <v>402</v>
      </c>
      <c r="C53" s="152">
        <v>104</v>
      </c>
      <c r="D53" s="152">
        <v>5</v>
      </c>
      <c r="E53" s="152"/>
      <c r="F53" s="152"/>
      <c r="G53" s="152">
        <v>109</v>
      </c>
      <c r="H53" s="152">
        <v>77</v>
      </c>
      <c r="I53" s="152">
        <v>34</v>
      </c>
      <c r="J53" s="152">
        <v>11</v>
      </c>
      <c r="K53" s="152">
        <v>3</v>
      </c>
      <c r="L53" s="152">
        <v>125</v>
      </c>
      <c r="M53" s="152">
        <v>234</v>
      </c>
      <c r="N53" s="152">
        <v>13</v>
      </c>
      <c r="O53" s="152"/>
      <c r="P53" s="152"/>
      <c r="Q53" s="152">
        <v>13</v>
      </c>
      <c r="R53" s="152">
        <v>6</v>
      </c>
      <c r="S53" s="152"/>
      <c r="T53" s="152">
        <v>1</v>
      </c>
      <c r="U53" s="152"/>
      <c r="V53" s="152">
        <v>7</v>
      </c>
      <c r="W53" s="152">
        <v>20</v>
      </c>
      <c r="X53" s="152">
        <v>8</v>
      </c>
      <c r="Y53" s="152"/>
      <c r="Z53" s="152"/>
      <c r="AA53" s="152">
        <v>8</v>
      </c>
      <c r="AB53" s="152">
        <v>6</v>
      </c>
      <c r="AC53" s="152"/>
      <c r="AD53" s="152">
        <v>1</v>
      </c>
      <c r="AE53" s="152"/>
      <c r="AF53" s="152">
        <v>7</v>
      </c>
      <c r="AG53" s="152">
        <v>15</v>
      </c>
      <c r="AH53" s="152">
        <v>3</v>
      </c>
      <c r="AI53" s="152"/>
      <c r="AJ53" s="152"/>
      <c r="AK53" s="152">
        <v>3</v>
      </c>
      <c r="AL53" s="152"/>
      <c r="AM53" s="152"/>
      <c r="AN53" s="152"/>
      <c r="AO53" s="152"/>
      <c r="AP53" s="152">
        <v>0</v>
      </c>
      <c r="AQ53" s="152">
        <v>3</v>
      </c>
      <c r="AR53" s="152">
        <v>28</v>
      </c>
      <c r="AS53" s="152">
        <v>1</v>
      </c>
      <c r="AT53" s="152"/>
      <c r="AU53" s="152">
        <v>29</v>
      </c>
      <c r="AV53" s="152">
        <v>18</v>
      </c>
      <c r="AW53" s="152">
        <v>7</v>
      </c>
      <c r="AX53" s="152">
        <v>7</v>
      </c>
      <c r="AY53" s="152"/>
      <c r="AZ53" s="152">
        <v>32</v>
      </c>
      <c r="BA53" s="152">
        <v>61</v>
      </c>
      <c r="BB53" s="152">
        <v>3</v>
      </c>
      <c r="BC53" s="152"/>
      <c r="BD53" s="152">
        <v>3</v>
      </c>
      <c r="BE53" s="152">
        <v>1</v>
      </c>
      <c r="BF53" s="152">
        <v>1</v>
      </c>
      <c r="BG53" s="152"/>
      <c r="BH53" s="152"/>
      <c r="BI53" s="152">
        <v>2</v>
      </c>
      <c r="BJ53" s="152">
        <v>5</v>
      </c>
      <c r="BK53" s="152"/>
      <c r="BL53" s="152"/>
      <c r="BM53" s="152"/>
      <c r="BN53" s="152">
        <v>0</v>
      </c>
      <c r="BO53" s="152">
        <v>0</v>
      </c>
      <c r="BP53" s="152">
        <v>338</v>
      </c>
    </row>
    <row r="54" spans="1:68" x14ac:dyDescent="0.35">
      <c r="A54" s="146" t="s">
        <v>403</v>
      </c>
      <c r="B54" s="146" t="s">
        <v>404</v>
      </c>
      <c r="C54" s="152">
        <v>3</v>
      </c>
      <c r="D54" s="152"/>
      <c r="E54" s="152"/>
      <c r="F54" s="152"/>
      <c r="G54" s="152">
        <v>3</v>
      </c>
      <c r="H54" s="152">
        <v>4</v>
      </c>
      <c r="I54" s="152">
        <v>4</v>
      </c>
      <c r="J54" s="152">
        <v>1</v>
      </c>
      <c r="K54" s="152"/>
      <c r="L54" s="152">
        <v>9</v>
      </c>
      <c r="M54" s="152">
        <v>12</v>
      </c>
      <c r="N54" s="152"/>
      <c r="O54" s="152"/>
      <c r="P54" s="152"/>
      <c r="Q54" s="152">
        <v>0</v>
      </c>
      <c r="R54" s="152"/>
      <c r="S54" s="152"/>
      <c r="T54" s="152"/>
      <c r="U54" s="152"/>
      <c r="V54" s="152">
        <v>0</v>
      </c>
      <c r="W54" s="152">
        <v>0</v>
      </c>
      <c r="X54" s="152"/>
      <c r="Y54" s="152"/>
      <c r="Z54" s="152"/>
      <c r="AA54" s="152">
        <v>0</v>
      </c>
      <c r="AB54" s="152"/>
      <c r="AC54" s="152"/>
      <c r="AD54" s="152"/>
      <c r="AE54" s="152"/>
      <c r="AF54" s="152">
        <v>0</v>
      </c>
      <c r="AG54" s="152">
        <v>0</v>
      </c>
      <c r="AH54" s="152"/>
      <c r="AI54" s="152"/>
      <c r="AJ54" s="152"/>
      <c r="AK54" s="152">
        <v>0</v>
      </c>
      <c r="AL54" s="152"/>
      <c r="AM54" s="152"/>
      <c r="AN54" s="152"/>
      <c r="AO54" s="152"/>
      <c r="AP54" s="152">
        <v>0</v>
      </c>
      <c r="AQ54" s="152">
        <v>0</v>
      </c>
      <c r="AR54" s="152">
        <v>1</v>
      </c>
      <c r="AS54" s="152"/>
      <c r="AT54" s="152"/>
      <c r="AU54" s="152">
        <v>1</v>
      </c>
      <c r="AV54" s="152"/>
      <c r="AW54" s="152"/>
      <c r="AX54" s="152">
        <v>1</v>
      </c>
      <c r="AY54" s="152"/>
      <c r="AZ54" s="152">
        <v>1</v>
      </c>
      <c r="BA54" s="152">
        <v>2</v>
      </c>
      <c r="BB54" s="152"/>
      <c r="BC54" s="152"/>
      <c r="BD54" s="152">
        <v>0</v>
      </c>
      <c r="BE54" s="152"/>
      <c r="BF54" s="152"/>
      <c r="BG54" s="152"/>
      <c r="BH54" s="152"/>
      <c r="BI54" s="152">
        <v>0</v>
      </c>
      <c r="BJ54" s="152">
        <v>0</v>
      </c>
      <c r="BK54" s="152"/>
      <c r="BL54" s="152"/>
      <c r="BM54" s="152"/>
      <c r="BN54" s="152">
        <v>0</v>
      </c>
      <c r="BO54" s="152">
        <v>0</v>
      </c>
      <c r="BP54" s="152">
        <v>14</v>
      </c>
    </row>
    <row r="55" spans="1:68" x14ac:dyDescent="0.35">
      <c r="A55" s="146" t="s">
        <v>405</v>
      </c>
      <c r="B55" s="146" t="s">
        <v>406</v>
      </c>
      <c r="C55" s="152">
        <v>115</v>
      </c>
      <c r="D55" s="152"/>
      <c r="E55" s="152">
        <v>1</v>
      </c>
      <c r="F55" s="152"/>
      <c r="G55" s="152">
        <v>116</v>
      </c>
      <c r="H55" s="152">
        <v>72</v>
      </c>
      <c r="I55" s="152">
        <v>9</v>
      </c>
      <c r="J55" s="152"/>
      <c r="K55" s="152">
        <v>2</v>
      </c>
      <c r="L55" s="152">
        <v>83</v>
      </c>
      <c r="M55" s="152">
        <v>199</v>
      </c>
      <c r="N55" s="152">
        <v>13</v>
      </c>
      <c r="O55" s="152"/>
      <c r="P55" s="152"/>
      <c r="Q55" s="152">
        <v>13</v>
      </c>
      <c r="R55" s="152">
        <v>5</v>
      </c>
      <c r="S55" s="152"/>
      <c r="T55" s="152">
        <v>1</v>
      </c>
      <c r="U55" s="152"/>
      <c r="V55" s="152">
        <v>6</v>
      </c>
      <c r="W55" s="152">
        <v>19</v>
      </c>
      <c r="X55" s="152">
        <v>9</v>
      </c>
      <c r="Y55" s="152"/>
      <c r="Z55" s="152"/>
      <c r="AA55" s="152">
        <v>9</v>
      </c>
      <c r="AB55" s="152">
        <v>2</v>
      </c>
      <c r="AC55" s="152"/>
      <c r="AD55" s="152"/>
      <c r="AE55" s="152"/>
      <c r="AF55" s="152">
        <v>2</v>
      </c>
      <c r="AG55" s="152">
        <v>11</v>
      </c>
      <c r="AH55" s="152">
        <v>6</v>
      </c>
      <c r="AI55" s="152"/>
      <c r="AJ55" s="152"/>
      <c r="AK55" s="152">
        <v>6</v>
      </c>
      <c r="AL55" s="152"/>
      <c r="AM55" s="152"/>
      <c r="AN55" s="152"/>
      <c r="AO55" s="152"/>
      <c r="AP55" s="152">
        <v>0</v>
      </c>
      <c r="AQ55" s="152">
        <v>6</v>
      </c>
      <c r="AR55" s="152">
        <v>25</v>
      </c>
      <c r="AS55" s="152"/>
      <c r="AT55" s="152"/>
      <c r="AU55" s="152">
        <v>25</v>
      </c>
      <c r="AV55" s="152">
        <v>6</v>
      </c>
      <c r="AW55" s="152">
        <v>2</v>
      </c>
      <c r="AX55" s="152"/>
      <c r="AY55" s="152"/>
      <c r="AZ55" s="152">
        <v>8</v>
      </c>
      <c r="BA55" s="152">
        <v>33</v>
      </c>
      <c r="BB55" s="152">
        <v>9</v>
      </c>
      <c r="BC55" s="152"/>
      <c r="BD55" s="152">
        <v>9</v>
      </c>
      <c r="BE55" s="152">
        <v>2</v>
      </c>
      <c r="BF55" s="152"/>
      <c r="BG55" s="152"/>
      <c r="BH55" s="152"/>
      <c r="BI55" s="152">
        <v>2</v>
      </c>
      <c r="BJ55" s="152">
        <v>11</v>
      </c>
      <c r="BK55" s="152"/>
      <c r="BL55" s="152"/>
      <c r="BM55" s="152"/>
      <c r="BN55" s="152">
        <v>0</v>
      </c>
      <c r="BO55" s="152">
        <v>0</v>
      </c>
      <c r="BP55" s="152">
        <v>279</v>
      </c>
    </row>
    <row r="56" spans="1:68" x14ac:dyDescent="0.35">
      <c r="A56" s="146" t="s">
        <v>1357</v>
      </c>
      <c r="B56" s="146" t="s">
        <v>1358</v>
      </c>
      <c r="C56" s="152">
        <v>1</v>
      </c>
      <c r="D56" s="152"/>
      <c r="E56" s="152"/>
      <c r="F56" s="152"/>
      <c r="G56" s="152">
        <v>1</v>
      </c>
      <c r="H56" s="152">
        <v>3</v>
      </c>
      <c r="I56" s="152">
        <v>2</v>
      </c>
      <c r="J56" s="152">
        <v>1</v>
      </c>
      <c r="K56" s="152"/>
      <c r="L56" s="152">
        <v>6</v>
      </c>
      <c r="M56" s="152">
        <v>7</v>
      </c>
      <c r="N56" s="152"/>
      <c r="O56" s="152"/>
      <c r="P56" s="152"/>
      <c r="Q56" s="152">
        <v>0</v>
      </c>
      <c r="R56" s="152"/>
      <c r="S56" s="152"/>
      <c r="T56" s="152"/>
      <c r="U56" s="152"/>
      <c r="V56" s="152">
        <v>0</v>
      </c>
      <c r="W56" s="152">
        <v>0</v>
      </c>
      <c r="X56" s="152"/>
      <c r="Y56" s="152"/>
      <c r="Z56" s="152"/>
      <c r="AA56" s="152">
        <v>0</v>
      </c>
      <c r="AB56" s="152"/>
      <c r="AC56" s="152"/>
      <c r="AD56" s="152"/>
      <c r="AE56" s="152"/>
      <c r="AF56" s="152">
        <v>0</v>
      </c>
      <c r="AG56" s="152">
        <v>0</v>
      </c>
      <c r="AH56" s="152"/>
      <c r="AI56" s="152"/>
      <c r="AJ56" s="152"/>
      <c r="AK56" s="152">
        <v>0</v>
      </c>
      <c r="AL56" s="152"/>
      <c r="AM56" s="152"/>
      <c r="AN56" s="152"/>
      <c r="AO56" s="152"/>
      <c r="AP56" s="152">
        <v>0</v>
      </c>
      <c r="AQ56" s="152">
        <v>0</v>
      </c>
      <c r="AR56" s="152"/>
      <c r="AS56" s="152"/>
      <c r="AT56" s="152"/>
      <c r="AU56" s="152">
        <v>0</v>
      </c>
      <c r="AV56" s="152"/>
      <c r="AW56" s="152"/>
      <c r="AX56" s="152"/>
      <c r="AY56" s="152"/>
      <c r="AZ56" s="152">
        <v>0</v>
      </c>
      <c r="BA56" s="152">
        <v>0</v>
      </c>
      <c r="BB56" s="152"/>
      <c r="BC56" s="152"/>
      <c r="BD56" s="152">
        <v>0</v>
      </c>
      <c r="BE56" s="152"/>
      <c r="BF56" s="152"/>
      <c r="BG56" s="152"/>
      <c r="BH56" s="152"/>
      <c r="BI56" s="152">
        <v>0</v>
      </c>
      <c r="BJ56" s="152">
        <v>0</v>
      </c>
      <c r="BK56" s="152"/>
      <c r="BL56" s="152"/>
      <c r="BM56" s="152"/>
      <c r="BN56" s="152">
        <v>0</v>
      </c>
      <c r="BO56" s="152">
        <v>0</v>
      </c>
      <c r="BP56" s="152">
        <v>7</v>
      </c>
    </row>
    <row r="57" spans="1:68" x14ac:dyDescent="0.35">
      <c r="A57" s="146" t="s">
        <v>1359</v>
      </c>
      <c r="B57" s="146" t="s">
        <v>1360</v>
      </c>
      <c r="C57" s="152">
        <v>1</v>
      </c>
      <c r="D57" s="152"/>
      <c r="E57" s="152"/>
      <c r="F57" s="152"/>
      <c r="G57" s="152">
        <v>1</v>
      </c>
      <c r="H57" s="152">
        <v>2</v>
      </c>
      <c r="I57" s="152">
        <v>1</v>
      </c>
      <c r="J57" s="152"/>
      <c r="K57" s="152"/>
      <c r="L57" s="152">
        <v>3</v>
      </c>
      <c r="M57" s="152">
        <v>4</v>
      </c>
      <c r="N57" s="152"/>
      <c r="O57" s="152"/>
      <c r="P57" s="152"/>
      <c r="Q57" s="152">
        <v>0</v>
      </c>
      <c r="R57" s="152"/>
      <c r="S57" s="152"/>
      <c r="T57" s="152"/>
      <c r="U57" s="152"/>
      <c r="V57" s="152">
        <v>0</v>
      </c>
      <c r="W57" s="152">
        <v>0</v>
      </c>
      <c r="X57" s="152"/>
      <c r="Y57" s="152"/>
      <c r="Z57" s="152"/>
      <c r="AA57" s="152">
        <v>0</v>
      </c>
      <c r="AB57" s="152"/>
      <c r="AC57" s="152"/>
      <c r="AD57" s="152"/>
      <c r="AE57" s="152"/>
      <c r="AF57" s="152">
        <v>0</v>
      </c>
      <c r="AG57" s="152">
        <v>0</v>
      </c>
      <c r="AH57" s="152"/>
      <c r="AI57" s="152"/>
      <c r="AJ57" s="152"/>
      <c r="AK57" s="152">
        <v>0</v>
      </c>
      <c r="AL57" s="152"/>
      <c r="AM57" s="152"/>
      <c r="AN57" s="152"/>
      <c r="AO57" s="152"/>
      <c r="AP57" s="152">
        <v>0</v>
      </c>
      <c r="AQ57" s="152">
        <v>0</v>
      </c>
      <c r="AR57" s="152"/>
      <c r="AS57" s="152"/>
      <c r="AT57" s="152"/>
      <c r="AU57" s="152">
        <v>0</v>
      </c>
      <c r="AV57" s="152"/>
      <c r="AW57" s="152"/>
      <c r="AX57" s="152"/>
      <c r="AY57" s="152"/>
      <c r="AZ57" s="152">
        <v>0</v>
      </c>
      <c r="BA57" s="152">
        <v>0</v>
      </c>
      <c r="BB57" s="152"/>
      <c r="BC57" s="152"/>
      <c r="BD57" s="152">
        <v>0</v>
      </c>
      <c r="BE57" s="152"/>
      <c r="BF57" s="152"/>
      <c r="BG57" s="152"/>
      <c r="BH57" s="152"/>
      <c r="BI57" s="152">
        <v>0</v>
      </c>
      <c r="BJ57" s="152">
        <v>0</v>
      </c>
      <c r="BK57" s="152"/>
      <c r="BL57" s="152"/>
      <c r="BM57" s="152"/>
      <c r="BN57" s="152">
        <v>0</v>
      </c>
      <c r="BO57" s="152">
        <v>0</v>
      </c>
      <c r="BP57" s="152">
        <v>4</v>
      </c>
    </row>
    <row r="58" spans="1:68" x14ac:dyDescent="0.35">
      <c r="A58" s="146" t="s">
        <v>1361</v>
      </c>
      <c r="B58" s="146" t="s">
        <v>1362</v>
      </c>
      <c r="C58" s="152"/>
      <c r="D58" s="152"/>
      <c r="E58" s="152"/>
      <c r="F58" s="152"/>
      <c r="G58" s="152">
        <v>0</v>
      </c>
      <c r="H58" s="152"/>
      <c r="I58" s="152">
        <v>1</v>
      </c>
      <c r="J58" s="152"/>
      <c r="K58" s="152">
        <v>1</v>
      </c>
      <c r="L58" s="152">
        <v>2</v>
      </c>
      <c r="M58" s="152">
        <v>2</v>
      </c>
      <c r="N58" s="152"/>
      <c r="O58" s="152"/>
      <c r="P58" s="152"/>
      <c r="Q58" s="152">
        <v>0</v>
      </c>
      <c r="R58" s="152"/>
      <c r="S58" s="152"/>
      <c r="T58" s="152"/>
      <c r="U58" s="152"/>
      <c r="V58" s="152">
        <v>0</v>
      </c>
      <c r="W58" s="152">
        <v>0</v>
      </c>
      <c r="X58" s="152"/>
      <c r="Y58" s="152"/>
      <c r="Z58" s="152"/>
      <c r="AA58" s="152">
        <v>0</v>
      </c>
      <c r="AB58" s="152"/>
      <c r="AC58" s="152"/>
      <c r="AD58" s="152"/>
      <c r="AE58" s="152"/>
      <c r="AF58" s="152">
        <v>0</v>
      </c>
      <c r="AG58" s="152">
        <v>0</v>
      </c>
      <c r="AH58" s="152"/>
      <c r="AI58" s="152"/>
      <c r="AJ58" s="152"/>
      <c r="AK58" s="152">
        <v>0</v>
      </c>
      <c r="AL58" s="152"/>
      <c r="AM58" s="152"/>
      <c r="AN58" s="152"/>
      <c r="AO58" s="152"/>
      <c r="AP58" s="152">
        <v>0</v>
      </c>
      <c r="AQ58" s="152">
        <v>0</v>
      </c>
      <c r="AR58" s="152"/>
      <c r="AS58" s="152"/>
      <c r="AT58" s="152"/>
      <c r="AU58" s="152">
        <v>0</v>
      </c>
      <c r="AV58" s="152"/>
      <c r="AW58" s="152">
        <v>1</v>
      </c>
      <c r="AX58" s="152"/>
      <c r="AY58" s="152"/>
      <c r="AZ58" s="152">
        <v>1</v>
      </c>
      <c r="BA58" s="152">
        <v>1</v>
      </c>
      <c r="BB58" s="152"/>
      <c r="BC58" s="152"/>
      <c r="BD58" s="152">
        <v>0</v>
      </c>
      <c r="BE58" s="152"/>
      <c r="BF58" s="152"/>
      <c r="BG58" s="152"/>
      <c r="BH58" s="152"/>
      <c r="BI58" s="152">
        <v>0</v>
      </c>
      <c r="BJ58" s="152">
        <v>0</v>
      </c>
      <c r="BK58" s="152"/>
      <c r="BL58" s="152"/>
      <c r="BM58" s="152"/>
      <c r="BN58" s="152">
        <v>0</v>
      </c>
      <c r="BO58" s="152">
        <v>0</v>
      </c>
      <c r="BP58" s="152">
        <v>3</v>
      </c>
    </row>
    <row r="59" spans="1:68" x14ac:dyDescent="0.35">
      <c r="A59" s="146" t="s">
        <v>407</v>
      </c>
      <c r="B59" s="146" t="s">
        <v>408</v>
      </c>
      <c r="C59" s="152">
        <v>40</v>
      </c>
      <c r="D59" s="152"/>
      <c r="E59" s="152"/>
      <c r="F59" s="152"/>
      <c r="G59" s="152">
        <v>40</v>
      </c>
      <c r="H59" s="152">
        <v>32</v>
      </c>
      <c r="I59" s="152">
        <v>11</v>
      </c>
      <c r="J59" s="152">
        <v>4</v>
      </c>
      <c r="K59" s="152"/>
      <c r="L59" s="152">
        <v>47</v>
      </c>
      <c r="M59" s="152">
        <v>87</v>
      </c>
      <c r="N59" s="152">
        <v>12</v>
      </c>
      <c r="O59" s="152"/>
      <c r="P59" s="152"/>
      <c r="Q59" s="152">
        <v>12</v>
      </c>
      <c r="R59" s="152">
        <v>3</v>
      </c>
      <c r="S59" s="152"/>
      <c r="T59" s="152">
        <v>1</v>
      </c>
      <c r="U59" s="152"/>
      <c r="V59" s="152">
        <v>4</v>
      </c>
      <c r="W59" s="152">
        <v>16</v>
      </c>
      <c r="X59" s="152">
        <v>19</v>
      </c>
      <c r="Y59" s="152"/>
      <c r="Z59" s="152"/>
      <c r="AA59" s="152">
        <v>19</v>
      </c>
      <c r="AB59" s="152">
        <v>10</v>
      </c>
      <c r="AC59" s="152">
        <v>4</v>
      </c>
      <c r="AD59" s="152">
        <v>4</v>
      </c>
      <c r="AE59" s="152">
        <v>1</v>
      </c>
      <c r="AF59" s="152">
        <v>19</v>
      </c>
      <c r="AG59" s="152">
        <v>38</v>
      </c>
      <c r="AH59" s="152">
        <v>4</v>
      </c>
      <c r="AI59" s="152"/>
      <c r="AJ59" s="152"/>
      <c r="AK59" s="152">
        <v>4</v>
      </c>
      <c r="AL59" s="152">
        <v>1</v>
      </c>
      <c r="AM59" s="152">
        <v>1</v>
      </c>
      <c r="AN59" s="152"/>
      <c r="AO59" s="152"/>
      <c r="AP59" s="152">
        <v>2</v>
      </c>
      <c r="AQ59" s="152">
        <v>6</v>
      </c>
      <c r="AR59" s="152">
        <v>14</v>
      </c>
      <c r="AS59" s="152"/>
      <c r="AT59" s="152"/>
      <c r="AU59" s="152">
        <v>14</v>
      </c>
      <c r="AV59" s="152">
        <v>3</v>
      </c>
      <c r="AW59" s="152">
        <v>1</v>
      </c>
      <c r="AX59" s="152">
        <v>1</v>
      </c>
      <c r="AY59" s="152"/>
      <c r="AZ59" s="152">
        <v>5</v>
      </c>
      <c r="BA59" s="152">
        <v>19</v>
      </c>
      <c r="BB59" s="152">
        <v>6</v>
      </c>
      <c r="BC59" s="152"/>
      <c r="BD59" s="152">
        <v>6</v>
      </c>
      <c r="BE59" s="152"/>
      <c r="BF59" s="152"/>
      <c r="BG59" s="152"/>
      <c r="BH59" s="152"/>
      <c r="BI59" s="152">
        <v>0</v>
      </c>
      <c r="BJ59" s="152">
        <v>6</v>
      </c>
      <c r="BK59" s="152"/>
      <c r="BL59" s="152"/>
      <c r="BM59" s="152"/>
      <c r="BN59" s="152">
        <v>0</v>
      </c>
      <c r="BO59" s="152">
        <v>0</v>
      </c>
      <c r="BP59" s="152">
        <v>172</v>
      </c>
    </row>
    <row r="60" spans="1:68" x14ac:dyDescent="0.35">
      <c r="A60" s="146" t="s">
        <v>409</v>
      </c>
      <c r="B60" s="146" t="s">
        <v>410</v>
      </c>
      <c r="C60" s="152">
        <v>70</v>
      </c>
      <c r="D60" s="152">
        <v>1</v>
      </c>
      <c r="E60" s="152"/>
      <c r="F60" s="152"/>
      <c r="G60" s="152">
        <v>71</v>
      </c>
      <c r="H60" s="152">
        <v>20</v>
      </c>
      <c r="I60" s="152">
        <v>4</v>
      </c>
      <c r="J60" s="152">
        <v>2</v>
      </c>
      <c r="K60" s="152">
        <v>1</v>
      </c>
      <c r="L60" s="152">
        <v>27</v>
      </c>
      <c r="M60" s="152">
        <v>98</v>
      </c>
      <c r="N60" s="152">
        <v>30</v>
      </c>
      <c r="O60" s="152"/>
      <c r="P60" s="152"/>
      <c r="Q60" s="152">
        <v>30</v>
      </c>
      <c r="R60" s="152">
        <v>2</v>
      </c>
      <c r="S60" s="152"/>
      <c r="T60" s="152"/>
      <c r="U60" s="152"/>
      <c r="V60" s="152">
        <v>2</v>
      </c>
      <c r="W60" s="152">
        <v>32</v>
      </c>
      <c r="X60" s="152">
        <v>24</v>
      </c>
      <c r="Y60" s="152"/>
      <c r="Z60" s="152"/>
      <c r="AA60" s="152">
        <v>24</v>
      </c>
      <c r="AB60" s="152"/>
      <c r="AC60" s="152"/>
      <c r="AD60" s="152"/>
      <c r="AE60" s="152"/>
      <c r="AF60" s="152">
        <v>0</v>
      </c>
      <c r="AG60" s="152">
        <v>24</v>
      </c>
      <c r="AH60" s="152">
        <v>1</v>
      </c>
      <c r="AI60" s="152"/>
      <c r="AJ60" s="152"/>
      <c r="AK60" s="152">
        <v>1</v>
      </c>
      <c r="AL60" s="152">
        <v>2</v>
      </c>
      <c r="AM60" s="152">
        <v>1</v>
      </c>
      <c r="AN60" s="152"/>
      <c r="AO60" s="152"/>
      <c r="AP60" s="152">
        <v>3</v>
      </c>
      <c r="AQ60" s="152">
        <v>4</v>
      </c>
      <c r="AR60" s="152">
        <v>36</v>
      </c>
      <c r="AS60" s="152"/>
      <c r="AT60" s="152"/>
      <c r="AU60" s="152">
        <v>36</v>
      </c>
      <c r="AV60" s="152">
        <v>4</v>
      </c>
      <c r="AW60" s="152">
        <v>1</v>
      </c>
      <c r="AX60" s="152"/>
      <c r="AY60" s="152"/>
      <c r="AZ60" s="152">
        <v>5</v>
      </c>
      <c r="BA60" s="152">
        <v>41</v>
      </c>
      <c r="BB60" s="152">
        <v>4</v>
      </c>
      <c r="BC60" s="152"/>
      <c r="BD60" s="152">
        <v>4</v>
      </c>
      <c r="BE60" s="152"/>
      <c r="BF60" s="152"/>
      <c r="BG60" s="152"/>
      <c r="BH60" s="152"/>
      <c r="BI60" s="152">
        <v>0</v>
      </c>
      <c r="BJ60" s="152">
        <v>4</v>
      </c>
      <c r="BK60" s="152"/>
      <c r="BL60" s="152"/>
      <c r="BM60" s="152"/>
      <c r="BN60" s="152">
        <v>0</v>
      </c>
      <c r="BO60" s="152">
        <v>0</v>
      </c>
      <c r="BP60" s="152">
        <v>203</v>
      </c>
    </row>
    <row r="61" spans="1:68" x14ac:dyDescent="0.35">
      <c r="A61" s="146" t="s">
        <v>411</v>
      </c>
      <c r="B61" s="146" t="s">
        <v>412</v>
      </c>
      <c r="C61" s="152">
        <v>1</v>
      </c>
      <c r="D61" s="152"/>
      <c r="E61" s="152"/>
      <c r="F61" s="152"/>
      <c r="G61" s="152">
        <v>1</v>
      </c>
      <c r="H61" s="152"/>
      <c r="I61" s="152"/>
      <c r="J61" s="152"/>
      <c r="K61" s="152"/>
      <c r="L61" s="152">
        <v>0</v>
      </c>
      <c r="M61" s="152">
        <v>1</v>
      </c>
      <c r="N61" s="152"/>
      <c r="O61" s="152"/>
      <c r="P61" s="152"/>
      <c r="Q61" s="152">
        <v>0</v>
      </c>
      <c r="R61" s="152"/>
      <c r="S61" s="152"/>
      <c r="T61" s="152"/>
      <c r="U61" s="152"/>
      <c r="V61" s="152">
        <v>0</v>
      </c>
      <c r="W61" s="152">
        <v>0</v>
      </c>
      <c r="X61" s="152"/>
      <c r="Y61" s="152"/>
      <c r="Z61" s="152"/>
      <c r="AA61" s="152">
        <v>0</v>
      </c>
      <c r="AB61" s="152"/>
      <c r="AC61" s="152"/>
      <c r="AD61" s="152"/>
      <c r="AE61" s="152"/>
      <c r="AF61" s="152">
        <v>0</v>
      </c>
      <c r="AG61" s="152">
        <v>0</v>
      </c>
      <c r="AH61" s="152"/>
      <c r="AI61" s="152"/>
      <c r="AJ61" s="152"/>
      <c r="AK61" s="152">
        <v>0</v>
      </c>
      <c r="AL61" s="152"/>
      <c r="AM61" s="152"/>
      <c r="AN61" s="152"/>
      <c r="AO61" s="152"/>
      <c r="AP61" s="152">
        <v>0</v>
      </c>
      <c r="AQ61" s="152">
        <v>0</v>
      </c>
      <c r="AR61" s="152"/>
      <c r="AS61" s="152"/>
      <c r="AT61" s="152"/>
      <c r="AU61" s="152">
        <v>0</v>
      </c>
      <c r="AV61" s="152"/>
      <c r="AW61" s="152"/>
      <c r="AX61" s="152"/>
      <c r="AY61" s="152"/>
      <c r="AZ61" s="152">
        <v>0</v>
      </c>
      <c r="BA61" s="152">
        <v>0</v>
      </c>
      <c r="BB61" s="152"/>
      <c r="BC61" s="152"/>
      <c r="BD61" s="152">
        <v>0</v>
      </c>
      <c r="BE61" s="152"/>
      <c r="BF61" s="152"/>
      <c r="BG61" s="152"/>
      <c r="BH61" s="152"/>
      <c r="BI61" s="152">
        <v>0</v>
      </c>
      <c r="BJ61" s="152">
        <v>0</v>
      </c>
      <c r="BK61" s="152"/>
      <c r="BL61" s="152"/>
      <c r="BM61" s="152"/>
      <c r="BN61" s="152">
        <v>0</v>
      </c>
      <c r="BO61" s="152">
        <v>0</v>
      </c>
      <c r="BP61" s="152">
        <v>1</v>
      </c>
    </row>
    <row r="62" spans="1:68" x14ac:dyDescent="0.35">
      <c r="A62" s="146" t="s">
        <v>413</v>
      </c>
      <c r="B62" s="146" t="s">
        <v>414</v>
      </c>
      <c r="C62" s="152">
        <v>1</v>
      </c>
      <c r="D62" s="152"/>
      <c r="E62" s="152"/>
      <c r="F62" s="152"/>
      <c r="G62" s="152">
        <v>1</v>
      </c>
      <c r="H62" s="152">
        <v>1</v>
      </c>
      <c r="I62" s="152">
        <v>3</v>
      </c>
      <c r="J62" s="152">
        <v>1</v>
      </c>
      <c r="K62" s="152"/>
      <c r="L62" s="152">
        <v>5</v>
      </c>
      <c r="M62" s="152">
        <v>6</v>
      </c>
      <c r="N62" s="152">
        <v>4</v>
      </c>
      <c r="O62" s="152"/>
      <c r="P62" s="152"/>
      <c r="Q62" s="152">
        <v>4</v>
      </c>
      <c r="R62" s="152">
        <v>3</v>
      </c>
      <c r="S62" s="152"/>
      <c r="T62" s="152">
        <v>1</v>
      </c>
      <c r="U62" s="152"/>
      <c r="V62" s="152">
        <v>4</v>
      </c>
      <c r="W62" s="152">
        <v>8</v>
      </c>
      <c r="X62" s="152"/>
      <c r="Y62" s="152"/>
      <c r="Z62" s="152"/>
      <c r="AA62" s="152">
        <v>0</v>
      </c>
      <c r="AB62" s="152"/>
      <c r="AC62" s="152"/>
      <c r="AD62" s="152"/>
      <c r="AE62" s="152"/>
      <c r="AF62" s="152">
        <v>0</v>
      </c>
      <c r="AG62" s="152">
        <v>0</v>
      </c>
      <c r="AH62" s="152"/>
      <c r="AI62" s="152"/>
      <c r="AJ62" s="152"/>
      <c r="AK62" s="152">
        <v>0</v>
      </c>
      <c r="AL62" s="152"/>
      <c r="AM62" s="152"/>
      <c r="AN62" s="152"/>
      <c r="AO62" s="152"/>
      <c r="AP62" s="152">
        <v>0</v>
      </c>
      <c r="AQ62" s="152">
        <v>0</v>
      </c>
      <c r="AR62" s="152"/>
      <c r="AS62" s="152"/>
      <c r="AT62" s="152"/>
      <c r="AU62" s="152">
        <v>0</v>
      </c>
      <c r="AV62" s="152"/>
      <c r="AW62" s="152"/>
      <c r="AX62" s="152"/>
      <c r="AY62" s="152"/>
      <c r="AZ62" s="152">
        <v>0</v>
      </c>
      <c r="BA62" s="152">
        <v>0</v>
      </c>
      <c r="BB62" s="152"/>
      <c r="BC62" s="152"/>
      <c r="BD62" s="152">
        <v>0</v>
      </c>
      <c r="BE62" s="152"/>
      <c r="BF62" s="152"/>
      <c r="BG62" s="152"/>
      <c r="BH62" s="152"/>
      <c r="BI62" s="152">
        <v>0</v>
      </c>
      <c r="BJ62" s="152">
        <v>0</v>
      </c>
      <c r="BK62" s="152"/>
      <c r="BL62" s="152"/>
      <c r="BM62" s="152"/>
      <c r="BN62" s="152">
        <v>0</v>
      </c>
      <c r="BO62" s="152">
        <v>0</v>
      </c>
      <c r="BP62" s="152">
        <v>14</v>
      </c>
    </row>
    <row r="63" spans="1:68" x14ac:dyDescent="0.35">
      <c r="A63" s="146" t="s">
        <v>415</v>
      </c>
      <c r="B63" s="146" t="s">
        <v>416</v>
      </c>
      <c r="C63" s="152">
        <v>18</v>
      </c>
      <c r="D63" s="152"/>
      <c r="E63" s="152"/>
      <c r="F63" s="152"/>
      <c r="G63" s="152">
        <v>18</v>
      </c>
      <c r="H63" s="152">
        <v>14</v>
      </c>
      <c r="I63" s="152">
        <v>4</v>
      </c>
      <c r="J63" s="152">
        <v>1</v>
      </c>
      <c r="K63" s="152">
        <v>1</v>
      </c>
      <c r="L63" s="152">
        <v>20</v>
      </c>
      <c r="M63" s="152">
        <v>38</v>
      </c>
      <c r="N63" s="152">
        <v>24</v>
      </c>
      <c r="O63" s="152"/>
      <c r="P63" s="152"/>
      <c r="Q63" s="152">
        <v>24</v>
      </c>
      <c r="R63" s="152">
        <v>9</v>
      </c>
      <c r="S63" s="152"/>
      <c r="T63" s="152"/>
      <c r="U63" s="152"/>
      <c r="V63" s="152">
        <v>9</v>
      </c>
      <c r="W63" s="152">
        <v>33</v>
      </c>
      <c r="X63" s="152">
        <v>3</v>
      </c>
      <c r="Y63" s="152"/>
      <c r="Z63" s="152"/>
      <c r="AA63" s="152">
        <v>3</v>
      </c>
      <c r="AB63" s="152"/>
      <c r="AC63" s="152"/>
      <c r="AD63" s="152"/>
      <c r="AE63" s="152"/>
      <c r="AF63" s="152">
        <v>0</v>
      </c>
      <c r="AG63" s="152">
        <v>3</v>
      </c>
      <c r="AH63" s="152"/>
      <c r="AI63" s="152"/>
      <c r="AJ63" s="152"/>
      <c r="AK63" s="152">
        <v>0</v>
      </c>
      <c r="AL63" s="152"/>
      <c r="AM63" s="152"/>
      <c r="AN63" s="152"/>
      <c r="AO63" s="152"/>
      <c r="AP63" s="152">
        <v>0</v>
      </c>
      <c r="AQ63" s="152">
        <v>0</v>
      </c>
      <c r="AR63" s="152">
        <v>1</v>
      </c>
      <c r="AS63" s="152"/>
      <c r="AT63" s="152"/>
      <c r="AU63" s="152">
        <v>1</v>
      </c>
      <c r="AV63" s="152"/>
      <c r="AW63" s="152">
        <v>1</v>
      </c>
      <c r="AX63" s="152"/>
      <c r="AY63" s="152"/>
      <c r="AZ63" s="152">
        <v>1</v>
      </c>
      <c r="BA63" s="152">
        <v>2</v>
      </c>
      <c r="BB63" s="152">
        <v>9</v>
      </c>
      <c r="BC63" s="152"/>
      <c r="BD63" s="152">
        <v>9</v>
      </c>
      <c r="BE63" s="152">
        <v>2</v>
      </c>
      <c r="BF63" s="152"/>
      <c r="BG63" s="152"/>
      <c r="BH63" s="152"/>
      <c r="BI63" s="152">
        <v>2</v>
      </c>
      <c r="BJ63" s="152">
        <v>11</v>
      </c>
      <c r="BK63" s="152"/>
      <c r="BL63" s="152"/>
      <c r="BM63" s="152"/>
      <c r="BN63" s="152">
        <v>0</v>
      </c>
      <c r="BO63" s="152">
        <v>0</v>
      </c>
      <c r="BP63" s="152">
        <v>87</v>
      </c>
    </row>
    <row r="64" spans="1:68" x14ac:dyDescent="0.35">
      <c r="A64" s="146" t="s">
        <v>417</v>
      </c>
      <c r="B64" s="146" t="s">
        <v>418</v>
      </c>
      <c r="C64" s="152">
        <v>15</v>
      </c>
      <c r="D64" s="152"/>
      <c r="E64" s="152"/>
      <c r="F64" s="152"/>
      <c r="G64" s="152">
        <v>15</v>
      </c>
      <c r="H64" s="152">
        <v>13</v>
      </c>
      <c r="I64" s="152"/>
      <c r="J64" s="152"/>
      <c r="K64" s="152">
        <v>1</v>
      </c>
      <c r="L64" s="152">
        <v>14</v>
      </c>
      <c r="M64" s="152">
        <v>29</v>
      </c>
      <c r="N64" s="152">
        <v>5</v>
      </c>
      <c r="O64" s="152"/>
      <c r="P64" s="152"/>
      <c r="Q64" s="152">
        <v>5</v>
      </c>
      <c r="R64" s="152">
        <v>3</v>
      </c>
      <c r="S64" s="152"/>
      <c r="T64" s="152"/>
      <c r="U64" s="152"/>
      <c r="V64" s="152">
        <v>3</v>
      </c>
      <c r="W64" s="152">
        <v>8</v>
      </c>
      <c r="X64" s="152"/>
      <c r="Y64" s="152"/>
      <c r="Z64" s="152"/>
      <c r="AA64" s="152">
        <v>0</v>
      </c>
      <c r="AB64" s="152">
        <v>1</v>
      </c>
      <c r="AC64" s="152"/>
      <c r="AD64" s="152"/>
      <c r="AE64" s="152"/>
      <c r="AF64" s="152">
        <v>1</v>
      </c>
      <c r="AG64" s="152">
        <v>1</v>
      </c>
      <c r="AH64" s="152"/>
      <c r="AI64" s="152"/>
      <c r="AJ64" s="152"/>
      <c r="AK64" s="152">
        <v>0</v>
      </c>
      <c r="AL64" s="152"/>
      <c r="AM64" s="152"/>
      <c r="AN64" s="152"/>
      <c r="AO64" s="152"/>
      <c r="AP64" s="152">
        <v>0</v>
      </c>
      <c r="AQ64" s="152">
        <v>0</v>
      </c>
      <c r="AR64" s="152">
        <v>4</v>
      </c>
      <c r="AS64" s="152"/>
      <c r="AT64" s="152"/>
      <c r="AU64" s="152">
        <v>4</v>
      </c>
      <c r="AV64" s="152">
        <v>1</v>
      </c>
      <c r="AW64" s="152"/>
      <c r="AX64" s="152"/>
      <c r="AY64" s="152"/>
      <c r="AZ64" s="152">
        <v>1</v>
      </c>
      <c r="BA64" s="152">
        <v>5</v>
      </c>
      <c r="BB64" s="152"/>
      <c r="BC64" s="152"/>
      <c r="BD64" s="152">
        <v>0</v>
      </c>
      <c r="BE64" s="152"/>
      <c r="BF64" s="152"/>
      <c r="BG64" s="152"/>
      <c r="BH64" s="152"/>
      <c r="BI64" s="152">
        <v>0</v>
      </c>
      <c r="BJ64" s="152">
        <v>0</v>
      </c>
      <c r="BK64" s="152"/>
      <c r="BL64" s="152"/>
      <c r="BM64" s="152"/>
      <c r="BN64" s="152">
        <v>0</v>
      </c>
      <c r="BO64" s="152">
        <v>0</v>
      </c>
      <c r="BP64" s="152">
        <v>43</v>
      </c>
    </row>
    <row r="65" spans="1:68" x14ac:dyDescent="0.35">
      <c r="A65" s="146" t="s">
        <v>419</v>
      </c>
      <c r="B65" s="146" t="s">
        <v>420</v>
      </c>
      <c r="C65" s="152"/>
      <c r="D65" s="152"/>
      <c r="E65" s="152"/>
      <c r="F65" s="152"/>
      <c r="G65" s="152">
        <v>0</v>
      </c>
      <c r="H65" s="152">
        <v>1</v>
      </c>
      <c r="I65" s="152"/>
      <c r="J65" s="152"/>
      <c r="K65" s="152"/>
      <c r="L65" s="152">
        <v>1</v>
      </c>
      <c r="M65" s="152">
        <v>1</v>
      </c>
      <c r="N65" s="152"/>
      <c r="O65" s="152"/>
      <c r="P65" s="152"/>
      <c r="Q65" s="152">
        <v>0</v>
      </c>
      <c r="R65" s="152"/>
      <c r="S65" s="152"/>
      <c r="T65" s="152"/>
      <c r="U65" s="152"/>
      <c r="V65" s="152">
        <v>0</v>
      </c>
      <c r="W65" s="152">
        <v>0</v>
      </c>
      <c r="X65" s="152"/>
      <c r="Y65" s="152"/>
      <c r="Z65" s="152"/>
      <c r="AA65" s="152">
        <v>0</v>
      </c>
      <c r="AB65" s="152"/>
      <c r="AC65" s="152"/>
      <c r="AD65" s="152"/>
      <c r="AE65" s="152"/>
      <c r="AF65" s="152">
        <v>0</v>
      </c>
      <c r="AG65" s="152">
        <v>0</v>
      </c>
      <c r="AH65" s="152"/>
      <c r="AI65" s="152"/>
      <c r="AJ65" s="152"/>
      <c r="AK65" s="152">
        <v>0</v>
      </c>
      <c r="AL65" s="152"/>
      <c r="AM65" s="152"/>
      <c r="AN65" s="152"/>
      <c r="AO65" s="152"/>
      <c r="AP65" s="152">
        <v>0</v>
      </c>
      <c r="AQ65" s="152">
        <v>0</v>
      </c>
      <c r="AR65" s="152">
        <v>1</v>
      </c>
      <c r="AS65" s="152"/>
      <c r="AT65" s="152"/>
      <c r="AU65" s="152">
        <v>1</v>
      </c>
      <c r="AV65" s="152">
        <v>1</v>
      </c>
      <c r="AW65" s="152"/>
      <c r="AX65" s="152"/>
      <c r="AY65" s="152"/>
      <c r="AZ65" s="152">
        <v>1</v>
      </c>
      <c r="BA65" s="152">
        <v>2</v>
      </c>
      <c r="BB65" s="152"/>
      <c r="BC65" s="152"/>
      <c r="BD65" s="152">
        <v>0</v>
      </c>
      <c r="BE65" s="152"/>
      <c r="BF65" s="152"/>
      <c r="BG65" s="152"/>
      <c r="BH65" s="152"/>
      <c r="BI65" s="152">
        <v>0</v>
      </c>
      <c r="BJ65" s="152">
        <v>0</v>
      </c>
      <c r="BK65" s="152"/>
      <c r="BL65" s="152"/>
      <c r="BM65" s="152"/>
      <c r="BN65" s="152">
        <v>0</v>
      </c>
      <c r="BO65" s="152">
        <v>0</v>
      </c>
      <c r="BP65" s="152">
        <v>3</v>
      </c>
    </row>
    <row r="66" spans="1:68" x14ac:dyDescent="0.35">
      <c r="A66" s="146" t="s">
        <v>421</v>
      </c>
      <c r="B66" s="146" t="s">
        <v>422</v>
      </c>
      <c r="C66" s="152">
        <v>3</v>
      </c>
      <c r="D66" s="152"/>
      <c r="E66" s="152"/>
      <c r="F66" s="152"/>
      <c r="G66" s="152">
        <v>3</v>
      </c>
      <c r="H66" s="152">
        <v>10</v>
      </c>
      <c r="I66" s="152">
        <v>1</v>
      </c>
      <c r="J66" s="152"/>
      <c r="K66" s="152"/>
      <c r="L66" s="152">
        <v>11</v>
      </c>
      <c r="M66" s="152">
        <v>14</v>
      </c>
      <c r="N66" s="152"/>
      <c r="O66" s="152"/>
      <c r="P66" s="152"/>
      <c r="Q66" s="152">
        <v>0</v>
      </c>
      <c r="R66" s="152"/>
      <c r="S66" s="152"/>
      <c r="T66" s="152"/>
      <c r="U66" s="152"/>
      <c r="V66" s="152">
        <v>0</v>
      </c>
      <c r="W66" s="152">
        <v>0</v>
      </c>
      <c r="X66" s="152">
        <v>2</v>
      </c>
      <c r="Y66" s="152"/>
      <c r="Z66" s="152"/>
      <c r="AA66" s="152">
        <v>2</v>
      </c>
      <c r="AB66" s="152">
        <v>2</v>
      </c>
      <c r="AC66" s="152"/>
      <c r="AD66" s="152"/>
      <c r="AE66" s="152"/>
      <c r="AF66" s="152">
        <v>2</v>
      </c>
      <c r="AG66" s="152">
        <v>4</v>
      </c>
      <c r="AH66" s="152"/>
      <c r="AI66" s="152"/>
      <c r="AJ66" s="152"/>
      <c r="AK66" s="152">
        <v>0</v>
      </c>
      <c r="AL66" s="152"/>
      <c r="AM66" s="152"/>
      <c r="AN66" s="152"/>
      <c r="AO66" s="152"/>
      <c r="AP66" s="152">
        <v>0</v>
      </c>
      <c r="AQ66" s="152">
        <v>0</v>
      </c>
      <c r="AR66" s="152">
        <v>6</v>
      </c>
      <c r="AS66" s="152">
        <v>1</v>
      </c>
      <c r="AT66" s="152"/>
      <c r="AU66" s="152">
        <v>7</v>
      </c>
      <c r="AV66" s="152">
        <v>1</v>
      </c>
      <c r="AW66" s="152"/>
      <c r="AX66" s="152"/>
      <c r="AY66" s="152"/>
      <c r="AZ66" s="152">
        <v>1</v>
      </c>
      <c r="BA66" s="152">
        <v>8</v>
      </c>
      <c r="BB66" s="152">
        <v>1</v>
      </c>
      <c r="BC66" s="152"/>
      <c r="BD66" s="152">
        <v>1</v>
      </c>
      <c r="BE66" s="152">
        <v>1</v>
      </c>
      <c r="BF66" s="152"/>
      <c r="BG66" s="152"/>
      <c r="BH66" s="152"/>
      <c r="BI66" s="152">
        <v>1</v>
      </c>
      <c r="BJ66" s="152">
        <v>2</v>
      </c>
      <c r="BK66" s="152"/>
      <c r="BL66" s="152"/>
      <c r="BM66" s="152"/>
      <c r="BN66" s="152">
        <v>0</v>
      </c>
      <c r="BO66" s="152">
        <v>0</v>
      </c>
      <c r="BP66" s="152">
        <v>28</v>
      </c>
    </row>
    <row r="67" spans="1:68" x14ac:dyDescent="0.35">
      <c r="A67" s="146" t="s">
        <v>423</v>
      </c>
      <c r="B67" s="146" t="s">
        <v>424</v>
      </c>
      <c r="C67" s="152">
        <v>1214</v>
      </c>
      <c r="D67" s="152">
        <v>1</v>
      </c>
      <c r="E67" s="152"/>
      <c r="F67" s="152"/>
      <c r="G67" s="152">
        <v>1215</v>
      </c>
      <c r="H67" s="152">
        <v>145</v>
      </c>
      <c r="I67" s="152">
        <v>33</v>
      </c>
      <c r="J67" s="152">
        <v>6</v>
      </c>
      <c r="K67" s="152">
        <v>3</v>
      </c>
      <c r="L67" s="152">
        <v>187</v>
      </c>
      <c r="M67" s="152">
        <v>1402</v>
      </c>
      <c r="N67" s="152">
        <v>148</v>
      </c>
      <c r="O67" s="152"/>
      <c r="P67" s="152"/>
      <c r="Q67" s="152">
        <v>148</v>
      </c>
      <c r="R67" s="152">
        <v>7</v>
      </c>
      <c r="S67" s="152"/>
      <c r="T67" s="152"/>
      <c r="U67" s="152"/>
      <c r="V67" s="152">
        <v>7</v>
      </c>
      <c r="W67" s="152">
        <v>155</v>
      </c>
      <c r="X67" s="152">
        <v>109</v>
      </c>
      <c r="Y67" s="152"/>
      <c r="Z67" s="152"/>
      <c r="AA67" s="152">
        <v>109</v>
      </c>
      <c r="AB67" s="152">
        <v>2</v>
      </c>
      <c r="AC67" s="152"/>
      <c r="AD67" s="152"/>
      <c r="AE67" s="152"/>
      <c r="AF67" s="152">
        <v>2</v>
      </c>
      <c r="AG67" s="152">
        <v>111</v>
      </c>
      <c r="AH67" s="152">
        <v>31</v>
      </c>
      <c r="AI67" s="152"/>
      <c r="AJ67" s="152"/>
      <c r="AK67" s="152">
        <v>31</v>
      </c>
      <c r="AL67" s="152">
        <v>1</v>
      </c>
      <c r="AM67" s="152"/>
      <c r="AN67" s="152"/>
      <c r="AO67" s="152"/>
      <c r="AP67" s="152">
        <v>1</v>
      </c>
      <c r="AQ67" s="152">
        <v>32</v>
      </c>
      <c r="AR67" s="152">
        <v>290</v>
      </c>
      <c r="AS67" s="152">
        <v>2</v>
      </c>
      <c r="AT67" s="152"/>
      <c r="AU67" s="152">
        <v>292</v>
      </c>
      <c r="AV67" s="152">
        <v>14</v>
      </c>
      <c r="AW67" s="152">
        <v>9</v>
      </c>
      <c r="AX67" s="152">
        <v>4</v>
      </c>
      <c r="AY67" s="152"/>
      <c r="AZ67" s="152">
        <v>27</v>
      </c>
      <c r="BA67" s="152">
        <v>319</v>
      </c>
      <c r="BB67" s="152">
        <v>87</v>
      </c>
      <c r="BC67" s="152"/>
      <c r="BD67" s="152">
        <v>87</v>
      </c>
      <c r="BE67" s="152"/>
      <c r="BF67" s="152"/>
      <c r="BG67" s="152"/>
      <c r="BH67" s="152"/>
      <c r="BI67" s="152">
        <v>0</v>
      </c>
      <c r="BJ67" s="152">
        <v>87</v>
      </c>
      <c r="BK67" s="152"/>
      <c r="BL67" s="152"/>
      <c r="BM67" s="152"/>
      <c r="BN67" s="152">
        <v>0</v>
      </c>
      <c r="BO67" s="152">
        <v>0</v>
      </c>
      <c r="BP67" s="152">
        <v>2106</v>
      </c>
    </row>
    <row r="68" spans="1:68" x14ac:dyDescent="0.35">
      <c r="A68" s="146" t="s">
        <v>425</v>
      </c>
      <c r="B68" s="146" t="s">
        <v>426</v>
      </c>
      <c r="C68" s="152">
        <v>37</v>
      </c>
      <c r="D68" s="152">
        <v>1</v>
      </c>
      <c r="E68" s="152"/>
      <c r="F68" s="152"/>
      <c r="G68" s="152">
        <v>38</v>
      </c>
      <c r="H68" s="152">
        <v>16</v>
      </c>
      <c r="I68" s="152">
        <v>4</v>
      </c>
      <c r="J68" s="152"/>
      <c r="K68" s="152">
        <v>1</v>
      </c>
      <c r="L68" s="152">
        <v>21</v>
      </c>
      <c r="M68" s="152">
        <v>59</v>
      </c>
      <c r="N68" s="152">
        <v>7</v>
      </c>
      <c r="O68" s="152"/>
      <c r="P68" s="152"/>
      <c r="Q68" s="152">
        <v>7</v>
      </c>
      <c r="R68" s="152"/>
      <c r="S68" s="152"/>
      <c r="T68" s="152"/>
      <c r="U68" s="152"/>
      <c r="V68" s="152">
        <v>0</v>
      </c>
      <c r="W68" s="152">
        <v>7</v>
      </c>
      <c r="X68" s="152">
        <v>2</v>
      </c>
      <c r="Y68" s="152"/>
      <c r="Z68" s="152"/>
      <c r="AA68" s="152">
        <v>2</v>
      </c>
      <c r="AB68" s="152"/>
      <c r="AC68" s="152"/>
      <c r="AD68" s="152"/>
      <c r="AE68" s="152"/>
      <c r="AF68" s="152">
        <v>0</v>
      </c>
      <c r="AG68" s="152">
        <v>2</v>
      </c>
      <c r="AH68" s="152"/>
      <c r="AI68" s="152"/>
      <c r="AJ68" s="152"/>
      <c r="AK68" s="152">
        <v>0</v>
      </c>
      <c r="AL68" s="152"/>
      <c r="AM68" s="152"/>
      <c r="AN68" s="152"/>
      <c r="AO68" s="152"/>
      <c r="AP68" s="152">
        <v>0</v>
      </c>
      <c r="AQ68" s="152">
        <v>0</v>
      </c>
      <c r="AR68" s="152">
        <v>4</v>
      </c>
      <c r="AS68" s="152"/>
      <c r="AT68" s="152"/>
      <c r="AU68" s="152">
        <v>4</v>
      </c>
      <c r="AV68" s="152"/>
      <c r="AW68" s="152"/>
      <c r="AX68" s="152"/>
      <c r="AY68" s="152"/>
      <c r="AZ68" s="152">
        <v>0</v>
      </c>
      <c r="BA68" s="152">
        <v>4</v>
      </c>
      <c r="BB68" s="152">
        <v>2</v>
      </c>
      <c r="BC68" s="152"/>
      <c r="BD68" s="152">
        <v>2</v>
      </c>
      <c r="BE68" s="152"/>
      <c r="BF68" s="152"/>
      <c r="BG68" s="152"/>
      <c r="BH68" s="152"/>
      <c r="BI68" s="152">
        <v>0</v>
      </c>
      <c r="BJ68" s="152">
        <v>2</v>
      </c>
      <c r="BK68" s="152"/>
      <c r="BL68" s="152"/>
      <c r="BM68" s="152"/>
      <c r="BN68" s="152">
        <v>0</v>
      </c>
      <c r="BO68" s="152">
        <v>0</v>
      </c>
      <c r="BP68" s="152">
        <v>74</v>
      </c>
    </row>
    <row r="69" spans="1:68" x14ac:dyDescent="0.35">
      <c r="A69" s="146" t="s">
        <v>427</v>
      </c>
      <c r="B69" s="146" t="s">
        <v>428</v>
      </c>
      <c r="C69" s="152">
        <v>1</v>
      </c>
      <c r="D69" s="152"/>
      <c r="E69" s="152"/>
      <c r="F69" s="152"/>
      <c r="G69" s="152">
        <v>1</v>
      </c>
      <c r="H69" s="152">
        <v>2</v>
      </c>
      <c r="I69" s="152"/>
      <c r="J69" s="152">
        <v>1</v>
      </c>
      <c r="K69" s="152"/>
      <c r="L69" s="152">
        <v>3</v>
      </c>
      <c r="M69" s="152">
        <v>4</v>
      </c>
      <c r="N69" s="152"/>
      <c r="O69" s="152"/>
      <c r="P69" s="152"/>
      <c r="Q69" s="152">
        <v>0</v>
      </c>
      <c r="R69" s="152"/>
      <c r="S69" s="152"/>
      <c r="T69" s="152"/>
      <c r="U69" s="152"/>
      <c r="V69" s="152">
        <v>0</v>
      </c>
      <c r="W69" s="152">
        <v>0</v>
      </c>
      <c r="X69" s="152"/>
      <c r="Y69" s="152"/>
      <c r="Z69" s="152"/>
      <c r="AA69" s="152">
        <v>0</v>
      </c>
      <c r="AB69" s="152"/>
      <c r="AC69" s="152"/>
      <c r="AD69" s="152"/>
      <c r="AE69" s="152"/>
      <c r="AF69" s="152">
        <v>0</v>
      </c>
      <c r="AG69" s="152">
        <v>0</v>
      </c>
      <c r="AH69" s="152"/>
      <c r="AI69" s="152"/>
      <c r="AJ69" s="152"/>
      <c r="AK69" s="152">
        <v>0</v>
      </c>
      <c r="AL69" s="152"/>
      <c r="AM69" s="152"/>
      <c r="AN69" s="152"/>
      <c r="AO69" s="152"/>
      <c r="AP69" s="152">
        <v>0</v>
      </c>
      <c r="AQ69" s="152">
        <v>0</v>
      </c>
      <c r="AR69" s="152"/>
      <c r="AS69" s="152"/>
      <c r="AT69" s="152"/>
      <c r="AU69" s="152">
        <v>0</v>
      </c>
      <c r="AV69" s="152"/>
      <c r="AW69" s="152"/>
      <c r="AX69" s="152"/>
      <c r="AY69" s="152"/>
      <c r="AZ69" s="152">
        <v>0</v>
      </c>
      <c r="BA69" s="152">
        <v>0</v>
      </c>
      <c r="BB69" s="152"/>
      <c r="BC69" s="152"/>
      <c r="BD69" s="152">
        <v>0</v>
      </c>
      <c r="BE69" s="152"/>
      <c r="BF69" s="152"/>
      <c r="BG69" s="152"/>
      <c r="BH69" s="152"/>
      <c r="BI69" s="152">
        <v>0</v>
      </c>
      <c r="BJ69" s="152">
        <v>0</v>
      </c>
      <c r="BK69" s="152"/>
      <c r="BL69" s="152"/>
      <c r="BM69" s="152"/>
      <c r="BN69" s="152">
        <v>0</v>
      </c>
      <c r="BO69" s="152">
        <v>0</v>
      </c>
      <c r="BP69" s="152">
        <v>4</v>
      </c>
    </row>
    <row r="70" spans="1:68" x14ac:dyDescent="0.35">
      <c r="A70" s="146" t="s">
        <v>429</v>
      </c>
      <c r="B70" s="146" t="s">
        <v>430</v>
      </c>
      <c r="C70" s="152">
        <v>393</v>
      </c>
      <c r="D70" s="152"/>
      <c r="E70" s="152"/>
      <c r="F70" s="152"/>
      <c r="G70" s="152">
        <v>393</v>
      </c>
      <c r="H70" s="152">
        <v>108</v>
      </c>
      <c r="I70" s="152">
        <v>17</v>
      </c>
      <c r="J70" s="152">
        <v>4</v>
      </c>
      <c r="K70" s="152">
        <v>1</v>
      </c>
      <c r="L70" s="152">
        <v>130</v>
      </c>
      <c r="M70" s="152">
        <v>523</v>
      </c>
      <c r="N70" s="152">
        <v>52</v>
      </c>
      <c r="O70" s="152"/>
      <c r="P70" s="152"/>
      <c r="Q70" s="152">
        <v>52</v>
      </c>
      <c r="R70" s="152">
        <v>4</v>
      </c>
      <c r="S70" s="152"/>
      <c r="T70" s="152"/>
      <c r="U70" s="152"/>
      <c r="V70" s="152">
        <v>4</v>
      </c>
      <c r="W70" s="152">
        <v>56</v>
      </c>
      <c r="X70" s="152">
        <v>22</v>
      </c>
      <c r="Y70" s="152"/>
      <c r="Z70" s="152"/>
      <c r="AA70" s="152">
        <v>22</v>
      </c>
      <c r="AB70" s="152">
        <v>1</v>
      </c>
      <c r="AC70" s="152"/>
      <c r="AD70" s="152"/>
      <c r="AE70" s="152"/>
      <c r="AF70" s="152">
        <v>1</v>
      </c>
      <c r="AG70" s="152">
        <v>23</v>
      </c>
      <c r="AH70" s="152">
        <v>12</v>
      </c>
      <c r="AI70" s="152"/>
      <c r="AJ70" s="152"/>
      <c r="AK70" s="152">
        <v>12</v>
      </c>
      <c r="AL70" s="152"/>
      <c r="AM70" s="152"/>
      <c r="AN70" s="152"/>
      <c r="AO70" s="152"/>
      <c r="AP70" s="152">
        <v>0</v>
      </c>
      <c r="AQ70" s="152">
        <v>12</v>
      </c>
      <c r="AR70" s="152">
        <v>56</v>
      </c>
      <c r="AS70" s="152"/>
      <c r="AT70" s="152"/>
      <c r="AU70" s="152">
        <v>56</v>
      </c>
      <c r="AV70" s="152">
        <v>10</v>
      </c>
      <c r="AW70" s="152"/>
      <c r="AX70" s="152">
        <v>1</v>
      </c>
      <c r="AY70" s="152"/>
      <c r="AZ70" s="152">
        <v>11</v>
      </c>
      <c r="BA70" s="152">
        <v>67</v>
      </c>
      <c r="BB70" s="152">
        <v>20</v>
      </c>
      <c r="BC70" s="152"/>
      <c r="BD70" s="152">
        <v>20</v>
      </c>
      <c r="BE70" s="152">
        <v>1</v>
      </c>
      <c r="BF70" s="152"/>
      <c r="BG70" s="152"/>
      <c r="BH70" s="152"/>
      <c r="BI70" s="152">
        <v>1</v>
      </c>
      <c r="BJ70" s="152">
        <v>21</v>
      </c>
      <c r="BK70" s="152"/>
      <c r="BL70" s="152"/>
      <c r="BM70" s="152"/>
      <c r="BN70" s="152">
        <v>0</v>
      </c>
      <c r="BO70" s="152">
        <v>0</v>
      </c>
      <c r="BP70" s="152">
        <v>702</v>
      </c>
    </row>
    <row r="71" spans="1:68" x14ac:dyDescent="0.35">
      <c r="A71" s="146" t="s">
        <v>431</v>
      </c>
      <c r="B71" s="146" t="s">
        <v>432</v>
      </c>
      <c r="C71" s="152">
        <v>318</v>
      </c>
      <c r="D71" s="152">
        <v>1</v>
      </c>
      <c r="E71" s="152"/>
      <c r="F71" s="152"/>
      <c r="G71" s="152">
        <v>319</v>
      </c>
      <c r="H71" s="152">
        <v>131</v>
      </c>
      <c r="I71" s="152">
        <v>25</v>
      </c>
      <c r="J71" s="152">
        <v>5</v>
      </c>
      <c r="K71" s="152">
        <v>2</v>
      </c>
      <c r="L71" s="152">
        <v>163</v>
      </c>
      <c r="M71" s="152">
        <v>482</v>
      </c>
      <c r="N71" s="152">
        <v>46</v>
      </c>
      <c r="O71" s="152"/>
      <c r="P71" s="152"/>
      <c r="Q71" s="152">
        <v>46</v>
      </c>
      <c r="R71" s="152">
        <v>3</v>
      </c>
      <c r="S71" s="152"/>
      <c r="T71" s="152"/>
      <c r="U71" s="152"/>
      <c r="V71" s="152">
        <v>3</v>
      </c>
      <c r="W71" s="152">
        <v>49</v>
      </c>
      <c r="X71" s="152">
        <v>16</v>
      </c>
      <c r="Y71" s="152"/>
      <c r="Z71" s="152"/>
      <c r="AA71" s="152">
        <v>16</v>
      </c>
      <c r="AB71" s="152">
        <v>4</v>
      </c>
      <c r="AC71" s="152"/>
      <c r="AD71" s="152"/>
      <c r="AE71" s="152"/>
      <c r="AF71" s="152">
        <v>4</v>
      </c>
      <c r="AG71" s="152">
        <v>20</v>
      </c>
      <c r="AH71" s="152">
        <v>7</v>
      </c>
      <c r="AI71" s="152"/>
      <c r="AJ71" s="152"/>
      <c r="AK71" s="152">
        <v>7</v>
      </c>
      <c r="AL71" s="152">
        <v>2</v>
      </c>
      <c r="AM71" s="152"/>
      <c r="AN71" s="152"/>
      <c r="AO71" s="152"/>
      <c r="AP71" s="152">
        <v>2</v>
      </c>
      <c r="AQ71" s="152">
        <v>9</v>
      </c>
      <c r="AR71" s="152">
        <v>85</v>
      </c>
      <c r="AS71" s="152">
        <v>1</v>
      </c>
      <c r="AT71" s="152"/>
      <c r="AU71" s="152">
        <v>86</v>
      </c>
      <c r="AV71" s="152">
        <v>10</v>
      </c>
      <c r="AW71" s="152">
        <v>6</v>
      </c>
      <c r="AX71" s="152">
        <v>1</v>
      </c>
      <c r="AY71" s="152"/>
      <c r="AZ71" s="152">
        <v>17</v>
      </c>
      <c r="BA71" s="152">
        <v>103</v>
      </c>
      <c r="BB71" s="152">
        <v>5</v>
      </c>
      <c r="BC71" s="152"/>
      <c r="BD71" s="152">
        <v>5</v>
      </c>
      <c r="BE71" s="152"/>
      <c r="BF71" s="152"/>
      <c r="BG71" s="152"/>
      <c r="BH71" s="152"/>
      <c r="BI71" s="152">
        <v>0</v>
      </c>
      <c r="BJ71" s="152">
        <v>5</v>
      </c>
      <c r="BK71" s="152"/>
      <c r="BL71" s="152"/>
      <c r="BM71" s="152"/>
      <c r="BN71" s="152">
        <v>0</v>
      </c>
      <c r="BO71" s="152">
        <v>0</v>
      </c>
      <c r="BP71" s="152">
        <v>668</v>
      </c>
    </row>
    <row r="72" spans="1:68" x14ac:dyDescent="0.35">
      <c r="A72" s="146" t="s">
        <v>433</v>
      </c>
      <c r="B72" s="146" t="s">
        <v>434</v>
      </c>
      <c r="C72" s="152">
        <v>18</v>
      </c>
      <c r="D72" s="152"/>
      <c r="E72" s="152"/>
      <c r="F72" s="152"/>
      <c r="G72" s="152">
        <v>18</v>
      </c>
      <c r="H72" s="152">
        <v>31</v>
      </c>
      <c r="I72" s="152">
        <v>6</v>
      </c>
      <c r="J72" s="152">
        <v>2</v>
      </c>
      <c r="K72" s="152">
        <v>2</v>
      </c>
      <c r="L72" s="152">
        <v>41</v>
      </c>
      <c r="M72" s="152">
        <v>59</v>
      </c>
      <c r="N72" s="152"/>
      <c r="O72" s="152"/>
      <c r="P72" s="152"/>
      <c r="Q72" s="152">
        <v>0</v>
      </c>
      <c r="R72" s="152"/>
      <c r="S72" s="152"/>
      <c r="T72" s="152"/>
      <c r="U72" s="152"/>
      <c r="V72" s="152">
        <v>0</v>
      </c>
      <c r="W72" s="152">
        <v>0</v>
      </c>
      <c r="X72" s="152">
        <v>2</v>
      </c>
      <c r="Y72" s="152"/>
      <c r="Z72" s="152"/>
      <c r="AA72" s="152">
        <v>2</v>
      </c>
      <c r="AB72" s="152">
        <v>7</v>
      </c>
      <c r="AC72" s="152">
        <v>5</v>
      </c>
      <c r="AD72" s="152">
        <v>1</v>
      </c>
      <c r="AE72" s="152">
        <v>1</v>
      </c>
      <c r="AF72" s="152">
        <v>14</v>
      </c>
      <c r="AG72" s="152">
        <v>16</v>
      </c>
      <c r="AH72" s="152"/>
      <c r="AI72" s="152"/>
      <c r="AJ72" s="152"/>
      <c r="AK72" s="152">
        <v>0</v>
      </c>
      <c r="AL72" s="152">
        <v>1</v>
      </c>
      <c r="AM72" s="152">
        <v>1</v>
      </c>
      <c r="AN72" s="152"/>
      <c r="AO72" s="152"/>
      <c r="AP72" s="152">
        <v>2</v>
      </c>
      <c r="AQ72" s="152">
        <v>2</v>
      </c>
      <c r="AR72" s="152">
        <v>4</v>
      </c>
      <c r="AS72" s="152"/>
      <c r="AT72" s="152"/>
      <c r="AU72" s="152">
        <v>4</v>
      </c>
      <c r="AV72" s="152">
        <v>4</v>
      </c>
      <c r="AW72" s="152"/>
      <c r="AX72" s="152"/>
      <c r="AY72" s="152">
        <v>2</v>
      </c>
      <c r="AZ72" s="152">
        <v>6</v>
      </c>
      <c r="BA72" s="152">
        <v>10</v>
      </c>
      <c r="BB72" s="152"/>
      <c r="BC72" s="152"/>
      <c r="BD72" s="152">
        <v>0</v>
      </c>
      <c r="BE72" s="152"/>
      <c r="BF72" s="152"/>
      <c r="BG72" s="152"/>
      <c r="BH72" s="152"/>
      <c r="BI72" s="152">
        <v>0</v>
      </c>
      <c r="BJ72" s="152">
        <v>0</v>
      </c>
      <c r="BK72" s="152"/>
      <c r="BL72" s="152"/>
      <c r="BM72" s="152"/>
      <c r="BN72" s="152">
        <v>0</v>
      </c>
      <c r="BO72" s="152">
        <v>0</v>
      </c>
      <c r="BP72" s="152">
        <v>87</v>
      </c>
    </row>
    <row r="73" spans="1:68" x14ac:dyDescent="0.35">
      <c r="A73" s="146" t="s">
        <v>435</v>
      </c>
      <c r="B73" s="146" t="s">
        <v>436</v>
      </c>
      <c r="C73" s="152">
        <v>5</v>
      </c>
      <c r="D73" s="152"/>
      <c r="E73" s="152"/>
      <c r="F73" s="152"/>
      <c r="G73" s="152">
        <v>5</v>
      </c>
      <c r="H73" s="152">
        <v>15</v>
      </c>
      <c r="I73" s="152">
        <v>1</v>
      </c>
      <c r="J73" s="152"/>
      <c r="K73" s="152"/>
      <c r="L73" s="152">
        <v>16</v>
      </c>
      <c r="M73" s="152">
        <v>21</v>
      </c>
      <c r="N73" s="152"/>
      <c r="O73" s="152"/>
      <c r="P73" s="152"/>
      <c r="Q73" s="152">
        <v>0</v>
      </c>
      <c r="R73" s="152"/>
      <c r="S73" s="152"/>
      <c r="T73" s="152"/>
      <c r="U73" s="152"/>
      <c r="V73" s="152">
        <v>0</v>
      </c>
      <c r="W73" s="152">
        <v>0</v>
      </c>
      <c r="X73" s="152"/>
      <c r="Y73" s="152"/>
      <c r="Z73" s="152"/>
      <c r="AA73" s="152">
        <v>0</v>
      </c>
      <c r="AB73" s="152"/>
      <c r="AC73" s="152"/>
      <c r="AD73" s="152"/>
      <c r="AE73" s="152"/>
      <c r="AF73" s="152">
        <v>0</v>
      </c>
      <c r="AG73" s="152">
        <v>0</v>
      </c>
      <c r="AH73" s="152"/>
      <c r="AI73" s="152"/>
      <c r="AJ73" s="152"/>
      <c r="AK73" s="152">
        <v>0</v>
      </c>
      <c r="AL73" s="152"/>
      <c r="AM73" s="152"/>
      <c r="AN73" s="152"/>
      <c r="AO73" s="152"/>
      <c r="AP73" s="152">
        <v>0</v>
      </c>
      <c r="AQ73" s="152">
        <v>0</v>
      </c>
      <c r="AR73" s="152"/>
      <c r="AS73" s="152"/>
      <c r="AT73" s="152"/>
      <c r="AU73" s="152">
        <v>0</v>
      </c>
      <c r="AV73" s="152">
        <v>2</v>
      </c>
      <c r="AW73" s="152"/>
      <c r="AX73" s="152"/>
      <c r="AY73" s="152"/>
      <c r="AZ73" s="152">
        <v>2</v>
      </c>
      <c r="BA73" s="152">
        <v>2</v>
      </c>
      <c r="BB73" s="152"/>
      <c r="BC73" s="152"/>
      <c r="BD73" s="152">
        <v>0</v>
      </c>
      <c r="BE73" s="152"/>
      <c r="BF73" s="152"/>
      <c r="BG73" s="152"/>
      <c r="BH73" s="152"/>
      <c r="BI73" s="152">
        <v>0</v>
      </c>
      <c r="BJ73" s="152">
        <v>0</v>
      </c>
      <c r="BK73" s="152"/>
      <c r="BL73" s="152"/>
      <c r="BM73" s="152"/>
      <c r="BN73" s="152">
        <v>0</v>
      </c>
      <c r="BO73" s="152">
        <v>0</v>
      </c>
      <c r="BP73" s="152">
        <v>23</v>
      </c>
    </row>
    <row r="74" spans="1:68" x14ac:dyDescent="0.35">
      <c r="A74" s="146" t="s">
        <v>437</v>
      </c>
      <c r="B74" s="146" t="s">
        <v>438</v>
      </c>
      <c r="C74" s="152">
        <v>6</v>
      </c>
      <c r="D74" s="152"/>
      <c r="E74" s="152"/>
      <c r="F74" s="152"/>
      <c r="G74" s="152">
        <v>6</v>
      </c>
      <c r="H74" s="152">
        <v>7</v>
      </c>
      <c r="I74" s="152">
        <v>2</v>
      </c>
      <c r="J74" s="152"/>
      <c r="K74" s="152"/>
      <c r="L74" s="152">
        <v>9</v>
      </c>
      <c r="M74" s="152">
        <v>15</v>
      </c>
      <c r="N74" s="152">
        <v>2</v>
      </c>
      <c r="O74" s="152"/>
      <c r="P74" s="152"/>
      <c r="Q74" s="152">
        <v>2</v>
      </c>
      <c r="R74" s="152"/>
      <c r="S74" s="152"/>
      <c r="T74" s="152"/>
      <c r="U74" s="152"/>
      <c r="V74" s="152">
        <v>0</v>
      </c>
      <c r="W74" s="152">
        <v>2</v>
      </c>
      <c r="X74" s="152">
        <v>1</v>
      </c>
      <c r="Y74" s="152"/>
      <c r="Z74" s="152"/>
      <c r="AA74" s="152">
        <v>1</v>
      </c>
      <c r="AB74" s="152"/>
      <c r="AC74" s="152"/>
      <c r="AD74" s="152"/>
      <c r="AE74" s="152"/>
      <c r="AF74" s="152">
        <v>0</v>
      </c>
      <c r="AG74" s="152">
        <v>1</v>
      </c>
      <c r="AH74" s="152"/>
      <c r="AI74" s="152"/>
      <c r="AJ74" s="152"/>
      <c r="AK74" s="152">
        <v>0</v>
      </c>
      <c r="AL74" s="152"/>
      <c r="AM74" s="152"/>
      <c r="AN74" s="152"/>
      <c r="AO74" s="152"/>
      <c r="AP74" s="152">
        <v>0</v>
      </c>
      <c r="AQ74" s="152">
        <v>0</v>
      </c>
      <c r="AR74" s="152">
        <v>3</v>
      </c>
      <c r="AS74" s="152"/>
      <c r="AT74" s="152"/>
      <c r="AU74" s="152">
        <v>3</v>
      </c>
      <c r="AV74" s="152"/>
      <c r="AW74" s="152"/>
      <c r="AX74" s="152"/>
      <c r="AY74" s="152"/>
      <c r="AZ74" s="152">
        <v>0</v>
      </c>
      <c r="BA74" s="152">
        <v>3</v>
      </c>
      <c r="BB74" s="152">
        <v>1</v>
      </c>
      <c r="BC74" s="152"/>
      <c r="BD74" s="152">
        <v>1</v>
      </c>
      <c r="BE74" s="152"/>
      <c r="BF74" s="152"/>
      <c r="BG74" s="152"/>
      <c r="BH74" s="152"/>
      <c r="BI74" s="152">
        <v>0</v>
      </c>
      <c r="BJ74" s="152">
        <v>1</v>
      </c>
      <c r="BK74" s="152"/>
      <c r="BL74" s="152"/>
      <c r="BM74" s="152"/>
      <c r="BN74" s="152">
        <v>0</v>
      </c>
      <c r="BO74" s="152">
        <v>0</v>
      </c>
      <c r="BP74" s="152">
        <v>22</v>
      </c>
    </row>
    <row r="75" spans="1:68" x14ac:dyDescent="0.35">
      <c r="A75" s="146" t="s">
        <v>439</v>
      </c>
      <c r="B75" s="146" t="s">
        <v>440</v>
      </c>
      <c r="C75" s="152">
        <v>11</v>
      </c>
      <c r="D75" s="152"/>
      <c r="E75" s="152"/>
      <c r="F75" s="152"/>
      <c r="G75" s="152">
        <v>11</v>
      </c>
      <c r="H75" s="152">
        <v>27</v>
      </c>
      <c r="I75" s="152">
        <v>4</v>
      </c>
      <c r="J75" s="152"/>
      <c r="K75" s="152">
        <v>1</v>
      </c>
      <c r="L75" s="152">
        <v>32</v>
      </c>
      <c r="M75" s="152">
        <v>43</v>
      </c>
      <c r="N75" s="152"/>
      <c r="O75" s="152"/>
      <c r="P75" s="152"/>
      <c r="Q75" s="152">
        <v>0</v>
      </c>
      <c r="R75" s="152"/>
      <c r="S75" s="152"/>
      <c r="T75" s="152"/>
      <c r="U75" s="152"/>
      <c r="V75" s="152">
        <v>0</v>
      </c>
      <c r="W75" s="152">
        <v>0</v>
      </c>
      <c r="X75" s="152">
        <v>1</v>
      </c>
      <c r="Y75" s="152"/>
      <c r="Z75" s="152"/>
      <c r="AA75" s="152">
        <v>1</v>
      </c>
      <c r="AB75" s="152"/>
      <c r="AC75" s="152"/>
      <c r="AD75" s="152"/>
      <c r="AE75" s="152"/>
      <c r="AF75" s="152">
        <v>0</v>
      </c>
      <c r="AG75" s="152">
        <v>1</v>
      </c>
      <c r="AH75" s="152"/>
      <c r="AI75" s="152"/>
      <c r="AJ75" s="152"/>
      <c r="AK75" s="152">
        <v>0</v>
      </c>
      <c r="AL75" s="152"/>
      <c r="AM75" s="152"/>
      <c r="AN75" s="152"/>
      <c r="AO75" s="152"/>
      <c r="AP75" s="152">
        <v>0</v>
      </c>
      <c r="AQ75" s="152">
        <v>0</v>
      </c>
      <c r="AR75" s="152">
        <v>3</v>
      </c>
      <c r="AS75" s="152"/>
      <c r="AT75" s="152"/>
      <c r="AU75" s="152">
        <v>3</v>
      </c>
      <c r="AV75" s="152">
        <v>3</v>
      </c>
      <c r="AW75" s="152"/>
      <c r="AX75" s="152"/>
      <c r="AY75" s="152"/>
      <c r="AZ75" s="152">
        <v>3</v>
      </c>
      <c r="BA75" s="152">
        <v>6</v>
      </c>
      <c r="BB75" s="152">
        <v>4</v>
      </c>
      <c r="BC75" s="152"/>
      <c r="BD75" s="152">
        <v>4</v>
      </c>
      <c r="BE75" s="152">
        <v>1</v>
      </c>
      <c r="BF75" s="152"/>
      <c r="BG75" s="152"/>
      <c r="BH75" s="152"/>
      <c r="BI75" s="152">
        <v>1</v>
      </c>
      <c r="BJ75" s="152">
        <v>5</v>
      </c>
      <c r="BK75" s="152"/>
      <c r="BL75" s="152"/>
      <c r="BM75" s="152"/>
      <c r="BN75" s="152">
        <v>0</v>
      </c>
      <c r="BO75" s="152">
        <v>0</v>
      </c>
      <c r="BP75" s="152">
        <v>55</v>
      </c>
    </row>
    <row r="76" spans="1:68" x14ac:dyDescent="0.35">
      <c r="A76" s="146" t="s">
        <v>441</v>
      </c>
      <c r="B76" s="146" t="s">
        <v>1223</v>
      </c>
      <c r="C76" s="152">
        <v>14</v>
      </c>
      <c r="D76" s="152"/>
      <c r="E76" s="152"/>
      <c r="F76" s="152"/>
      <c r="G76" s="152">
        <v>14</v>
      </c>
      <c r="H76" s="152">
        <v>32</v>
      </c>
      <c r="I76" s="152">
        <v>7</v>
      </c>
      <c r="J76" s="152">
        <v>1</v>
      </c>
      <c r="K76" s="152">
        <v>3</v>
      </c>
      <c r="L76" s="152">
        <v>43</v>
      </c>
      <c r="M76" s="152">
        <v>57</v>
      </c>
      <c r="N76" s="152">
        <v>2</v>
      </c>
      <c r="O76" s="152"/>
      <c r="P76" s="152"/>
      <c r="Q76" s="152">
        <v>2</v>
      </c>
      <c r="R76" s="152">
        <v>1</v>
      </c>
      <c r="S76" s="152">
        <v>1</v>
      </c>
      <c r="T76" s="152"/>
      <c r="U76" s="152"/>
      <c r="V76" s="152">
        <v>2</v>
      </c>
      <c r="W76" s="152">
        <v>4</v>
      </c>
      <c r="X76" s="152">
        <v>1</v>
      </c>
      <c r="Y76" s="152"/>
      <c r="Z76" s="152"/>
      <c r="AA76" s="152">
        <v>1</v>
      </c>
      <c r="AB76" s="152">
        <v>3</v>
      </c>
      <c r="AC76" s="152"/>
      <c r="AD76" s="152"/>
      <c r="AE76" s="152"/>
      <c r="AF76" s="152">
        <v>3</v>
      </c>
      <c r="AG76" s="152">
        <v>4</v>
      </c>
      <c r="AH76" s="152">
        <v>14</v>
      </c>
      <c r="AI76" s="152"/>
      <c r="AJ76" s="152"/>
      <c r="AK76" s="152">
        <v>14</v>
      </c>
      <c r="AL76" s="152">
        <v>2</v>
      </c>
      <c r="AM76" s="152"/>
      <c r="AN76" s="152"/>
      <c r="AO76" s="152"/>
      <c r="AP76" s="152">
        <v>2</v>
      </c>
      <c r="AQ76" s="152">
        <v>16</v>
      </c>
      <c r="AR76" s="152">
        <v>3</v>
      </c>
      <c r="AS76" s="152"/>
      <c r="AT76" s="152"/>
      <c r="AU76" s="152">
        <v>3</v>
      </c>
      <c r="AV76" s="152">
        <v>2</v>
      </c>
      <c r="AW76" s="152"/>
      <c r="AX76" s="152">
        <v>1</v>
      </c>
      <c r="AY76" s="152">
        <v>1</v>
      </c>
      <c r="AZ76" s="152">
        <v>4</v>
      </c>
      <c r="BA76" s="152">
        <v>7</v>
      </c>
      <c r="BB76" s="152">
        <v>1</v>
      </c>
      <c r="BC76" s="152"/>
      <c r="BD76" s="152">
        <v>1</v>
      </c>
      <c r="BE76" s="152">
        <v>1</v>
      </c>
      <c r="BF76" s="152"/>
      <c r="BG76" s="152"/>
      <c r="BH76" s="152"/>
      <c r="BI76" s="152">
        <v>1</v>
      </c>
      <c r="BJ76" s="152">
        <v>2</v>
      </c>
      <c r="BK76" s="152"/>
      <c r="BL76" s="152"/>
      <c r="BM76" s="152"/>
      <c r="BN76" s="152">
        <v>0</v>
      </c>
      <c r="BO76" s="152">
        <v>0</v>
      </c>
      <c r="BP76" s="152">
        <v>90</v>
      </c>
    </row>
    <row r="77" spans="1:68" x14ac:dyDescent="0.35">
      <c r="A77" s="146" t="s">
        <v>442</v>
      </c>
      <c r="B77" s="146" t="s">
        <v>443</v>
      </c>
      <c r="C77" s="152">
        <v>4</v>
      </c>
      <c r="D77" s="152"/>
      <c r="E77" s="152"/>
      <c r="F77" s="152"/>
      <c r="G77" s="152">
        <v>4</v>
      </c>
      <c r="H77" s="152">
        <v>6</v>
      </c>
      <c r="I77" s="152">
        <v>7</v>
      </c>
      <c r="J77" s="152">
        <v>2</v>
      </c>
      <c r="K77" s="152"/>
      <c r="L77" s="152">
        <v>15</v>
      </c>
      <c r="M77" s="152">
        <v>19</v>
      </c>
      <c r="N77" s="152"/>
      <c r="O77" s="152"/>
      <c r="P77" s="152"/>
      <c r="Q77" s="152">
        <v>0</v>
      </c>
      <c r="R77" s="152"/>
      <c r="S77" s="152"/>
      <c r="T77" s="152"/>
      <c r="U77" s="152"/>
      <c r="V77" s="152">
        <v>0</v>
      </c>
      <c r="W77" s="152">
        <v>0</v>
      </c>
      <c r="X77" s="152"/>
      <c r="Y77" s="152"/>
      <c r="Z77" s="152"/>
      <c r="AA77" s="152">
        <v>0</v>
      </c>
      <c r="AB77" s="152"/>
      <c r="AC77" s="152"/>
      <c r="AD77" s="152"/>
      <c r="AE77" s="152"/>
      <c r="AF77" s="152">
        <v>0</v>
      </c>
      <c r="AG77" s="152">
        <v>0</v>
      </c>
      <c r="AH77" s="152"/>
      <c r="AI77" s="152"/>
      <c r="AJ77" s="152"/>
      <c r="AK77" s="152">
        <v>0</v>
      </c>
      <c r="AL77" s="152"/>
      <c r="AM77" s="152"/>
      <c r="AN77" s="152"/>
      <c r="AO77" s="152"/>
      <c r="AP77" s="152">
        <v>0</v>
      </c>
      <c r="AQ77" s="152">
        <v>0</v>
      </c>
      <c r="AR77" s="152">
        <v>3</v>
      </c>
      <c r="AS77" s="152"/>
      <c r="AT77" s="152"/>
      <c r="AU77" s="152">
        <v>3</v>
      </c>
      <c r="AV77" s="152">
        <v>2</v>
      </c>
      <c r="AW77" s="152"/>
      <c r="AX77" s="152">
        <v>1</v>
      </c>
      <c r="AY77" s="152"/>
      <c r="AZ77" s="152">
        <v>3</v>
      </c>
      <c r="BA77" s="152">
        <v>6</v>
      </c>
      <c r="BB77" s="152"/>
      <c r="BC77" s="152"/>
      <c r="BD77" s="152">
        <v>0</v>
      </c>
      <c r="BE77" s="152"/>
      <c r="BF77" s="152"/>
      <c r="BG77" s="152"/>
      <c r="BH77" s="152"/>
      <c r="BI77" s="152">
        <v>0</v>
      </c>
      <c r="BJ77" s="152">
        <v>0</v>
      </c>
      <c r="BK77" s="152"/>
      <c r="BL77" s="152"/>
      <c r="BM77" s="152"/>
      <c r="BN77" s="152">
        <v>0</v>
      </c>
      <c r="BO77" s="152">
        <v>0</v>
      </c>
      <c r="BP77" s="152">
        <v>25</v>
      </c>
    </row>
    <row r="78" spans="1:68" x14ac:dyDescent="0.35">
      <c r="A78" s="146" t="s">
        <v>444</v>
      </c>
      <c r="B78" s="146" t="s">
        <v>445</v>
      </c>
      <c r="C78" s="152">
        <v>27</v>
      </c>
      <c r="D78" s="152">
        <v>1</v>
      </c>
      <c r="E78" s="152"/>
      <c r="F78" s="152"/>
      <c r="G78" s="152">
        <v>28</v>
      </c>
      <c r="H78" s="152">
        <v>31</v>
      </c>
      <c r="I78" s="152">
        <v>11</v>
      </c>
      <c r="J78" s="152">
        <v>1</v>
      </c>
      <c r="K78" s="152"/>
      <c r="L78" s="152">
        <v>43</v>
      </c>
      <c r="M78" s="152">
        <v>71</v>
      </c>
      <c r="N78" s="152">
        <v>2</v>
      </c>
      <c r="O78" s="152"/>
      <c r="P78" s="152"/>
      <c r="Q78" s="152">
        <v>2</v>
      </c>
      <c r="R78" s="152"/>
      <c r="S78" s="152"/>
      <c r="T78" s="152"/>
      <c r="U78" s="152"/>
      <c r="V78" s="152">
        <v>0</v>
      </c>
      <c r="W78" s="152">
        <v>2</v>
      </c>
      <c r="X78" s="152">
        <v>1</v>
      </c>
      <c r="Y78" s="152"/>
      <c r="Z78" s="152"/>
      <c r="AA78" s="152">
        <v>1</v>
      </c>
      <c r="AB78" s="152"/>
      <c r="AC78" s="152"/>
      <c r="AD78" s="152"/>
      <c r="AE78" s="152"/>
      <c r="AF78" s="152">
        <v>0</v>
      </c>
      <c r="AG78" s="152">
        <v>1</v>
      </c>
      <c r="AH78" s="152">
        <v>2</v>
      </c>
      <c r="AI78" s="152"/>
      <c r="AJ78" s="152"/>
      <c r="AK78" s="152">
        <v>2</v>
      </c>
      <c r="AL78" s="152">
        <v>1</v>
      </c>
      <c r="AM78" s="152"/>
      <c r="AN78" s="152"/>
      <c r="AO78" s="152"/>
      <c r="AP78" s="152">
        <v>1</v>
      </c>
      <c r="AQ78" s="152">
        <v>3</v>
      </c>
      <c r="AR78" s="152">
        <v>5</v>
      </c>
      <c r="AS78" s="152"/>
      <c r="AT78" s="152"/>
      <c r="AU78" s="152">
        <v>5</v>
      </c>
      <c r="AV78" s="152">
        <v>4</v>
      </c>
      <c r="AW78" s="152">
        <v>1</v>
      </c>
      <c r="AX78" s="152">
        <v>1</v>
      </c>
      <c r="AY78" s="152">
        <v>1</v>
      </c>
      <c r="AZ78" s="152">
        <v>7</v>
      </c>
      <c r="BA78" s="152">
        <v>12</v>
      </c>
      <c r="BB78" s="152">
        <v>1</v>
      </c>
      <c r="BC78" s="152"/>
      <c r="BD78" s="152">
        <v>1</v>
      </c>
      <c r="BE78" s="152"/>
      <c r="BF78" s="152"/>
      <c r="BG78" s="152"/>
      <c r="BH78" s="152"/>
      <c r="BI78" s="152">
        <v>0</v>
      </c>
      <c r="BJ78" s="152">
        <v>1</v>
      </c>
      <c r="BK78" s="152"/>
      <c r="BL78" s="152"/>
      <c r="BM78" s="152"/>
      <c r="BN78" s="152">
        <v>0</v>
      </c>
      <c r="BO78" s="152">
        <v>0</v>
      </c>
      <c r="BP78" s="152">
        <v>90</v>
      </c>
    </row>
    <row r="79" spans="1:68" x14ac:dyDescent="0.35">
      <c r="A79" s="146" t="s">
        <v>446</v>
      </c>
      <c r="B79" s="146" t="s">
        <v>447</v>
      </c>
      <c r="C79" s="152">
        <v>262</v>
      </c>
      <c r="D79" s="152">
        <v>1</v>
      </c>
      <c r="E79" s="152"/>
      <c r="F79" s="152"/>
      <c r="G79" s="152">
        <v>263</v>
      </c>
      <c r="H79" s="152">
        <v>98</v>
      </c>
      <c r="I79" s="152">
        <v>24</v>
      </c>
      <c r="J79" s="152">
        <v>1</v>
      </c>
      <c r="K79" s="152"/>
      <c r="L79" s="152">
        <v>123</v>
      </c>
      <c r="M79" s="152">
        <v>386</v>
      </c>
      <c r="N79" s="152">
        <v>2</v>
      </c>
      <c r="O79" s="152"/>
      <c r="P79" s="152"/>
      <c r="Q79" s="152">
        <v>2</v>
      </c>
      <c r="R79" s="152">
        <v>1</v>
      </c>
      <c r="S79" s="152"/>
      <c r="T79" s="152"/>
      <c r="U79" s="152"/>
      <c r="V79" s="152">
        <v>1</v>
      </c>
      <c r="W79" s="152">
        <v>3</v>
      </c>
      <c r="X79" s="152">
        <v>10</v>
      </c>
      <c r="Y79" s="152"/>
      <c r="Z79" s="152"/>
      <c r="AA79" s="152">
        <v>10</v>
      </c>
      <c r="AB79" s="152">
        <v>3</v>
      </c>
      <c r="AC79" s="152">
        <v>1</v>
      </c>
      <c r="AD79" s="152">
        <v>1</v>
      </c>
      <c r="AE79" s="152"/>
      <c r="AF79" s="152">
        <v>5</v>
      </c>
      <c r="AG79" s="152">
        <v>15</v>
      </c>
      <c r="AH79" s="152">
        <v>2</v>
      </c>
      <c r="AI79" s="152"/>
      <c r="AJ79" s="152"/>
      <c r="AK79" s="152">
        <v>2</v>
      </c>
      <c r="AL79" s="152">
        <v>1</v>
      </c>
      <c r="AM79" s="152"/>
      <c r="AN79" s="152"/>
      <c r="AO79" s="152"/>
      <c r="AP79" s="152">
        <v>1</v>
      </c>
      <c r="AQ79" s="152">
        <v>3</v>
      </c>
      <c r="AR79" s="152">
        <v>45</v>
      </c>
      <c r="AS79" s="152"/>
      <c r="AT79" s="152"/>
      <c r="AU79" s="152">
        <v>45</v>
      </c>
      <c r="AV79" s="152">
        <v>20</v>
      </c>
      <c r="AW79" s="152">
        <v>2</v>
      </c>
      <c r="AX79" s="152">
        <v>1</v>
      </c>
      <c r="AY79" s="152"/>
      <c r="AZ79" s="152">
        <v>23</v>
      </c>
      <c r="BA79" s="152">
        <v>68</v>
      </c>
      <c r="BB79" s="152">
        <v>3</v>
      </c>
      <c r="BC79" s="152"/>
      <c r="BD79" s="152">
        <v>3</v>
      </c>
      <c r="BE79" s="152"/>
      <c r="BF79" s="152"/>
      <c r="BG79" s="152"/>
      <c r="BH79" s="152"/>
      <c r="BI79" s="152">
        <v>0</v>
      </c>
      <c r="BJ79" s="152">
        <v>3</v>
      </c>
      <c r="BK79" s="152"/>
      <c r="BL79" s="152"/>
      <c r="BM79" s="152"/>
      <c r="BN79" s="152">
        <v>0</v>
      </c>
      <c r="BO79" s="152">
        <v>0</v>
      </c>
      <c r="BP79" s="152">
        <v>478</v>
      </c>
    </row>
    <row r="80" spans="1:68" x14ac:dyDescent="0.35">
      <c r="A80" s="146" t="s">
        <v>448</v>
      </c>
      <c r="B80" s="146" t="s">
        <v>449</v>
      </c>
      <c r="C80" s="152">
        <v>14</v>
      </c>
      <c r="D80" s="152">
        <v>3</v>
      </c>
      <c r="E80" s="152"/>
      <c r="F80" s="152"/>
      <c r="G80" s="152">
        <v>17</v>
      </c>
      <c r="H80" s="152">
        <v>14</v>
      </c>
      <c r="I80" s="152">
        <v>2</v>
      </c>
      <c r="J80" s="152"/>
      <c r="K80" s="152"/>
      <c r="L80" s="152">
        <v>16</v>
      </c>
      <c r="M80" s="152">
        <v>33</v>
      </c>
      <c r="N80" s="152">
        <v>1</v>
      </c>
      <c r="O80" s="152"/>
      <c r="P80" s="152"/>
      <c r="Q80" s="152">
        <v>1</v>
      </c>
      <c r="R80" s="152">
        <v>1</v>
      </c>
      <c r="S80" s="152"/>
      <c r="T80" s="152"/>
      <c r="U80" s="152"/>
      <c r="V80" s="152">
        <v>1</v>
      </c>
      <c r="W80" s="152">
        <v>2</v>
      </c>
      <c r="X80" s="152"/>
      <c r="Y80" s="152"/>
      <c r="Z80" s="152"/>
      <c r="AA80" s="152">
        <v>0</v>
      </c>
      <c r="AB80" s="152"/>
      <c r="AC80" s="152"/>
      <c r="AD80" s="152"/>
      <c r="AE80" s="152"/>
      <c r="AF80" s="152">
        <v>0</v>
      </c>
      <c r="AG80" s="152">
        <v>0</v>
      </c>
      <c r="AH80" s="152"/>
      <c r="AI80" s="152"/>
      <c r="AJ80" s="152"/>
      <c r="AK80" s="152">
        <v>0</v>
      </c>
      <c r="AL80" s="152"/>
      <c r="AM80" s="152"/>
      <c r="AN80" s="152"/>
      <c r="AO80" s="152"/>
      <c r="AP80" s="152">
        <v>0</v>
      </c>
      <c r="AQ80" s="152">
        <v>0</v>
      </c>
      <c r="AR80" s="152">
        <v>4</v>
      </c>
      <c r="AS80" s="152"/>
      <c r="AT80" s="152"/>
      <c r="AU80" s="152">
        <v>4</v>
      </c>
      <c r="AV80" s="152"/>
      <c r="AW80" s="152"/>
      <c r="AX80" s="152">
        <v>1</v>
      </c>
      <c r="AY80" s="152"/>
      <c r="AZ80" s="152">
        <v>1</v>
      </c>
      <c r="BA80" s="152">
        <v>5</v>
      </c>
      <c r="BB80" s="152"/>
      <c r="BC80" s="152"/>
      <c r="BD80" s="152">
        <v>0</v>
      </c>
      <c r="BE80" s="152"/>
      <c r="BF80" s="152"/>
      <c r="BG80" s="152"/>
      <c r="BH80" s="152"/>
      <c r="BI80" s="152">
        <v>0</v>
      </c>
      <c r="BJ80" s="152">
        <v>0</v>
      </c>
      <c r="BK80" s="152"/>
      <c r="BL80" s="152"/>
      <c r="BM80" s="152"/>
      <c r="BN80" s="152">
        <v>0</v>
      </c>
      <c r="BO80" s="152">
        <v>0</v>
      </c>
      <c r="BP80" s="152">
        <v>40</v>
      </c>
    </row>
    <row r="81" spans="1:68" x14ac:dyDescent="0.35">
      <c r="A81" s="146" t="s">
        <v>450</v>
      </c>
      <c r="B81" s="146" t="s">
        <v>451</v>
      </c>
      <c r="C81" s="152">
        <v>83</v>
      </c>
      <c r="D81" s="152">
        <v>1</v>
      </c>
      <c r="E81" s="152"/>
      <c r="F81" s="152"/>
      <c r="G81" s="152">
        <v>84</v>
      </c>
      <c r="H81" s="152">
        <v>50</v>
      </c>
      <c r="I81" s="152">
        <v>9</v>
      </c>
      <c r="J81" s="152">
        <v>5</v>
      </c>
      <c r="K81" s="152">
        <v>1</v>
      </c>
      <c r="L81" s="152">
        <v>65</v>
      </c>
      <c r="M81" s="152">
        <v>149</v>
      </c>
      <c r="N81" s="152">
        <v>5</v>
      </c>
      <c r="O81" s="152"/>
      <c r="P81" s="152"/>
      <c r="Q81" s="152">
        <v>5</v>
      </c>
      <c r="R81" s="152"/>
      <c r="S81" s="152"/>
      <c r="T81" s="152"/>
      <c r="U81" s="152"/>
      <c r="V81" s="152">
        <v>0</v>
      </c>
      <c r="W81" s="152">
        <v>5</v>
      </c>
      <c r="X81" s="152"/>
      <c r="Y81" s="152"/>
      <c r="Z81" s="152"/>
      <c r="AA81" s="152">
        <v>0</v>
      </c>
      <c r="AB81" s="152"/>
      <c r="AC81" s="152"/>
      <c r="AD81" s="152"/>
      <c r="AE81" s="152"/>
      <c r="AF81" s="152">
        <v>0</v>
      </c>
      <c r="AG81" s="152">
        <v>0</v>
      </c>
      <c r="AH81" s="152">
        <v>2</v>
      </c>
      <c r="AI81" s="152"/>
      <c r="AJ81" s="152"/>
      <c r="AK81" s="152">
        <v>2</v>
      </c>
      <c r="AL81" s="152"/>
      <c r="AM81" s="152"/>
      <c r="AN81" s="152"/>
      <c r="AO81" s="152"/>
      <c r="AP81" s="152">
        <v>0</v>
      </c>
      <c r="AQ81" s="152">
        <v>2</v>
      </c>
      <c r="AR81" s="152">
        <v>14</v>
      </c>
      <c r="AS81" s="152"/>
      <c r="AT81" s="152"/>
      <c r="AU81" s="152">
        <v>14</v>
      </c>
      <c r="AV81" s="152">
        <v>6</v>
      </c>
      <c r="AW81" s="152">
        <v>3</v>
      </c>
      <c r="AX81" s="152">
        <v>1</v>
      </c>
      <c r="AY81" s="152"/>
      <c r="AZ81" s="152">
        <v>10</v>
      </c>
      <c r="BA81" s="152">
        <v>24</v>
      </c>
      <c r="BB81" s="152">
        <v>2</v>
      </c>
      <c r="BC81" s="152"/>
      <c r="BD81" s="152">
        <v>2</v>
      </c>
      <c r="BE81" s="152"/>
      <c r="BF81" s="152"/>
      <c r="BG81" s="152"/>
      <c r="BH81" s="152"/>
      <c r="BI81" s="152">
        <v>0</v>
      </c>
      <c r="BJ81" s="152">
        <v>2</v>
      </c>
      <c r="BK81" s="152"/>
      <c r="BL81" s="152"/>
      <c r="BM81" s="152"/>
      <c r="BN81" s="152">
        <v>0</v>
      </c>
      <c r="BO81" s="152">
        <v>0</v>
      </c>
      <c r="BP81" s="152">
        <v>182</v>
      </c>
    </row>
    <row r="82" spans="1:68" x14ac:dyDescent="0.35">
      <c r="A82" s="146" t="s">
        <v>452</v>
      </c>
      <c r="B82" s="146" t="s">
        <v>453</v>
      </c>
      <c r="C82" s="152">
        <v>4</v>
      </c>
      <c r="D82" s="152"/>
      <c r="E82" s="152"/>
      <c r="F82" s="152"/>
      <c r="G82" s="152">
        <v>4</v>
      </c>
      <c r="H82" s="152">
        <v>1</v>
      </c>
      <c r="I82" s="152"/>
      <c r="J82" s="152"/>
      <c r="K82" s="152"/>
      <c r="L82" s="152">
        <v>1</v>
      </c>
      <c r="M82" s="152">
        <v>5</v>
      </c>
      <c r="N82" s="152"/>
      <c r="O82" s="152"/>
      <c r="P82" s="152"/>
      <c r="Q82" s="152">
        <v>0</v>
      </c>
      <c r="R82" s="152"/>
      <c r="S82" s="152"/>
      <c r="T82" s="152"/>
      <c r="U82" s="152"/>
      <c r="V82" s="152">
        <v>0</v>
      </c>
      <c r="W82" s="152">
        <v>0</v>
      </c>
      <c r="X82" s="152"/>
      <c r="Y82" s="152"/>
      <c r="Z82" s="152"/>
      <c r="AA82" s="152">
        <v>0</v>
      </c>
      <c r="AB82" s="152"/>
      <c r="AC82" s="152"/>
      <c r="AD82" s="152"/>
      <c r="AE82" s="152"/>
      <c r="AF82" s="152">
        <v>0</v>
      </c>
      <c r="AG82" s="152">
        <v>0</v>
      </c>
      <c r="AH82" s="152"/>
      <c r="AI82" s="152"/>
      <c r="AJ82" s="152"/>
      <c r="AK82" s="152">
        <v>0</v>
      </c>
      <c r="AL82" s="152"/>
      <c r="AM82" s="152"/>
      <c r="AN82" s="152"/>
      <c r="AO82" s="152"/>
      <c r="AP82" s="152">
        <v>0</v>
      </c>
      <c r="AQ82" s="152">
        <v>0</v>
      </c>
      <c r="AR82" s="152">
        <v>1</v>
      </c>
      <c r="AS82" s="152"/>
      <c r="AT82" s="152"/>
      <c r="AU82" s="152">
        <v>1</v>
      </c>
      <c r="AV82" s="152"/>
      <c r="AW82" s="152"/>
      <c r="AX82" s="152"/>
      <c r="AY82" s="152"/>
      <c r="AZ82" s="152">
        <v>0</v>
      </c>
      <c r="BA82" s="152">
        <v>1</v>
      </c>
      <c r="BB82" s="152"/>
      <c r="BC82" s="152"/>
      <c r="BD82" s="152">
        <v>0</v>
      </c>
      <c r="BE82" s="152"/>
      <c r="BF82" s="152"/>
      <c r="BG82" s="152"/>
      <c r="BH82" s="152"/>
      <c r="BI82" s="152">
        <v>0</v>
      </c>
      <c r="BJ82" s="152">
        <v>0</v>
      </c>
      <c r="BK82" s="152"/>
      <c r="BL82" s="152"/>
      <c r="BM82" s="152"/>
      <c r="BN82" s="152">
        <v>0</v>
      </c>
      <c r="BO82" s="152">
        <v>0</v>
      </c>
      <c r="BP82" s="152">
        <v>6</v>
      </c>
    </row>
    <row r="83" spans="1:68" x14ac:dyDescent="0.35">
      <c r="A83" s="146" t="s">
        <v>454</v>
      </c>
      <c r="B83" s="146" t="s">
        <v>455</v>
      </c>
      <c r="C83" s="152">
        <v>6</v>
      </c>
      <c r="D83" s="152"/>
      <c r="E83" s="152"/>
      <c r="F83" s="152"/>
      <c r="G83" s="152">
        <v>6</v>
      </c>
      <c r="H83" s="152">
        <v>3</v>
      </c>
      <c r="I83" s="152">
        <v>3</v>
      </c>
      <c r="J83" s="152"/>
      <c r="K83" s="152"/>
      <c r="L83" s="152">
        <v>6</v>
      </c>
      <c r="M83" s="152">
        <v>12</v>
      </c>
      <c r="N83" s="152"/>
      <c r="O83" s="152"/>
      <c r="P83" s="152"/>
      <c r="Q83" s="152">
        <v>0</v>
      </c>
      <c r="R83" s="152"/>
      <c r="S83" s="152"/>
      <c r="T83" s="152"/>
      <c r="U83" s="152"/>
      <c r="V83" s="152">
        <v>0</v>
      </c>
      <c r="W83" s="152">
        <v>0</v>
      </c>
      <c r="X83" s="152"/>
      <c r="Y83" s="152"/>
      <c r="Z83" s="152"/>
      <c r="AA83" s="152">
        <v>0</v>
      </c>
      <c r="AB83" s="152"/>
      <c r="AC83" s="152"/>
      <c r="AD83" s="152"/>
      <c r="AE83" s="152"/>
      <c r="AF83" s="152">
        <v>0</v>
      </c>
      <c r="AG83" s="152">
        <v>0</v>
      </c>
      <c r="AH83" s="152"/>
      <c r="AI83" s="152"/>
      <c r="AJ83" s="152"/>
      <c r="AK83" s="152">
        <v>0</v>
      </c>
      <c r="AL83" s="152"/>
      <c r="AM83" s="152"/>
      <c r="AN83" s="152"/>
      <c r="AO83" s="152"/>
      <c r="AP83" s="152">
        <v>0</v>
      </c>
      <c r="AQ83" s="152">
        <v>0</v>
      </c>
      <c r="AR83" s="152">
        <v>1</v>
      </c>
      <c r="AS83" s="152"/>
      <c r="AT83" s="152"/>
      <c r="AU83" s="152">
        <v>1</v>
      </c>
      <c r="AV83" s="152"/>
      <c r="AW83" s="152"/>
      <c r="AX83" s="152"/>
      <c r="AY83" s="152"/>
      <c r="AZ83" s="152">
        <v>0</v>
      </c>
      <c r="BA83" s="152">
        <v>1</v>
      </c>
      <c r="BB83" s="152"/>
      <c r="BC83" s="152"/>
      <c r="BD83" s="152">
        <v>0</v>
      </c>
      <c r="BE83" s="152"/>
      <c r="BF83" s="152"/>
      <c r="BG83" s="152"/>
      <c r="BH83" s="152"/>
      <c r="BI83" s="152">
        <v>0</v>
      </c>
      <c r="BJ83" s="152">
        <v>0</v>
      </c>
      <c r="BK83" s="152"/>
      <c r="BL83" s="152"/>
      <c r="BM83" s="152"/>
      <c r="BN83" s="152">
        <v>0</v>
      </c>
      <c r="BO83" s="152">
        <v>0</v>
      </c>
      <c r="BP83" s="152">
        <v>13</v>
      </c>
    </row>
    <row r="84" spans="1:68" x14ac:dyDescent="0.35">
      <c r="A84" s="146" t="s">
        <v>456</v>
      </c>
      <c r="B84" s="146" t="s">
        <v>457</v>
      </c>
      <c r="C84" s="152">
        <v>55</v>
      </c>
      <c r="D84" s="152"/>
      <c r="E84" s="152"/>
      <c r="F84" s="152"/>
      <c r="G84" s="152">
        <v>55</v>
      </c>
      <c r="H84" s="152">
        <v>55</v>
      </c>
      <c r="I84" s="152">
        <v>16</v>
      </c>
      <c r="J84" s="152">
        <v>3</v>
      </c>
      <c r="K84" s="152">
        <v>1</v>
      </c>
      <c r="L84" s="152">
        <v>75</v>
      </c>
      <c r="M84" s="152">
        <v>130</v>
      </c>
      <c r="N84" s="152"/>
      <c r="O84" s="152"/>
      <c r="P84" s="152"/>
      <c r="Q84" s="152">
        <v>0</v>
      </c>
      <c r="R84" s="152"/>
      <c r="S84" s="152"/>
      <c r="T84" s="152"/>
      <c r="U84" s="152"/>
      <c r="V84" s="152">
        <v>0</v>
      </c>
      <c r="W84" s="152">
        <v>0</v>
      </c>
      <c r="X84" s="152">
        <v>2</v>
      </c>
      <c r="Y84" s="152"/>
      <c r="Z84" s="152"/>
      <c r="AA84" s="152">
        <v>2</v>
      </c>
      <c r="AB84" s="152"/>
      <c r="AC84" s="152"/>
      <c r="AD84" s="152"/>
      <c r="AE84" s="152"/>
      <c r="AF84" s="152">
        <v>0</v>
      </c>
      <c r="AG84" s="152">
        <v>2</v>
      </c>
      <c r="AH84" s="152"/>
      <c r="AI84" s="152"/>
      <c r="AJ84" s="152"/>
      <c r="AK84" s="152">
        <v>0</v>
      </c>
      <c r="AL84" s="152"/>
      <c r="AM84" s="152"/>
      <c r="AN84" s="152"/>
      <c r="AO84" s="152"/>
      <c r="AP84" s="152">
        <v>0</v>
      </c>
      <c r="AQ84" s="152">
        <v>0</v>
      </c>
      <c r="AR84" s="152">
        <v>8</v>
      </c>
      <c r="AS84" s="152">
        <v>1</v>
      </c>
      <c r="AT84" s="152"/>
      <c r="AU84" s="152">
        <v>9</v>
      </c>
      <c r="AV84" s="152">
        <v>6</v>
      </c>
      <c r="AW84" s="152"/>
      <c r="AX84" s="152"/>
      <c r="AY84" s="152"/>
      <c r="AZ84" s="152">
        <v>6</v>
      </c>
      <c r="BA84" s="152">
        <v>15</v>
      </c>
      <c r="BB84" s="152"/>
      <c r="BC84" s="152"/>
      <c r="BD84" s="152">
        <v>0</v>
      </c>
      <c r="BE84" s="152"/>
      <c r="BF84" s="152"/>
      <c r="BG84" s="152"/>
      <c r="BH84" s="152"/>
      <c r="BI84" s="152">
        <v>0</v>
      </c>
      <c r="BJ84" s="152">
        <v>0</v>
      </c>
      <c r="BK84" s="152"/>
      <c r="BL84" s="152"/>
      <c r="BM84" s="152"/>
      <c r="BN84" s="152">
        <v>0</v>
      </c>
      <c r="BO84" s="152">
        <v>0</v>
      </c>
      <c r="BP84" s="152">
        <v>147</v>
      </c>
    </row>
    <row r="85" spans="1:68" x14ac:dyDescent="0.35">
      <c r="A85" s="146" t="s">
        <v>458</v>
      </c>
      <c r="B85" s="146" t="s">
        <v>459</v>
      </c>
      <c r="C85" s="152">
        <v>1630</v>
      </c>
      <c r="D85" s="152">
        <v>31</v>
      </c>
      <c r="E85" s="152">
        <v>2</v>
      </c>
      <c r="F85" s="152"/>
      <c r="G85" s="152">
        <v>1663</v>
      </c>
      <c r="H85" s="152">
        <v>1141</v>
      </c>
      <c r="I85" s="152">
        <v>317</v>
      </c>
      <c r="J85" s="152">
        <v>57</v>
      </c>
      <c r="K85" s="152">
        <v>12</v>
      </c>
      <c r="L85" s="152">
        <v>1527</v>
      </c>
      <c r="M85" s="152">
        <v>3190</v>
      </c>
      <c r="N85" s="152">
        <v>33</v>
      </c>
      <c r="O85" s="152"/>
      <c r="P85" s="152"/>
      <c r="Q85" s="152">
        <v>33</v>
      </c>
      <c r="R85" s="152">
        <v>13</v>
      </c>
      <c r="S85" s="152">
        <v>1</v>
      </c>
      <c r="T85" s="152"/>
      <c r="U85" s="152"/>
      <c r="V85" s="152">
        <v>14</v>
      </c>
      <c r="W85" s="152">
        <v>47</v>
      </c>
      <c r="X85" s="152">
        <v>98</v>
      </c>
      <c r="Y85" s="152"/>
      <c r="Z85" s="152"/>
      <c r="AA85" s="152">
        <v>98</v>
      </c>
      <c r="AB85" s="152">
        <v>91</v>
      </c>
      <c r="AC85" s="152">
        <v>9</v>
      </c>
      <c r="AD85" s="152"/>
      <c r="AE85" s="152"/>
      <c r="AF85" s="152">
        <v>100</v>
      </c>
      <c r="AG85" s="152">
        <v>198</v>
      </c>
      <c r="AH85" s="152">
        <v>19</v>
      </c>
      <c r="AI85" s="152"/>
      <c r="AJ85" s="152"/>
      <c r="AK85" s="152">
        <v>19</v>
      </c>
      <c r="AL85" s="152">
        <v>7</v>
      </c>
      <c r="AM85" s="152"/>
      <c r="AN85" s="152"/>
      <c r="AO85" s="152"/>
      <c r="AP85" s="152">
        <v>7</v>
      </c>
      <c r="AQ85" s="152">
        <v>26</v>
      </c>
      <c r="AR85" s="152">
        <v>248</v>
      </c>
      <c r="AS85" s="152"/>
      <c r="AT85" s="152"/>
      <c r="AU85" s="152">
        <v>248</v>
      </c>
      <c r="AV85" s="152">
        <v>125</v>
      </c>
      <c r="AW85" s="152">
        <v>13</v>
      </c>
      <c r="AX85" s="152">
        <v>1</v>
      </c>
      <c r="AY85" s="152"/>
      <c r="AZ85" s="152">
        <v>139</v>
      </c>
      <c r="BA85" s="152">
        <v>387</v>
      </c>
      <c r="BB85" s="152">
        <v>17</v>
      </c>
      <c r="BC85" s="152"/>
      <c r="BD85" s="152">
        <v>17</v>
      </c>
      <c r="BE85" s="152">
        <v>1</v>
      </c>
      <c r="BF85" s="152"/>
      <c r="BG85" s="152"/>
      <c r="BH85" s="152"/>
      <c r="BI85" s="152">
        <v>1</v>
      </c>
      <c r="BJ85" s="152">
        <v>18</v>
      </c>
      <c r="BK85" s="152"/>
      <c r="BL85" s="152"/>
      <c r="BM85" s="152"/>
      <c r="BN85" s="152">
        <v>0</v>
      </c>
      <c r="BO85" s="152">
        <v>0</v>
      </c>
      <c r="BP85" s="152">
        <v>3866</v>
      </c>
    </row>
    <row r="86" spans="1:68" x14ac:dyDescent="0.35">
      <c r="A86" s="146" t="s">
        <v>460</v>
      </c>
      <c r="B86" s="146" t="s">
        <v>461</v>
      </c>
      <c r="C86" s="152">
        <v>7</v>
      </c>
      <c r="D86" s="152"/>
      <c r="E86" s="152"/>
      <c r="F86" s="152"/>
      <c r="G86" s="152">
        <v>7</v>
      </c>
      <c r="H86" s="152">
        <v>4</v>
      </c>
      <c r="I86" s="152"/>
      <c r="J86" s="152"/>
      <c r="K86" s="152"/>
      <c r="L86" s="152">
        <v>4</v>
      </c>
      <c r="M86" s="152">
        <v>11</v>
      </c>
      <c r="N86" s="152"/>
      <c r="O86" s="152"/>
      <c r="P86" s="152"/>
      <c r="Q86" s="152">
        <v>0</v>
      </c>
      <c r="R86" s="152"/>
      <c r="S86" s="152"/>
      <c r="T86" s="152"/>
      <c r="U86" s="152"/>
      <c r="V86" s="152">
        <v>0</v>
      </c>
      <c r="W86" s="152">
        <v>0</v>
      </c>
      <c r="X86" s="152"/>
      <c r="Y86" s="152"/>
      <c r="Z86" s="152"/>
      <c r="AA86" s="152">
        <v>0</v>
      </c>
      <c r="AB86" s="152"/>
      <c r="AC86" s="152"/>
      <c r="AD86" s="152"/>
      <c r="AE86" s="152"/>
      <c r="AF86" s="152">
        <v>0</v>
      </c>
      <c r="AG86" s="152">
        <v>0</v>
      </c>
      <c r="AH86" s="152"/>
      <c r="AI86" s="152"/>
      <c r="AJ86" s="152"/>
      <c r="AK86" s="152">
        <v>0</v>
      </c>
      <c r="AL86" s="152"/>
      <c r="AM86" s="152"/>
      <c r="AN86" s="152"/>
      <c r="AO86" s="152"/>
      <c r="AP86" s="152">
        <v>0</v>
      </c>
      <c r="AQ86" s="152">
        <v>0</v>
      </c>
      <c r="AR86" s="152">
        <v>1</v>
      </c>
      <c r="AS86" s="152"/>
      <c r="AT86" s="152"/>
      <c r="AU86" s="152">
        <v>1</v>
      </c>
      <c r="AV86" s="152"/>
      <c r="AW86" s="152"/>
      <c r="AX86" s="152"/>
      <c r="AY86" s="152"/>
      <c r="AZ86" s="152">
        <v>0</v>
      </c>
      <c r="BA86" s="152">
        <v>1</v>
      </c>
      <c r="BB86" s="152"/>
      <c r="BC86" s="152"/>
      <c r="BD86" s="152">
        <v>0</v>
      </c>
      <c r="BE86" s="152"/>
      <c r="BF86" s="152"/>
      <c r="BG86" s="152"/>
      <c r="BH86" s="152"/>
      <c r="BI86" s="152">
        <v>0</v>
      </c>
      <c r="BJ86" s="152">
        <v>0</v>
      </c>
      <c r="BK86" s="152"/>
      <c r="BL86" s="152"/>
      <c r="BM86" s="152"/>
      <c r="BN86" s="152">
        <v>0</v>
      </c>
      <c r="BO86" s="152">
        <v>0</v>
      </c>
      <c r="BP86" s="152">
        <v>12</v>
      </c>
    </row>
    <row r="87" spans="1:68" x14ac:dyDescent="0.35">
      <c r="A87" s="146" t="s">
        <v>462</v>
      </c>
      <c r="B87" s="146" t="s">
        <v>463</v>
      </c>
      <c r="C87" s="152">
        <v>2</v>
      </c>
      <c r="D87" s="152"/>
      <c r="E87" s="152"/>
      <c r="F87" s="152"/>
      <c r="G87" s="152">
        <v>2</v>
      </c>
      <c r="H87" s="152">
        <v>5</v>
      </c>
      <c r="I87" s="152">
        <v>1</v>
      </c>
      <c r="J87" s="152">
        <v>1</v>
      </c>
      <c r="K87" s="152"/>
      <c r="L87" s="152">
        <v>7</v>
      </c>
      <c r="M87" s="152">
        <v>9</v>
      </c>
      <c r="N87" s="152"/>
      <c r="O87" s="152"/>
      <c r="P87" s="152"/>
      <c r="Q87" s="152">
        <v>0</v>
      </c>
      <c r="R87" s="152"/>
      <c r="S87" s="152"/>
      <c r="T87" s="152"/>
      <c r="U87" s="152"/>
      <c r="V87" s="152">
        <v>0</v>
      </c>
      <c r="W87" s="152">
        <v>0</v>
      </c>
      <c r="X87" s="152"/>
      <c r="Y87" s="152"/>
      <c r="Z87" s="152"/>
      <c r="AA87" s="152">
        <v>0</v>
      </c>
      <c r="AB87" s="152"/>
      <c r="AC87" s="152"/>
      <c r="AD87" s="152"/>
      <c r="AE87" s="152"/>
      <c r="AF87" s="152">
        <v>0</v>
      </c>
      <c r="AG87" s="152">
        <v>0</v>
      </c>
      <c r="AH87" s="152"/>
      <c r="AI87" s="152"/>
      <c r="AJ87" s="152"/>
      <c r="AK87" s="152">
        <v>0</v>
      </c>
      <c r="AL87" s="152"/>
      <c r="AM87" s="152"/>
      <c r="AN87" s="152"/>
      <c r="AO87" s="152"/>
      <c r="AP87" s="152">
        <v>0</v>
      </c>
      <c r="AQ87" s="152">
        <v>0</v>
      </c>
      <c r="AR87" s="152"/>
      <c r="AS87" s="152"/>
      <c r="AT87" s="152"/>
      <c r="AU87" s="152">
        <v>0</v>
      </c>
      <c r="AV87" s="152"/>
      <c r="AW87" s="152"/>
      <c r="AX87" s="152"/>
      <c r="AY87" s="152"/>
      <c r="AZ87" s="152">
        <v>0</v>
      </c>
      <c r="BA87" s="152">
        <v>0</v>
      </c>
      <c r="BB87" s="152"/>
      <c r="BC87" s="152"/>
      <c r="BD87" s="152">
        <v>0</v>
      </c>
      <c r="BE87" s="152"/>
      <c r="BF87" s="152"/>
      <c r="BG87" s="152"/>
      <c r="BH87" s="152"/>
      <c r="BI87" s="152">
        <v>0</v>
      </c>
      <c r="BJ87" s="152">
        <v>0</v>
      </c>
      <c r="BK87" s="152"/>
      <c r="BL87" s="152"/>
      <c r="BM87" s="152"/>
      <c r="BN87" s="152">
        <v>0</v>
      </c>
      <c r="BO87" s="152">
        <v>0</v>
      </c>
      <c r="BP87" s="152">
        <v>9</v>
      </c>
    </row>
    <row r="88" spans="1:68" x14ac:dyDescent="0.35">
      <c r="A88" s="146" t="s">
        <v>464</v>
      </c>
      <c r="B88" s="146" t="s">
        <v>1363</v>
      </c>
      <c r="C88" s="152">
        <v>2</v>
      </c>
      <c r="D88" s="152"/>
      <c r="E88" s="152"/>
      <c r="F88" s="152"/>
      <c r="G88" s="152">
        <v>2</v>
      </c>
      <c r="H88" s="152">
        <v>2</v>
      </c>
      <c r="I88" s="152"/>
      <c r="J88" s="152"/>
      <c r="K88" s="152"/>
      <c r="L88" s="152">
        <v>2</v>
      </c>
      <c r="M88" s="152">
        <v>4</v>
      </c>
      <c r="N88" s="152">
        <v>1</v>
      </c>
      <c r="O88" s="152"/>
      <c r="P88" s="152"/>
      <c r="Q88" s="152">
        <v>1</v>
      </c>
      <c r="R88" s="152"/>
      <c r="S88" s="152"/>
      <c r="T88" s="152"/>
      <c r="U88" s="152"/>
      <c r="V88" s="152">
        <v>0</v>
      </c>
      <c r="W88" s="152">
        <v>1</v>
      </c>
      <c r="X88" s="152"/>
      <c r="Y88" s="152"/>
      <c r="Z88" s="152"/>
      <c r="AA88" s="152">
        <v>0</v>
      </c>
      <c r="AB88" s="152"/>
      <c r="AC88" s="152"/>
      <c r="AD88" s="152"/>
      <c r="AE88" s="152"/>
      <c r="AF88" s="152">
        <v>0</v>
      </c>
      <c r="AG88" s="152">
        <v>0</v>
      </c>
      <c r="AH88" s="152">
        <v>1</v>
      </c>
      <c r="AI88" s="152"/>
      <c r="AJ88" s="152"/>
      <c r="AK88" s="152">
        <v>1</v>
      </c>
      <c r="AL88" s="152"/>
      <c r="AM88" s="152"/>
      <c r="AN88" s="152"/>
      <c r="AO88" s="152"/>
      <c r="AP88" s="152">
        <v>0</v>
      </c>
      <c r="AQ88" s="152">
        <v>1</v>
      </c>
      <c r="AR88" s="152">
        <v>2</v>
      </c>
      <c r="AS88" s="152"/>
      <c r="AT88" s="152"/>
      <c r="AU88" s="152">
        <v>2</v>
      </c>
      <c r="AV88" s="152">
        <v>1</v>
      </c>
      <c r="AW88" s="152">
        <v>1</v>
      </c>
      <c r="AX88" s="152"/>
      <c r="AY88" s="152"/>
      <c r="AZ88" s="152">
        <v>2</v>
      </c>
      <c r="BA88" s="152">
        <v>4</v>
      </c>
      <c r="BB88" s="152"/>
      <c r="BC88" s="152"/>
      <c r="BD88" s="152">
        <v>0</v>
      </c>
      <c r="BE88" s="152"/>
      <c r="BF88" s="152"/>
      <c r="BG88" s="152"/>
      <c r="BH88" s="152"/>
      <c r="BI88" s="152">
        <v>0</v>
      </c>
      <c r="BJ88" s="152">
        <v>0</v>
      </c>
      <c r="BK88" s="152"/>
      <c r="BL88" s="152"/>
      <c r="BM88" s="152"/>
      <c r="BN88" s="152">
        <v>0</v>
      </c>
      <c r="BO88" s="152">
        <v>0</v>
      </c>
      <c r="BP88" s="152">
        <v>10</v>
      </c>
    </row>
    <row r="89" spans="1:68" x14ac:dyDescent="0.35">
      <c r="A89" s="146" t="s">
        <v>465</v>
      </c>
      <c r="B89" s="146" t="s">
        <v>466</v>
      </c>
      <c r="C89" s="152">
        <v>60</v>
      </c>
      <c r="D89" s="152">
        <v>1</v>
      </c>
      <c r="E89" s="152"/>
      <c r="F89" s="152"/>
      <c r="G89" s="152">
        <v>61</v>
      </c>
      <c r="H89" s="152">
        <v>27</v>
      </c>
      <c r="I89" s="152">
        <v>6</v>
      </c>
      <c r="J89" s="152">
        <v>2</v>
      </c>
      <c r="K89" s="152"/>
      <c r="L89" s="152">
        <v>35</v>
      </c>
      <c r="M89" s="152">
        <v>96</v>
      </c>
      <c r="N89" s="152">
        <v>27</v>
      </c>
      <c r="O89" s="152"/>
      <c r="P89" s="152"/>
      <c r="Q89" s="152">
        <v>27</v>
      </c>
      <c r="R89" s="152"/>
      <c r="S89" s="152"/>
      <c r="T89" s="152"/>
      <c r="U89" s="152"/>
      <c r="V89" s="152">
        <v>0</v>
      </c>
      <c r="W89" s="152">
        <v>27</v>
      </c>
      <c r="X89" s="152">
        <v>9</v>
      </c>
      <c r="Y89" s="152"/>
      <c r="Z89" s="152"/>
      <c r="AA89" s="152">
        <v>9</v>
      </c>
      <c r="AB89" s="152"/>
      <c r="AC89" s="152"/>
      <c r="AD89" s="152"/>
      <c r="AE89" s="152"/>
      <c r="AF89" s="152">
        <v>0</v>
      </c>
      <c r="AG89" s="152">
        <v>9</v>
      </c>
      <c r="AH89" s="152"/>
      <c r="AI89" s="152"/>
      <c r="AJ89" s="152"/>
      <c r="AK89" s="152">
        <v>0</v>
      </c>
      <c r="AL89" s="152"/>
      <c r="AM89" s="152"/>
      <c r="AN89" s="152"/>
      <c r="AO89" s="152"/>
      <c r="AP89" s="152">
        <v>0</v>
      </c>
      <c r="AQ89" s="152">
        <v>0</v>
      </c>
      <c r="AR89" s="152">
        <v>8</v>
      </c>
      <c r="AS89" s="152"/>
      <c r="AT89" s="152"/>
      <c r="AU89" s="152">
        <v>8</v>
      </c>
      <c r="AV89" s="152">
        <v>4</v>
      </c>
      <c r="AW89" s="152">
        <v>1</v>
      </c>
      <c r="AX89" s="152"/>
      <c r="AY89" s="152"/>
      <c r="AZ89" s="152">
        <v>5</v>
      </c>
      <c r="BA89" s="152">
        <v>13</v>
      </c>
      <c r="BB89" s="152">
        <v>2</v>
      </c>
      <c r="BC89" s="152"/>
      <c r="BD89" s="152">
        <v>2</v>
      </c>
      <c r="BE89" s="152"/>
      <c r="BF89" s="152"/>
      <c r="BG89" s="152"/>
      <c r="BH89" s="152"/>
      <c r="BI89" s="152">
        <v>0</v>
      </c>
      <c r="BJ89" s="152">
        <v>2</v>
      </c>
      <c r="BK89" s="152"/>
      <c r="BL89" s="152"/>
      <c r="BM89" s="152"/>
      <c r="BN89" s="152">
        <v>0</v>
      </c>
      <c r="BO89" s="152">
        <v>0</v>
      </c>
      <c r="BP89" s="152">
        <v>147</v>
      </c>
    </row>
    <row r="90" spans="1:68" x14ac:dyDescent="0.35">
      <c r="A90" s="146" t="s">
        <v>467</v>
      </c>
      <c r="B90" s="146" t="s">
        <v>1364</v>
      </c>
      <c r="C90" s="152">
        <v>44</v>
      </c>
      <c r="D90" s="152"/>
      <c r="E90" s="152"/>
      <c r="F90" s="152"/>
      <c r="G90" s="152">
        <v>44</v>
      </c>
      <c r="H90" s="152">
        <v>20</v>
      </c>
      <c r="I90" s="152">
        <v>1</v>
      </c>
      <c r="J90" s="152"/>
      <c r="K90" s="152"/>
      <c r="L90" s="152">
        <v>21</v>
      </c>
      <c r="M90" s="152">
        <v>65</v>
      </c>
      <c r="N90" s="152">
        <v>4</v>
      </c>
      <c r="O90" s="152"/>
      <c r="P90" s="152"/>
      <c r="Q90" s="152">
        <v>4</v>
      </c>
      <c r="R90" s="152"/>
      <c r="S90" s="152"/>
      <c r="T90" s="152"/>
      <c r="U90" s="152"/>
      <c r="V90" s="152">
        <v>0</v>
      </c>
      <c r="W90" s="152">
        <v>4</v>
      </c>
      <c r="X90" s="152">
        <v>2</v>
      </c>
      <c r="Y90" s="152"/>
      <c r="Z90" s="152"/>
      <c r="AA90" s="152">
        <v>2</v>
      </c>
      <c r="AB90" s="152">
        <v>1</v>
      </c>
      <c r="AC90" s="152"/>
      <c r="AD90" s="152"/>
      <c r="AE90" s="152"/>
      <c r="AF90" s="152">
        <v>1</v>
      </c>
      <c r="AG90" s="152">
        <v>3</v>
      </c>
      <c r="AH90" s="152"/>
      <c r="AI90" s="152"/>
      <c r="AJ90" s="152"/>
      <c r="AK90" s="152">
        <v>0</v>
      </c>
      <c r="AL90" s="152"/>
      <c r="AM90" s="152"/>
      <c r="AN90" s="152"/>
      <c r="AO90" s="152"/>
      <c r="AP90" s="152">
        <v>0</v>
      </c>
      <c r="AQ90" s="152">
        <v>0</v>
      </c>
      <c r="AR90" s="152">
        <v>5</v>
      </c>
      <c r="AS90" s="152"/>
      <c r="AT90" s="152"/>
      <c r="AU90" s="152">
        <v>5</v>
      </c>
      <c r="AV90" s="152">
        <v>1</v>
      </c>
      <c r="AW90" s="152"/>
      <c r="AX90" s="152"/>
      <c r="AY90" s="152"/>
      <c r="AZ90" s="152">
        <v>1</v>
      </c>
      <c r="BA90" s="152">
        <v>6</v>
      </c>
      <c r="BB90" s="152">
        <v>2</v>
      </c>
      <c r="BC90" s="152"/>
      <c r="BD90" s="152">
        <v>2</v>
      </c>
      <c r="BE90" s="152"/>
      <c r="BF90" s="152"/>
      <c r="BG90" s="152"/>
      <c r="BH90" s="152"/>
      <c r="BI90" s="152">
        <v>0</v>
      </c>
      <c r="BJ90" s="152">
        <v>2</v>
      </c>
      <c r="BK90" s="152"/>
      <c r="BL90" s="152"/>
      <c r="BM90" s="152"/>
      <c r="BN90" s="152">
        <v>0</v>
      </c>
      <c r="BO90" s="152">
        <v>0</v>
      </c>
      <c r="BP90" s="152">
        <v>80</v>
      </c>
    </row>
    <row r="91" spans="1:68" x14ac:dyDescent="0.35">
      <c r="A91" s="146" t="s">
        <v>468</v>
      </c>
      <c r="B91" s="146" t="s">
        <v>469</v>
      </c>
      <c r="C91" s="152">
        <v>75</v>
      </c>
      <c r="D91" s="152">
        <v>1</v>
      </c>
      <c r="E91" s="152"/>
      <c r="F91" s="152"/>
      <c r="G91" s="152">
        <v>76</v>
      </c>
      <c r="H91" s="152">
        <v>65</v>
      </c>
      <c r="I91" s="152">
        <v>6</v>
      </c>
      <c r="J91" s="152">
        <v>1</v>
      </c>
      <c r="K91" s="152">
        <v>3</v>
      </c>
      <c r="L91" s="152">
        <v>75</v>
      </c>
      <c r="M91" s="152">
        <v>151</v>
      </c>
      <c r="N91" s="152"/>
      <c r="O91" s="152"/>
      <c r="P91" s="152"/>
      <c r="Q91" s="152">
        <v>0</v>
      </c>
      <c r="R91" s="152"/>
      <c r="S91" s="152"/>
      <c r="T91" s="152"/>
      <c r="U91" s="152"/>
      <c r="V91" s="152">
        <v>0</v>
      </c>
      <c r="W91" s="152">
        <v>0</v>
      </c>
      <c r="X91" s="152"/>
      <c r="Y91" s="152"/>
      <c r="Z91" s="152"/>
      <c r="AA91" s="152">
        <v>0</v>
      </c>
      <c r="AB91" s="152">
        <v>1</v>
      </c>
      <c r="AC91" s="152"/>
      <c r="AD91" s="152"/>
      <c r="AE91" s="152"/>
      <c r="AF91" s="152">
        <v>1</v>
      </c>
      <c r="AG91" s="152">
        <v>1</v>
      </c>
      <c r="AH91" s="152">
        <v>1</v>
      </c>
      <c r="AI91" s="152"/>
      <c r="AJ91" s="152"/>
      <c r="AK91" s="152">
        <v>1</v>
      </c>
      <c r="AL91" s="152"/>
      <c r="AM91" s="152"/>
      <c r="AN91" s="152"/>
      <c r="AO91" s="152"/>
      <c r="AP91" s="152">
        <v>0</v>
      </c>
      <c r="AQ91" s="152">
        <v>1</v>
      </c>
      <c r="AR91" s="152">
        <v>4</v>
      </c>
      <c r="AS91" s="152"/>
      <c r="AT91" s="152"/>
      <c r="AU91" s="152">
        <v>4</v>
      </c>
      <c r="AV91" s="152">
        <v>5</v>
      </c>
      <c r="AW91" s="152"/>
      <c r="AX91" s="152"/>
      <c r="AY91" s="152"/>
      <c r="AZ91" s="152">
        <v>5</v>
      </c>
      <c r="BA91" s="152">
        <v>9</v>
      </c>
      <c r="BB91" s="152"/>
      <c r="BC91" s="152"/>
      <c r="BD91" s="152">
        <v>0</v>
      </c>
      <c r="BE91" s="152"/>
      <c r="BF91" s="152"/>
      <c r="BG91" s="152"/>
      <c r="BH91" s="152"/>
      <c r="BI91" s="152">
        <v>0</v>
      </c>
      <c r="BJ91" s="152">
        <v>0</v>
      </c>
      <c r="BK91" s="152"/>
      <c r="BL91" s="152"/>
      <c r="BM91" s="152"/>
      <c r="BN91" s="152">
        <v>0</v>
      </c>
      <c r="BO91" s="152">
        <v>0</v>
      </c>
      <c r="BP91" s="152">
        <v>162</v>
      </c>
    </row>
    <row r="92" spans="1:68" x14ac:dyDescent="0.35">
      <c r="A92" s="146" t="s">
        <v>470</v>
      </c>
      <c r="B92" s="146" t="s">
        <v>471</v>
      </c>
      <c r="C92" s="152">
        <v>53</v>
      </c>
      <c r="D92" s="152">
        <v>2</v>
      </c>
      <c r="E92" s="152"/>
      <c r="F92" s="152"/>
      <c r="G92" s="152">
        <v>55</v>
      </c>
      <c r="H92" s="152">
        <v>15</v>
      </c>
      <c r="I92" s="152">
        <v>5</v>
      </c>
      <c r="J92" s="152"/>
      <c r="K92" s="152"/>
      <c r="L92" s="152">
        <v>20</v>
      </c>
      <c r="M92" s="152">
        <v>75</v>
      </c>
      <c r="N92" s="152"/>
      <c r="O92" s="152"/>
      <c r="P92" s="152"/>
      <c r="Q92" s="152">
        <v>0</v>
      </c>
      <c r="R92" s="152"/>
      <c r="S92" s="152"/>
      <c r="T92" s="152"/>
      <c r="U92" s="152"/>
      <c r="V92" s="152">
        <v>0</v>
      </c>
      <c r="W92" s="152">
        <v>0</v>
      </c>
      <c r="X92" s="152"/>
      <c r="Y92" s="152"/>
      <c r="Z92" s="152"/>
      <c r="AA92" s="152">
        <v>0</v>
      </c>
      <c r="AB92" s="152"/>
      <c r="AC92" s="152"/>
      <c r="AD92" s="152"/>
      <c r="AE92" s="152"/>
      <c r="AF92" s="152">
        <v>0</v>
      </c>
      <c r="AG92" s="152">
        <v>0</v>
      </c>
      <c r="AH92" s="152">
        <v>2</v>
      </c>
      <c r="AI92" s="152"/>
      <c r="AJ92" s="152"/>
      <c r="AK92" s="152">
        <v>2</v>
      </c>
      <c r="AL92" s="152"/>
      <c r="AM92" s="152"/>
      <c r="AN92" s="152"/>
      <c r="AO92" s="152"/>
      <c r="AP92" s="152">
        <v>0</v>
      </c>
      <c r="AQ92" s="152">
        <v>2</v>
      </c>
      <c r="AR92" s="152">
        <v>6</v>
      </c>
      <c r="AS92" s="152"/>
      <c r="AT92" s="152"/>
      <c r="AU92" s="152">
        <v>6</v>
      </c>
      <c r="AV92" s="152">
        <v>3</v>
      </c>
      <c r="AW92" s="152"/>
      <c r="AX92" s="152">
        <v>2</v>
      </c>
      <c r="AY92" s="152"/>
      <c r="AZ92" s="152">
        <v>5</v>
      </c>
      <c r="BA92" s="152">
        <v>11</v>
      </c>
      <c r="BB92" s="152"/>
      <c r="BC92" s="152"/>
      <c r="BD92" s="152">
        <v>0</v>
      </c>
      <c r="BE92" s="152"/>
      <c r="BF92" s="152"/>
      <c r="BG92" s="152"/>
      <c r="BH92" s="152"/>
      <c r="BI92" s="152">
        <v>0</v>
      </c>
      <c r="BJ92" s="152">
        <v>0</v>
      </c>
      <c r="BK92" s="152"/>
      <c r="BL92" s="152"/>
      <c r="BM92" s="152"/>
      <c r="BN92" s="152">
        <v>0</v>
      </c>
      <c r="BO92" s="152">
        <v>0</v>
      </c>
      <c r="BP92" s="152">
        <v>88</v>
      </c>
    </row>
    <row r="93" spans="1:68" x14ac:dyDescent="0.35">
      <c r="A93" s="146" t="s">
        <v>472</v>
      </c>
      <c r="B93" s="146" t="s">
        <v>473</v>
      </c>
      <c r="C93" s="152">
        <v>10</v>
      </c>
      <c r="D93" s="152"/>
      <c r="E93" s="152"/>
      <c r="F93" s="152"/>
      <c r="G93" s="152">
        <v>10</v>
      </c>
      <c r="H93" s="152">
        <v>6</v>
      </c>
      <c r="I93" s="152">
        <v>2</v>
      </c>
      <c r="J93" s="152">
        <v>1</v>
      </c>
      <c r="K93" s="152"/>
      <c r="L93" s="152">
        <v>9</v>
      </c>
      <c r="M93" s="152">
        <v>19</v>
      </c>
      <c r="N93" s="152"/>
      <c r="O93" s="152"/>
      <c r="P93" s="152"/>
      <c r="Q93" s="152">
        <v>0</v>
      </c>
      <c r="R93" s="152"/>
      <c r="S93" s="152"/>
      <c r="T93" s="152"/>
      <c r="U93" s="152"/>
      <c r="V93" s="152">
        <v>0</v>
      </c>
      <c r="W93" s="152">
        <v>0</v>
      </c>
      <c r="X93" s="152"/>
      <c r="Y93" s="152"/>
      <c r="Z93" s="152"/>
      <c r="AA93" s="152">
        <v>0</v>
      </c>
      <c r="AB93" s="152"/>
      <c r="AC93" s="152"/>
      <c r="AD93" s="152"/>
      <c r="AE93" s="152"/>
      <c r="AF93" s="152">
        <v>0</v>
      </c>
      <c r="AG93" s="152">
        <v>0</v>
      </c>
      <c r="AH93" s="152"/>
      <c r="AI93" s="152"/>
      <c r="AJ93" s="152"/>
      <c r="AK93" s="152">
        <v>0</v>
      </c>
      <c r="AL93" s="152"/>
      <c r="AM93" s="152"/>
      <c r="AN93" s="152"/>
      <c r="AO93" s="152"/>
      <c r="AP93" s="152">
        <v>0</v>
      </c>
      <c r="AQ93" s="152">
        <v>0</v>
      </c>
      <c r="AR93" s="152"/>
      <c r="AS93" s="152"/>
      <c r="AT93" s="152"/>
      <c r="AU93" s="152">
        <v>0</v>
      </c>
      <c r="AV93" s="152">
        <v>1</v>
      </c>
      <c r="AW93" s="152"/>
      <c r="AX93" s="152"/>
      <c r="AY93" s="152"/>
      <c r="AZ93" s="152">
        <v>1</v>
      </c>
      <c r="BA93" s="152">
        <v>1</v>
      </c>
      <c r="BB93" s="152"/>
      <c r="BC93" s="152"/>
      <c r="BD93" s="152">
        <v>0</v>
      </c>
      <c r="BE93" s="152"/>
      <c r="BF93" s="152"/>
      <c r="BG93" s="152"/>
      <c r="BH93" s="152"/>
      <c r="BI93" s="152">
        <v>0</v>
      </c>
      <c r="BJ93" s="152">
        <v>0</v>
      </c>
      <c r="BK93" s="152"/>
      <c r="BL93" s="152"/>
      <c r="BM93" s="152"/>
      <c r="BN93" s="152">
        <v>0</v>
      </c>
      <c r="BO93" s="152">
        <v>0</v>
      </c>
      <c r="BP93" s="152">
        <v>20</v>
      </c>
    </row>
    <row r="94" spans="1:68" x14ac:dyDescent="0.35">
      <c r="A94" s="146" t="s">
        <v>474</v>
      </c>
      <c r="B94" s="146" t="s">
        <v>475</v>
      </c>
      <c r="C94" s="152">
        <v>47</v>
      </c>
      <c r="D94" s="152">
        <v>3</v>
      </c>
      <c r="E94" s="152"/>
      <c r="F94" s="152"/>
      <c r="G94" s="152">
        <v>50</v>
      </c>
      <c r="H94" s="152">
        <v>32</v>
      </c>
      <c r="I94" s="152">
        <v>5</v>
      </c>
      <c r="J94" s="152">
        <v>2</v>
      </c>
      <c r="K94" s="152"/>
      <c r="L94" s="152">
        <v>39</v>
      </c>
      <c r="M94" s="152">
        <v>89</v>
      </c>
      <c r="N94" s="152">
        <v>20</v>
      </c>
      <c r="O94" s="152"/>
      <c r="P94" s="152"/>
      <c r="Q94" s="152">
        <v>20</v>
      </c>
      <c r="R94" s="152">
        <v>4</v>
      </c>
      <c r="S94" s="152"/>
      <c r="T94" s="152"/>
      <c r="U94" s="152"/>
      <c r="V94" s="152">
        <v>4</v>
      </c>
      <c r="W94" s="152">
        <v>24</v>
      </c>
      <c r="X94" s="152">
        <v>9</v>
      </c>
      <c r="Y94" s="152">
        <v>2</v>
      </c>
      <c r="Z94" s="152"/>
      <c r="AA94" s="152">
        <v>11</v>
      </c>
      <c r="AB94" s="152">
        <v>5</v>
      </c>
      <c r="AC94" s="152">
        <v>3</v>
      </c>
      <c r="AD94" s="152">
        <v>1</v>
      </c>
      <c r="AE94" s="152"/>
      <c r="AF94" s="152">
        <v>9</v>
      </c>
      <c r="AG94" s="152">
        <v>20</v>
      </c>
      <c r="AH94" s="152">
        <v>8</v>
      </c>
      <c r="AI94" s="152"/>
      <c r="AJ94" s="152"/>
      <c r="AK94" s="152">
        <v>8</v>
      </c>
      <c r="AL94" s="152">
        <v>1</v>
      </c>
      <c r="AM94" s="152"/>
      <c r="AN94" s="152"/>
      <c r="AO94" s="152"/>
      <c r="AP94" s="152">
        <v>1</v>
      </c>
      <c r="AQ94" s="152">
        <v>9</v>
      </c>
      <c r="AR94" s="152">
        <v>6</v>
      </c>
      <c r="AS94" s="152">
        <v>1</v>
      </c>
      <c r="AT94" s="152"/>
      <c r="AU94" s="152">
        <v>7</v>
      </c>
      <c r="AV94" s="152">
        <v>9</v>
      </c>
      <c r="AW94" s="152">
        <v>8</v>
      </c>
      <c r="AX94" s="152">
        <v>1</v>
      </c>
      <c r="AY94" s="152"/>
      <c r="AZ94" s="152">
        <v>18</v>
      </c>
      <c r="BA94" s="152">
        <v>25</v>
      </c>
      <c r="BB94" s="152">
        <v>9</v>
      </c>
      <c r="BC94" s="152"/>
      <c r="BD94" s="152">
        <v>9</v>
      </c>
      <c r="BE94" s="152"/>
      <c r="BF94" s="152"/>
      <c r="BG94" s="152"/>
      <c r="BH94" s="152"/>
      <c r="BI94" s="152">
        <v>0</v>
      </c>
      <c r="BJ94" s="152">
        <v>9</v>
      </c>
      <c r="BK94" s="152"/>
      <c r="BL94" s="152"/>
      <c r="BM94" s="152"/>
      <c r="BN94" s="152">
        <v>0</v>
      </c>
      <c r="BO94" s="152">
        <v>0</v>
      </c>
      <c r="BP94" s="152">
        <v>176</v>
      </c>
    </row>
    <row r="95" spans="1:68" x14ac:dyDescent="0.35">
      <c r="A95" s="146" t="s">
        <v>476</v>
      </c>
      <c r="B95" s="146" t="s">
        <v>1365</v>
      </c>
      <c r="C95" s="152">
        <v>4</v>
      </c>
      <c r="D95" s="152">
        <v>1</v>
      </c>
      <c r="E95" s="152"/>
      <c r="F95" s="152"/>
      <c r="G95" s="152">
        <v>5</v>
      </c>
      <c r="H95" s="152">
        <v>4</v>
      </c>
      <c r="I95" s="152">
        <v>1</v>
      </c>
      <c r="J95" s="152"/>
      <c r="K95" s="152">
        <v>1</v>
      </c>
      <c r="L95" s="152">
        <v>6</v>
      </c>
      <c r="M95" s="152">
        <v>11</v>
      </c>
      <c r="N95" s="152"/>
      <c r="O95" s="152"/>
      <c r="P95" s="152"/>
      <c r="Q95" s="152">
        <v>0</v>
      </c>
      <c r="R95" s="152"/>
      <c r="S95" s="152"/>
      <c r="T95" s="152"/>
      <c r="U95" s="152"/>
      <c r="V95" s="152">
        <v>0</v>
      </c>
      <c r="W95" s="152">
        <v>0</v>
      </c>
      <c r="X95" s="152"/>
      <c r="Y95" s="152"/>
      <c r="Z95" s="152"/>
      <c r="AA95" s="152">
        <v>0</v>
      </c>
      <c r="AB95" s="152"/>
      <c r="AC95" s="152"/>
      <c r="AD95" s="152"/>
      <c r="AE95" s="152"/>
      <c r="AF95" s="152">
        <v>0</v>
      </c>
      <c r="AG95" s="152">
        <v>0</v>
      </c>
      <c r="AH95" s="152"/>
      <c r="AI95" s="152"/>
      <c r="AJ95" s="152"/>
      <c r="AK95" s="152">
        <v>0</v>
      </c>
      <c r="AL95" s="152"/>
      <c r="AM95" s="152"/>
      <c r="AN95" s="152"/>
      <c r="AO95" s="152"/>
      <c r="AP95" s="152">
        <v>0</v>
      </c>
      <c r="AQ95" s="152">
        <v>0</v>
      </c>
      <c r="AR95" s="152"/>
      <c r="AS95" s="152"/>
      <c r="AT95" s="152"/>
      <c r="AU95" s="152">
        <v>0</v>
      </c>
      <c r="AV95" s="152">
        <v>3</v>
      </c>
      <c r="AW95" s="152">
        <v>1</v>
      </c>
      <c r="AX95" s="152"/>
      <c r="AY95" s="152">
        <v>1</v>
      </c>
      <c r="AZ95" s="152">
        <v>5</v>
      </c>
      <c r="BA95" s="152">
        <v>5</v>
      </c>
      <c r="BB95" s="152"/>
      <c r="BC95" s="152"/>
      <c r="BD95" s="152">
        <v>0</v>
      </c>
      <c r="BE95" s="152"/>
      <c r="BF95" s="152"/>
      <c r="BG95" s="152"/>
      <c r="BH95" s="152"/>
      <c r="BI95" s="152">
        <v>0</v>
      </c>
      <c r="BJ95" s="152">
        <v>0</v>
      </c>
      <c r="BK95" s="152"/>
      <c r="BL95" s="152"/>
      <c r="BM95" s="152"/>
      <c r="BN95" s="152">
        <v>0</v>
      </c>
      <c r="BO95" s="152">
        <v>0</v>
      </c>
      <c r="BP95" s="152">
        <v>16</v>
      </c>
    </row>
    <row r="96" spans="1:68" x14ac:dyDescent="0.35">
      <c r="A96" s="146" t="s">
        <v>477</v>
      </c>
      <c r="B96" s="146" t="s">
        <v>478</v>
      </c>
      <c r="C96" s="152">
        <v>117</v>
      </c>
      <c r="D96" s="152">
        <v>2</v>
      </c>
      <c r="E96" s="152"/>
      <c r="F96" s="152"/>
      <c r="G96" s="152">
        <v>119</v>
      </c>
      <c r="H96" s="152">
        <v>97</v>
      </c>
      <c r="I96" s="152">
        <v>7</v>
      </c>
      <c r="J96" s="152"/>
      <c r="K96" s="152"/>
      <c r="L96" s="152">
        <v>104</v>
      </c>
      <c r="M96" s="152">
        <v>223</v>
      </c>
      <c r="N96" s="152">
        <v>52</v>
      </c>
      <c r="O96" s="152"/>
      <c r="P96" s="152"/>
      <c r="Q96" s="152">
        <v>52</v>
      </c>
      <c r="R96" s="152">
        <v>1</v>
      </c>
      <c r="S96" s="152"/>
      <c r="T96" s="152"/>
      <c r="U96" s="152"/>
      <c r="V96" s="152">
        <v>1</v>
      </c>
      <c r="W96" s="152">
        <v>53</v>
      </c>
      <c r="X96" s="152">
        <v>15</v>
      </c>
      <c r="Y96" s="152"/>
      <c r="Z96" s="152"/>
      <c r="AA96" s="152">
        <v>15</v>
      </c>
      <c r="AB96" s="152"/>
      <c r="AC96" s="152"/>
      <c r="AD96" s="152"/>
      <c r="AE96" s="152"/>
      <c r="AF96" s="152">
        <v>0</v>
      </c>
      <c r="AG96" s="152">
        <v>15</v>
      </c>
      <c r="AH96" s="152">
        <v>8</v>
      </c>
      <c r="AI96" s="152"/>
      <c r="AJ96" s="152"/>
      <c r="AK96" s="152">
        <v>8</v>
      </c>
      <c r="AL96" s="152"/>
      <c r="AM96" s="152"/>
      <c r="AN96" s="152"/>
      <c r="AO96" s="152"/>
      <c r="AP96" s="152">
        <v>0</v>
      </c>
      <c r="AQ96" s="152">
        <v>8</v>
      </c>
      <c r="AR96" s="152">
        <v>48</v>
      </c>
      <c r="AS96" s="152"/>
      <c r="AT96" s="152"/>
      <c r="AU96" s="152">
        <v>48</v>
      </c>
      <c r="AV96" s="152">
        <v>16</v>
      </c>
      <c r="AW96" s="152">
        <v>5</v>
      </c>
      <c r="AX96" s="152">
        <v>2</v>
      </c>
      <c r="AY96" s="152"/>
      <c r="AZ96" s="152">
        <v>23</v>
      </c>
      <c r="BA96" s="152">
        <v>71</v>
      </c>
      <c r="BB96" s="152">
        <v>16</v>
      </c>
      <c r="BC96" s="152"/>
      <c r="BD96" s="152">
        <v>16</v>
      </c>
      <c r="BE96" s="152">
        <v>1</v>
      </c>
      <c r="BF96" s="152"/>
      <c r="BG96" s="152"/>
      <c r="BH96" s="152"/>
      <c r="BI96" s="152">
        <v>1</v>
      </c>
      <c r="BJ96" s="152">
        <v>17</v>
      </c>
      <c r="BK96" s="152"/>
      <c r="BL96" s="152"/>
      <c r="BM96" s="152"/>
      <c r="BN96" s="152">
        <v>0</v>
      </c>
      <c r="BO96" s="152">
        <v>0</v>
      </c>
      <c r="BP96" s="152">
        <v>387</v>
      </c>
    </row>
    <row r="97" spans="1:68" x14ac:dyDescent="0.35">
      <c r="A97" s="146" t="s">
        <v>479</v>
      </c>
      <c r="B97" s="146" t="s">
        <v>480</v>
      </c>
      <c r="C97" s="152">
        <v>8</v>
      </c>
      <c r="D97" s="152"/>
      <c r="E97" s="152"/>
      <c r="F97" s="152"/>
      <c r="G97" s="152">
        <v>8</v>
      </c>
      <c r="H97" s="152">
        <v>4</v>
      </c>
      <c r="I97" s="152"/>
      <c r="J97" s="152"/>
      <c r="K97" s="152"/>
      <c r="L97" s="152">
        <v>4</v>
      </c>
      <c r="M97" s="152">
        <v>12</v>
      </c>
      <c r="N97" s="152"/>
      <c r="O97" s="152"/>
      <c r="P97" s="152"/>
      <c r="Q97" s="152">
        <v>0</v>
      </c>
      <c r="R97" s="152"/>
      <c r="S97" s="152"/>
      <c r="T97" s="152"/>
      <c r="U97" s="152"/>
      <c r="V97" s="152">
        <v>0</v>
      </c>
      <c r="W97" s="152">
        <v>0</v>
      </c>
      <c r="X97" s="152">
        <v>1</v>
      </c>
      <c r="Y97" s="152"/>
      <c r="Z97" s="152"/>
      <c r="AA97" s="152">
        <v>1</v>
      </c>
      <c r="AB97" s="152"/>
      <c r="AC97" s="152"/>
      <c r="AD97" s="152"/>
      <c r="AE97" s="152"/>
      <c r="AF97" s="152">
        <v>0</v>
      </c>
      <c r="AG97" s="152">
        <v>1</v>
      </c>
      <c r="AH97" s="152"/>
      <c r="AI97" s="152"/>
      <c r="AJ97" s="152"/>
      <c r="AK97" s="152">
        <v>0</v>
      </c>
      <c r="AL97" s="152"/>
      <c r="AM97" s="152"/>
      <c r="AN97" s="152"/>
      <c r="AO97" s="152"/>
      <c r="AP97" s="152">
        <v>0</v>
      </c>
      <c r="AQ97" s="152">
        <v>0</v>
      </c>
      <c r="AR97" s="152">
        <v>2</v>
      </c>
      <c r="AS97" s="152"/>
      <c r="AT97" s="152"/>
      <c r="AU97" s="152">
        <v>2</v>
      </c>
      <c r="AV97" s="152">
        <v>1</v>
      </c>
      <c r="AW97" s="152"/>
      <c r="AX97" s="152"/>
      <c r="AY97" s="152"/>
      <c r="AZ97" s="152">
        <v>1</v>
      </c>
      <c r="BA97" s="152">
        <v>3</v>
      </c>
      <c r="BB97" s="152"/>
      <c r="BC97" s="152"/>
      <c r="BD97" s="152">
        <v>0</v>
      </c>
      <c r="BE97" s="152"/>
      <c r="BF97" s="152"/>
      <c r="BG97" s="152"/>
      <c r="BH97" s="152"/>
      <c r="BI97" s="152">
        <v>0</v>
      </c>
      <c r="BJ97" s="152">
        <v>0</v>
      </c>
      <c r="BK97" s="152"/>
      <c r="BL97" s="152"/>
      <c r="BM97" s="152"/>
      <c r="BN97" s="152">
        <v>0</v>
      </c>
      <c r="BO97" s="152">
        <v>0</v>
      </c>
      <c r="BP97" s="152">
        <v>16</v>
      </c>
    </row>
    <row r="98" spans="1:68" x14ac:dyDescent="0.35">
      <c r="A98" s="146" t="s">
        <v>481</v>
      </c>
      <c r="B98" s="146" t="s">
        <v>1366</v>
      </c>
      <c r="C98" s="152">
        <v>38</v>
      </c>
      <c r="D98" s="152"/>
      <c r="E98" s="152">
        <v>1</v>
      </c>
      <c r="F98" s="152"/>
      <c r="G98" s="152">
        <v>39</v>
      </c>
      <c r="H98" s="152">
        <v>15</v>
      </c>
      <c r="I98" s="152">
        <v>4</v>
      </c>
      <c r="J98" s="152"/>
      <c r="K98" s="152"/>
      <c r="L98" s="152">
        <v>19</v>
      </c>
      <c r="M98" s="152">
        <v>58</v>
      </c>
      <c r="N98" s="152">
        <v>7</v>
      </c>
      <c r="O98" s="152"/>
      <c r="P98" s="152"/>
      <c r="Q98" s="152">
        <v>7</v>
      </c>
      <c r="R98" s="152"/>
      <c r="S98" s="152"/>
      <c r="T98" s="152"/>
      <c r="U98" s="152"/>
      <c r="V98" s="152">
        <v>0</v>
      </c>
      <c r="W98" s="152">
        <v>7</v>
      </c>
      <c r="X98" s="152">
        <v>3</v>
      </c>
      <c r="Y98" s="152"/>
      <c r="Z98" s="152"/>
      <c r="AA98" s="152">
        <v>3</v>
      </c>
      <c r="AB98" s="152"/>
      <c r="AC98" s="152">
        <v>2</v>
      </c>
      <c r="AD98" s="152"/>
      <c r="AE98" s="152"/>
      <c r="AF98" s="152">
        <v>2</v>
      </c>
      <c r="AG98" s="152">
        <v>5</v>
      </c>
      <c r="AH98" s="152"/>
      <c r="AI98" s="152"/>
      <c r="AJ98" s="152"/>
      <c r="AK98" s="152">
        <v>0</v>
      </c>
      <c r="AL98" s="152"/>
      <c r="AM98" s="152"/>
      <c r="AN98" s="152"/>
      <c r="AO98" s="152"/>
      <c r="AP98" s="152">
        <v>0</v>
      </c>
      <c r="AQ98" s="152">
        <v>0</v>
      </c>
      <c r="AR98" s="152">
        <v>10</v>
      </c>
      <c r="AS98" s="152"/>
      <c r="AT98" s="152"/>
      <c r="AU98" s="152">
        <v>10</v>
      </c>
      <c r="AV98" s="152">
        <v>3</v>
      </c>
      <c r="AW98" s="152">
        <v>1</v>
      </c>
      <c r="AX98" s="152"/>
      <c r="AY98" s="152"/>
      <c r="AZ98" s="152">
        <v>4</v>
      </c>
      <c r="BA98" s="152">
        <v>14</v>
      </c>
      <c r="BB98" s="152">
        <v>1</v>
      </c>
      <c r="BC98" s="152"/>
      <c r="BD98" s="152">
        <v>1</v>
      </c>
      <c r="BE98" s="152"/>
      <c r="BF98" s="152"/>
      <c r="BG98" s="152"/>
      <c r="BH98" s="152"/>
      <c r="BI98" s="152">
        <v>0</v>
      </c>
      <c r="BJ98" s="152">
        <v>1</v>
      </c>
      <c r="BK98" s="152"/>
      <c r="BL98" s="152"/>
      <c r="BM98" s="152"/>
      <c r="BN98" s="152">
        <v>0</v>
      </c>
      <c r="BO98" s="152">
        <v>0</v>
      </c>
      <c r="BP98" s="152">
        <v>85</v>
      </c>
    </row>
    <row r="99" spans="1:68" x14ac:dyDescent="0.35">
      <c r="A99" s="146" t="s">
        <v>482</v>
      </c>
      <c r="B99" s="146" t="s">
        <v>1367</v>
      </c>
      <c r="C99" s="152">
        <v>1</v>
      </c>
      <c r="D99" s="152"/>
      <c r="E99" s="152"/>
      <c r="F99" s="152"/>
      <c r="G99" s="152">
        <v>1</v>
      </c>
      <c r="H99" s="152">
        <v>2</v>
      </c>
      <c r="I99" s="152"/>
      <c r="J99" s="152"/>
      <c r="K99" s="152"/>
      <c r="L99" s="152">
        <v>2</v>
      </c>
      <c r="M99" s="152">
        <v>3</v>
      </c>
      <c r="N99" s="152"/>
      <c r="O99" s="152"/>
      <c r="P99" s="152"/>
      <c r="Q99" s="152">
        <v>0</v>
      </c>
      <c r="R99" s="152"/>
      <c r="S99" s="152"/>
      <c r="T99" s="152"/>
      <c r="U99" s="152"/>
      <c r="V99" s="152">
        <v>0</v>
      </c>
      <c r="W99" s="152">
        <v>0</v>
      </c>
      <c r="X99" s="152"/>
      <c r="Y99" s="152"/>
      <c r="Z99" s="152"/>
      <c r="AA99" s="152">
        <v>0</v>
      </c>
      <c r="AB99" s="152"/>
      <c r="AC99" s="152"/>
      <c r="AD99" s="152"/>
      <c r="AE99" s="152"/>
      <c r="AF99" s="152">
        <v>0</v>
      </c>
      <c r="AG99" s="152">
        <v>0</v>
      </c>
      <c r="AH99" s="152"/>
      <c r="AI99" s="152"/>
      <c r="AJ99" s="152"/>
      <c r="AK99" s="152">
        <v>0</v>
      </c>
      <c r="AL99" s="152"/>
      <c r="AM99" s="152"/>
      <c r="AN99" s="152"/>
      <c r="AO99" s="152"/>
      <c r="AP99" s="152">
        <v>0</v>
      </c>
      <c r="AQ99" s="152">
        <v>0</v>
      </c>
      <c r="AR99" s="152"/>
      <c r="AS99" s="152"/>
      <c r="AT99" s="152"/>
      <c r="AU99" s="152">
        <v>0</v>
      </c>
      <c r="AV99" s="152">
        <v>1</v>
      </c>
      <c r="AW99" s="152">
        <v>1</v>
      </c>
      <c r="AX99" s="152"/>
      <c r="AY99" s="152"/>
      <c r="AZ99" s="152">
        <v>2</v>
      </c>
      <c r="BA99" s="152">
        <v>2</v>
      </c>
      <c r="BB99" s="152"/>
      <c r="BC99" s="152"/>
      <c r="BD99" s="152">
        <v>0</v>
      </c>
      <c r="BE99" s="152"/>
      <c r="BF99" s="152"/>
      <c r="BG99" s="152"/>
      <c r="BH99" s="152"/>
      <c r="BI99" s="152">
        <v>0</v>
      </c>
      <c r="BJ99" s="152">
        <v>0</v>
      </c>
      <c r="BK99" s="152"/>
      <c r="BL99" s="152"/>
      <c r="BM99" s="152"/>
      <c r="BN99" s="152">
        <v>0</v>
      </c>
      <c r="BO99" s="152">
        <v>0</v>
      </c>
      <c r="BP99" s="152">
        <v>5</v>
      </c>
    </row>
    <row r="100" spans="1:68" x14ac:dyDescent="0.35">
      <c r="A100" s="146" t="s">
        <v>483</v>
      </c>
      <c r="B100" s="146" t="s">
        <v>1368</v>
      </c>
      <c r="C100" s="152">
        <v>8</v>
      </c>
      <c r="D100" s="152"/>
      <c r="E100" s="152"/>
      <c r="F100" s="152"/>
      <c r="G100" s="152">
        <v>8</v>
      </c>
      <c r="H100" s="152">
        <v>15</v>
      </c>
      <c r="I100" s="152">
        <v>3</v>
      </c>
      <c r="J100" s="152"/>
      <c r="K100" s="152"/>
      <c r="L100" s="152">
        <v>18</v>
      </c>
      <c r="M100" s="152">
        <v>26</v>
      </c>
      <c r="N100" s="152"/>
      <c r="O100" s="152"/>
      <c r="P100" s="152"/>
      <c r="Q100" s="152">
        <v>0</v>
      </c>
      <c r="R100" s="152"/>
      <c r="S100" s="152"/>
      <c r="T100" s="152"/>
      <c r="U100" s="152"/>
      <c r="V100" s="152">
        <v>0</v>
      </c>
      <c r="W100" s="152">
        <v>0</v>
      </c>
      <c r="X100" s="152"/>
      <c r="Y100" s="152"/>
      <c r="Z100" s="152"/>
      <c r="AA100" s="152">
        <v>0</v>
      </c>
      <c r="AB100" s="152"/>
      <c r="AC100" s="152"/>
      <c r="AD100" s="152"/>
      <c r="AE100" s="152"/>
      <c r="AF100" s="152">
        <v>0</v>
      </c>
      <c r="AG100" s="152">
        <v>0</v>
      </c>
      <c r="AH100" s="152"/>
      <c r="AI100" s="152"/>
      <c r="AJ100" s="152"/>
      <c r="AK100" s="152">
        <v>0</v>
      </c>
      <c r="AL100" s="152"/>
      <c r="AM100" s="152"/>
      <c r="AN100" s="152"/>
      <c r="AO100" s="152"/>
      <c r="AP100" s="152">
        <v>0</v>
      </c>
      <c r="AQ100" s="152">
        <v>0</v>
      </c>
      <c r="AR100" s="152"/>
      <c r="AS100" s="152"/>
      <c r="AT100" s="152"/>
      <c r="AU100" s="152">
        <v>0</v>
      </c>
      <c r="AV100" s="152">
        <v>3</v>
      </c>
      <c r="AW100" s="152">
        <v>2</v>
      </c>
      <c r="AX100" s="152"/>
      <c r="AY100" s="152">
        <v>2</v>
      </c>
      <c r="AZ100" s="152">
        <v>7</v>
      </c>
      <c r="BA100" s="152">
        <v>7</v>
      </c>
      <c r="BB100" s="152"/>
      <c r="BC100" s="152"/>
      <c r="BD100" s="152">
        <v>0</v>
      </c>
      <c r="BE100" s="152">
        <v>1</v>
      </c>
      <c r="BF100" s="152"/>
      <c r="BG100" s="152"/>
      <c r="BH100" s="152"/>
      <c r="BI100" s="152">
        <v>1</v>
      </c>
      <c r="BJ100" s="152">
        <v>1</v>
      </c>
      <c r="BK100" s="152"/>
      <c r="BL100" s="152"/>
      <c r="BM100" s="152"/>
      <c r="BN100" s="152">
        <v>0</v>
      </c>
      <c r="BO100" s="152">
        <v>0</v>
      </c>
      <c r="BP100" s="152">
        <v>34</v>
      </c>
    </row>
    <row r="101" spans="1:68" x14ac:dyDescent="0.35">
      <c r="A101" s="146" t="s">
        <v>484</v>
      </c>
      <c r="B101" s="146" t="s">
        <v>485</v>
      </c>
      <c r="C101" s="152">
        <v>27</v>
      </c>
      <c r="D101" s="152"/>
      <c r="E101" s="152"/>
      <c r="F101" s="152"/>
      <c r="G101" s="152">
        <v>27</v>
      </c>
      <c r="H101" s="152">
        <v>21</v>
      </c>
      <c r="I101" s="152">
        <v>8</v>
      </c>
      <c r="J101" s="152"/>
      <c r="K101" s="152">
        <v>2</v>
      </c>
      <c r="L101" s="152">
        <v>31</v>
      </c>
      <c r="M101" s="152">
        <v>58</v>
      </c>
      <c r="N101" s="152"/>
      <c r="O101" s="152"/>
      <c r="P101" s="152"/>
      <c r="Q101" s="152">
        <v>0</v>
      </c>
      <c r="R101" s="152"/>
      <c r="S101" s="152"/>
      <c r="T101" s="152"/>
      <c r="U101" s="152"/>
      <c r="V101" s="152">
        <v>0</v>
      </c>
      <c r="W101" s="152">
        <v>0</v>
      </c>
      <c r="X101" s="152"/>
      <c r="Y101" s="152"/>
      <c r="Z101" s="152"/>
      <c r="AA101" s="152">
        <v>0</v>
      </c>
      <c r="AB101" s="152"/>
      <c r="AC101" s="152"/>
      <c r="AD101" s="152"/>
      <c r="AE101" s="152"/>
      <c r="AF101" s="152">
        <v>0</v>
      </c>
      <c r="AG101" s="152">
        <v>0</v>
      </c>
      <c r="AH101" s="152">
        <v>1</v>
      </c>
      <c r="AI101" s="152"/>
      <c r="AJ101" s="152"/>
      <c r="AK101" s="152">
        <v>1</v>
      </c>
      <c r="AL101" s="152"/>
      <c r="AM101" s="152"/>
      <c r="AN101" s="152"/>
      <c r="AO101" s="152"/>
      <c r="AP101" s="152">
        <v>0</v>
      </c>
      <c r="AQ101" s="152">
        <v>1</v>
      </c>
      <c r="AR101" s="152">
        <v>2</v>
      </c>
      <c r="AS101" s="152"/>
      <c r="AT101" s="152"/>
      <c r="AU101" s="152">
        <v>2</v>
      </c>
      <c r="AV101" s="152">
        <v>2</v>
      </c>
      <c r="AW101" s="152"/>
      <c r="AX101" s="152"/>
      <c r="AY101" s="152">
        <v>1</v>
      </c>
      <c r="AZ101" s="152">
        <v>3</v>
      </c>
      <c r="BA101" s="152">
        <v>5</v>
      </c>
      <c r="BB101" s="152"/>
      <c r="BC101" s="152"/>
      <c r="BD101" s="152">
        <v>0</v>
      </c>
      <c r="BE101" s="152"/>
      <c r="BF101" s="152"/>
      <c r="BG101" s="152"/>
      <c r="BH101" s="152"/>
      <c r="BI101" s="152">
        <v>0</v>
      </c>
      <c r="BJ101" s="152">
        <v>0</v>
      </c>
      <c r="BK101" s="152"/>
      <c r="BL101" s="152"/>
      <c r="BM101" s="152"/>
      <c r="BN101" s="152">
        <v>0</v>
      </c>
      <c r="BO101" s="152">
        <v>0</v>
      </c>
      <c r="BP101" s="152">
        <v>64</v>
      </c>
    </row>
    <row r="102" spans="1:68" x14ac:dyDescent="0.35">
      <c r="A102" s="146" t="s">
        <v>486</v>
      </c>
      <c r="B102" s="146" t="s">
        <v>487</v>
      </c>
      <c r="C102" s="152">
        <v>346</v>
      </c>
      <c r="D102" s="152">
        <v>8</v>
      </c>
      <c r="E102" s="152">
        <v>1</v>
      </c>
      <c r="F102" s="152"/>
      <c r="G102" s="152">
        <v>355</v>
      </c>
      <c r="H102" s="152">
        <v>190</v>
      </c>
      <c r="I102" s="152">
        <v>56</v>
      </c>
      <c r="J102" s="152">
        <v>10</v>
      </c>
      <c r="K102" s="152"/>
      <c r="L102" s="152">
        <v>256</v>
      </c>
      <c r="M102" s="152">
        <v>611</v>
      </c>
      <c r="N102" s="152">
        <v>4</v>
      </c>
      <c r="O102" s="152"/>
      <c r="P102" s="152"/>
      <c r="Q102" s="152">
        <v>4</v>
      </c>
      <c r="R102" s="152">
        <v>1</v>
      </c>
      <c r="S102" s="152"/>
      <c r="T102" s="152"/>
      <c r="U102" s="152"/>
      <c r="V102" s="152">
        <v>1</v>
      </c>
      <c r="W102" s="152">
        <v>5</v>
      </c>
      <c r="X102" s="152">
        <v>4</v>
      </c>
      <c r="Y102" s="152"/>
      <c r="Z102" s="152"/>
      <c r="AA102" s="152">
        <v>4</v>
      </c>
      <c r="AB102" s="152"/>
      <c r="AC102" s="152"/>
      <c r="AD102" s="152"/>
      <c r="AE102" s="152"/>
      <c r="AF102" s="152">
        <v>0</v>
      </c>
      <c r="AG102" s="152">
        <v>4</v>
      </c>
      <c r="AH102" s="152">
        <v>6</v>
      </c>
      <c r="AI102" s="152"/>
      <c r="AJ102" s="152"/>
      <c r="AK102" s="152">
        <v>6</v>
      </c>
      <c r="AL102" s="152">
        <v>1</v>
      </c>
      <c r="AM102" s="152"/>
      <c r="AN102" s="152"/>
      <c r="AO102" s="152"/>
      <c r="AP102" s="152">
        <v>1</v>
      </c>
      <c r="AQ102" s="152">
        <v>7</v>
      </c>
      <c r="AR102" s="152">
        <v>18</v>
      </c>
      <c r="AS102" s="152"/>
      <c r="AT102" s="152"/>
      <c r="AU102" s="152">
        <v>18</v>
      </c>
      <c r="AV102" s="152">
        <v>6</v>
      </c>
      <c r="AW102" s="152">
        <v>2</v>
      </c>
      <c r="AX102" s="152"/>
      <c r="AY102" s="152"/>
      <c r="AZ102" s="152">
        <v>8</v>
      </c>
      <c r="BA102" s="152">
        <v>26</v>
      </c>
      <c r="BB102" s="152">
        <v>1</v>
      </c>
      <c r="BC102" s="152"/>
      <c r="BD102" s="152">
        <v>1</v>
      </c>
      <c r="BE102" s="152"/>
      <c r="BF102" s="152"/>
      <c r="BG102" s="152"/>
      <c r="BH102" s="152"/>
      <c r="BI102" s="152">
        <v>0</v>
      </c>
      <c r="BJ102" s="152">
        <v>1</v>
      </c>
      <c r="BK102" s="152"/>
      <c r="BL102" s="152"/>
      <c r="BM102" s="152"/>
      <c r="BN102" s="152">
        <v>0</v>
      </c>
      <c r="BO102" s="152">
        <v>0</v>
      </c>
      <c r="BP102" s="152">
        <v>654</v>
      </c>
    </row>
    <row r="103" spans="1:68" x14ac:dyDescent="0.35">
      <c r="A103" s="146" t="s">
        <v>488</v>
      </c>
      <c r="B103" s="146" t="s">
        <v>489</v>
      </c>
      <c r="C103" s="152">
        <v>85</v>
      </c>
      <c r="D103" s="152">
        <v>2</v>
      </c>
      <c r="E103" s="152"/>
      <c r="F103" s="152"/>
      <c r="G103" s="152">
        <v>87</v>
      </c>
      <c r="H103" s="152">
        <v>63</v>
      </c>
      <c r="I103" s="152">
        <v>20</v>
      </c>
      <c r="J103" s="152">
        <v>3</v>
      </c>
      <c r="K103" s="152"/>
      <c r="L103" s="152">
        <v>86</v>
      </c>
      <c r="M103" s="152">
        <v>173</v>
      </c>
      <c r="N103" s="152">
        <v>2</v>
      </c>
      <c r="O103" s="152"/>
      <c r="P103" s="152"/>
      <c r="Q103" s="152">
        <v>2</v>
      </c>
      <c r="R103" s="152"/>
      <c r="S103" s="152"/>
      <c r="T103" s="152"/>
      <c r="U103" s="152"/>
      <c r="V103" s="152">
        <v>0</v>
      </c>
      <c r="W103" s="152">
        <v>2</v>
      </c>
      <c r="X103" s="152">
        <v>1</v>
      </c>
      <c r="Y103" s="152"/>
      <c r="Z103" s="152"/>
      <c r="AA103" s="152">
        <v>1</v>
      </c>
      <c r="AB103" s="152"/>
      <c r="AC103" s="152"/>
      <c r="AD103" s="152"/>
      <c r="AE103" s="152"/>
      <c r="AF103" s="152">
        <v>0</v>
      </c>
      <c r="AG103" s="152">
        <v>1</v>
      </c>
      <c r="AH103" s="152">
        <v>2</v>
      </c>
      <c r="AI103" s="152"/>
      <c r="AJ103" s="152"/>
      <c r="AK103" s="152">
        <v>2</v>
      </c>
      <c r="AL103" s="152"/>
      <c r="AM103" s="152"/>
      <c r="AN103" s="152"/>
      <c r="AO103" s="152"/>
      <c r="AP103" s="152">
        <v>0</v>
      </c>
      <c r="AQ103" s="152">
        <v>2</v>
      </c>
      <c r="AR103" s="152">
        <v>10</v>
      </c>
      <c r="AS103" s="152"/>
      <c r="AT103" s="152"/>
      <c r="AU103" s="152">
        <v>10</v>
      </c>
      <c r="AV103" s="152">
        <v>1</v>
      </c>
      <c r="AW103" s="152"/>
      <c r="AX103" s="152"/>
      <c r="AY103" s="152"/>
      <c r="AZ103" s="152">
        <v>1</v>
      </c>
      <c r="BA103" s="152">
        <v>11</v>
      </c>
      <c r="BB103" s="152">
        <v>3</v>
      </c>
      <c r="BC103" s="152"/>
      <c r="BD103" s="152">
        <v>3</v>
      </c>
      <c r="BE103" s="152"/>
      <c r="BF103" s="152"/>
      <c r="BG103" s="152"/>
      <c r="BH103" s="152"/>
      <c r="BI103" s="152">
        <v>0</v>
      </c>
      <c r="BJ103" s="152">
        <v>3</v>
      </c>
      <c r="BK103" s="152"/>
      <c r="BL103" s="152"/>
      <c r="BM103" s="152"/>
      <c r="BN103" s="152">
        <v>0</v>
      </c>
      <c r="BO103" s="152">
        <v>0</v>
      </c>
      <c r="BP103" s="152">
        <v>192</v>
      </c>
    </row>
    <row r="104" spans="1:68" x14ac:dyDescent="0.35">
      <c r="A104" s="146" t="s">
        <v>490</v>
      </c>
      <c r="B104" s="146" t="s">
        <v>1224</v>
      </c>
      <c r="C104" s="152"/>
      <c r="D104" s="152"/>
      <c r="E104" s="152"/>
      <c r="F104" s="152"/>
      <c r="G104" s="152">
        <v>0</v>
      </c>
      <c r="H104" s="152">
        <v>3</v>
      </c>
      <c r="I104" s="152">
        <v>1</v>
      </c>
      <c r="J104" s="152"/>
      <c r="K104" s="152"/>
      <c r="L104" s="152">
        <v>4</v>
      </c>
      <c r="M104" s="152">
        <v>4</v>
      </c>
      <c r="N104" s="152"/>
      <c r="O104" s="152"/>
      <c r="P104" s="152"/>
      <c r="Q104" s="152">
        <v>0</v>
      </c>
      <c r="R104" s="152"/>
      <c r="S104" s="152"/>
      <c r="T104" s="152"/>
      <c r="U104" s="152"/>
      <c r="V104" s="152">
        <v>0</v>
      </c>
      <c r="W104" s="152">
        <v>0</v>
      </c>
      <c r="X104" s="152"/>
      <c r="Y104" s="152"/>
      <c r="Z104" s="152"/>
      <c r="AA104" s="152">
        <v>0</v>
      </c>
      <c r="AB104" s="152"/>
      <c r="AC104" s="152"/>
      <c r="AD104" s="152"/>
      <c r="AE104" s="152"/>
      <c r="AF104" s="152">
        <v>0</v>
      </c>
      <c r="AG104" s="152">
        <v>0</v>
      </c>
      <c r="AH104" s="152"/>
      <c r="AI104" s="152"/>
      <c r="AJ104" s="152"/>
      <c r="AK104" s="152">
        <v>0</v>
      </c>
      <c r="AL104" s="152"/>
      <c r="AM104" s="152"/>
      <c r="AN104" s="152"/>
      <c r="AO104" s="152"/>
      <c r="AP104" s="152">
        <v>0</v>
      </c>
      <c r="AQ104" s="152">
        <v>0</v>
      </c>
      <c r="AR104" s="152"/>
      <c r="AS104" s="152"/>
      <c r="AT104" s="152"/>
      <c r="AU104" s="152">
        <v>0</v>
      </c>
      <c r="AV104" s="152"/>
      <c r="AW104" s="152"/>
      <c r="AX104" s="152"/>
      <c r="AY104" s="152"/>
      <c r="AZ104" s="152">
        <v>0</v>
      </c>
      <c r="BA104" s="152">
        <v>0</v>
      </c>
      <c r="BB104" s="152"/>
      <c r="BC104" s="152"/>
      <c r="BD104" s="152">
        <v>0</v>
      </c>
      <c r="BE104" s="152"/>
      <c r="BF104" s="152"/>
      <c r="BG104" s="152"/>
      <c r="BH104" s="152"/>
      <c r="BI104" s="152">
        <v>0</v>
      </c>
      <c r="BJ104" s="152">
        <v>0</v>
      </c>
      <c r="BK104" s="152"/>
      <c r="BL104" s="152"/>
      <c r="BM104" s="152"/>
      <c r="BN104" s="152">
        <v>0</v>
      </c>
      <c r="BO104" s="152">
        <v>0</v>
      </c>
      <c r="BP104" s="152">
        <v>4</v>
      </c>
    </row>
    <row r="105" spans="1:68" x14ac:dyDescent="0.35">
      <c r="A105" s="146" t="s">
        <v>1330</v>
      </c>
      <c r="B105" s="146" t="s">
        <v>1331</v>
      </c>
      <c r="C105" s="152"/>
      <c r="D105" s="152"/>
      <c r="E105" s="152"/>
      <c r="F105" s="152"/>
      <c r="G105" s="152">
        <v>0</v>
      </c>
      <c r="H105" s="152">
        <v>1</v>
      </c>
      <c r="I105" s="152"/>
      <c r="J105" s="152"/>
      <c r="K105" s="152"/>
      <c r="L105" s="152">
        <v>1</v>
      </c>
      <c r="M105" s="152">
        <v>1</v>
      </c>
      <c r="N105" s="152"/>
      <c r="O105" s="152"/>
      <c r="P105" s="152"/>
      <c r="Q105" s="152">
        <v>0</v>
      </c>
      <c r="R105" s="152"/>
      <c r="S105" s="152"/>
      <c r="T105" s="152"/>
      <c r="U105" s="152"/>
      <c r="V105" s="152">
        <v>0</v>
      </c>
      <c r="W105" s="152">
        <v>0</v>
      </c>
      <c r="X105" s="152"/>
      <c r="Y105" s="152"/>
      <c r="Z105" s="152"/>
      <c r="AA105" s="152">
        <v>0</v>
      </c>
      <c r="AB105" s="152"/>
      <c r="AC105" s="152"/>
      <c r="AD105" s="152"/>
      <c r="AE105" s="152"/>
      <c r="AF105" s="152">
        <v>0</v>
      </c>
      <c r="AG105" s="152">
        <v>0</v>
      </c>
      <c r="AH105" s="152"/>
      <c r="AI105" s="152"/>
      <c r="AJ105" s="152"/>
      <c r="AK105" s="152">
        <v>0</v>
      </c>
      <c r="AL105" s="152"/>
      <c r="AM105" s="152"/>
      <c r="AN105" s="152"/>
      <c r="AO105" s="152"/>
      <c r="AP105" s="152">
        <v>0</v>
      </c>
      <c r="AQ105" s="152">
        <v>0</v>
      </c>
      <c r="AR105" s="152"/>
      <c r="AS105" s="152"/>
      <c r="AT105" s="152"/>
      <c r="AU105" s="152">
        <v>0</v>
      </c>
      <c r="AV105" s="152"/>
      <c r="AW105" s="152"/>
      <c r="AX105" s="152"/>
      <c r="AY105" s="152"/>
      <c r="AZ105" s="152">
        <v>0</v>
      </c>
      <c r="BA105" s="152">
        <v>0</v>
      </c>
      <c r="BB105" s="152"/>
      <c r="BC105" s="152"/>
      <c r="BD105" s="152">
        <v>0</v>
      </c>
      <c r="BE105" s="152"/>
      <c r="BF105" s="152"/>
      <c r="BG105" s="152"/>
      <c r="BH105" s="152"/>
      <c r="BI105" s="152">
        <v>0</v>
      </c>
      <c r="BJ105" s="152">
        <v>0</v>
      </c>
      <c r="BK105" s="152"/>
      <c r="BL105" s="152"/>
      <c r="BM105" s="152"/>
      <c r="BN105" s="152">
        <v>0</v>
      </c>
      <c r="BO105" s="152">
        <v>0</v>
      </c>
      <c r="BP105" s="152">
        <v>1</v>
      </c>
    </row>
    <row r="106" spans="1:68" x14ac:dyDescent="0.35">
      <c r="A106" s="146" t="s">
        <v>491</v>
      </c>
      <c r="B106" s="146" t="s">
        <v>492</v>
      </c>
      <c r="C106" s="152">
        <v>9</v>
      </c>
      <c r="D106" s="152"/>
      <c r="E106" s="152"/>
      <c r="F106" s="152"/>
      <c r="G106" s="152">
        <v>9</v>
      </c>
      <c r="H106" s="152">
        <v>8</v>
      </c>
      <c r="I106" s="152">
        <v>1</v>
      </c>
      <c r="J106" s="152">
        <v>2</v>
      </c>
      <c r="K106" s="152"/>
      <c r="L106" s="152">
        <v>11</v>
      </c>
      <c r="M106" s="152">
        <v>20</v>
      </c>
      <c r="N106" s="152"/>
      <c r="O106" s="152"/>
      <c r="P106" s="152"/>
      <c r="Q106" s="152">
        <v>0</v>
      </c>
      <c r="R106" s="152"/>
      <c r="S106" s="152"/>
      <c r="T106" s="152"/>
      <c r="U106" s="152"/>
      <c r="V106" s="152">
        <v>0</v>
      </c>
      <c r="W106" s="152">
        <v>0</v>
      </c>
      <c r="X106" s="152"/>
      <c r="Y106" s="152"/>
      <c r="Z106" s="152"/>
      <c r="AA106" s="152">
        <v>0</v>
      </c>
      <c r="AB106" s="152"/>
      <c r="AC106" s="152"/>
      <c r="AD106" s="152"/>
      <c r="AE106" s="152"/>
      <c r="AF106" s="152">
        <v>0</v>
      </c>
      <c r="AG106" s="152">
        <v>0</v>
      </c>
      <c r="AH106" s="152"/>
      <c r="AI106" s="152"/>
      <c r="AJ106" s="152"/>
      <c r="AK106" s="152">
        <v>0</v>
      </c>
      <c r="AL106" s="152"/>
      <c r="AM106" s="152"/>
      <c r="AN106" s="152"/>
      <c r="AO106" s="152"/>
      <c r="AP106" s="152">
        <v>0</v>
      </c>
      <c r="AQ106" s="152">
        <v>0</v>
      </c>
      <c r="AR106" s="152"/>
      <c r="AS106" s="152"/>
      <c r="AT106" s="152"/>
      <c r="AU106" s="152">
        <v>0</v>
      </c>
      <c r="AV106" s="152"/>
      <c r="AW106" s="152"/>
      <c r="AX106" s="152"/>
      <c r="AY106" s="152"/>
      <c r="AZ106" s="152">
        <v>0</v>
      </c>
      <c r="BA106" s="152">
        <v>0</v>
      </c>
      <c r="BB106" s="152"/>
      <c r="BC106" s="152"/>
      <c r="BD106" s="152">
        <v>0</v>
      </c>
      <c r="BE106" s="152"/>
      <c r="BF106" s="152">
        <v>1</v>
      </c>
      <c r="BG106" s="152"/>
      <c r="BH106" s="152"/>
      <c r="BI106" s="152">
        <v>1</v>
      </c>
      <c r="BJ106" s="152">
        <v>1</v>
      </c>
      <c r="BK106" s="152"/>
      <c r="BL106" s="152"/>
      <c r="BM106" s="152"/>
      <c r="BN106" s="152">
        <v>0</v>
      </c>
      <c r="BO106" s="152">
        <v>0</v>
      </c>
      <c r="BP106" s="152">
        <v>21</v>
      </c>
    </row>
    <row r="107" spans="1:68" x14ac:dyDescent="0.35">
      <c r="A107" s="146" t="s">
        <v>495</v>
      </c>
      <c r="B107" s="146" t="s">
        <v>496</v>
      </c>
      <c r="C107" s="152">
        <v>9</v>
      </c>
      <c r="D107" s="152"/>
      <c r="E107" s="152"/>
      <c r="F107" s="152"/>
      <c r="G107" s="152">
        <v>9</v>
      </c>
      <c r="H107" s="152">
        <v>21</v>
      </c>
      <c r="I107" s="152">
        <v>8</v>
      </c>
      <c r="J107" s="152">
        <v>5</v>
      </c>
      <c r="K107" s="152">
        <v>1</v>
      </c>
      <c r="L107" s="152">
        <v>35</v>
      </c>
      <c r="M107" s="152">
        <v>44</v>
      </c>
      <c r="N107" s="152"/>
      <c r="O107" s="152"/>
      <c r="P107" s="152"/>
      <c r="Q107" s="152">
        <v>0</v>
      </c>
      <c r="R107" s="152"/>
      <c r="S107" s="152"/>
      <c r="T107" s="152"/>
      <c r="U107" s="152"/>
      <c r="V107" s="152">
        <v>0</v>
      </c>
      <c r="W107" s="152">
        <v>0</v>
      </c>
      <c r="X107" s="152"/>
      <c r="Y107" s="152"/>
      <c r="Z107" s="152"/>
      <c r="AA107" s="152">
        <v>0</v>
      </c>
      <c r="AB107" s="152"/>
      <c r="AC107" s="152"/>
      <c r="AD107" s="152"/>
      <c r="AE107" s="152"/>
      <c r="AF107" s="152">
        <v>0</v>
      </c>
      <c r="AG107" s="152">
        <v>0</v>
      </c>
      <c r="AH107" s="152">
        <v>1</v>
      </c>
      <c r="AI107" s="152"/>
      <c r="AJ107" s="152"/>
      <c r="AK107" s="152">
        <v>1</v>
      </c>
      <c r="AL107" s="152"/>
      <c r="AM107" s="152"/>
      <c r="AN107" s="152"/>
      <c r="AO107" s="152"/>
      <c r="AP107" s="152">
        <v>0</v>
      </c>
      <c r="AQ107" s="152">
        <v>1</v>
      </c>
      <c r="AR107" s="152"/>
      <c r="AS107" s="152"/>
      <c r="AT107" s="152"/>
      <c r="AU107" s="152">
        <v>0</v>
      </c>
      <c r="AV107" s="152">
        <v>7</v>
      </c>
      <c r="AW107" s="152"/>
      <c r="AX107" s="152"/>
      <c r="AY107" s="152">
        <v>1</v>
      </c>
      <c r="AZ107" s="152">
        <v>8</v>
      </c>
      <c r="BA107" s="152">
        <v>8</v>
      </c>
      <c r="BB107" s="152"/>
      <c r="BC107" s="152"/>
      <c r="BD107" s="152">
        <v>0</v>
      </c>
      <c r="BE107" s="152"/>
      <c r="BF107" s="152"/>
      <c r="BG107" s="152"/>
      <c r="BH107" s="152"/>
      <c r="BI107" s="152">
        <v>0</v>
      </c>
      <c r="BJ107" s="152">
        <v>0</v>
      </c>
      <c r="BK107" s="152"/>
      <c r="BL107" s="152"/>
      <c r="BM107" s="152"/>
      <c r="BN107" s="152">
        <v>0</v>
      </c>
      <c r="BO107" s="152">
        <v>0</v>
      </c>
      <c r="BP107" s="152">
        <v>53</v>
      </c>
    </row>
    <row r="108" spans="1:68" x14ac:dyDescent="0.35">
      <c r="A108" s="146" t="s">
        <v>497</v>
      </c>
      <c r="B108" s="146" t="s">
        <v>498</v>
      </c>
      <c r="C108" s="152">
        <v>1</v>
      </c>
      <c r="D108" s="152"/>
      <c r="E108" s="152"/>
      <c r="F108" s="152"/>
      <c r="G108" s="152">
        <v>1</v>
      </c>
      <c r="H108" s="152">
        <v>8</v>
      </c>
      <c r="I108" s="152">
        <v>6</v>
      </c>
      <c r="J108" s="152">
        <v>1</v>
      </c>
      <c r="K108" s="152"/>
      <c r="L108" s="152">
        <v>15</v>
      </c>
      <c r="M108" s="152">
        <v>16</v>
      </c>
      <c r="N108" s="152">
        <v>1</v>
      </c>
      <c r="O108" s="152"/>
      <c r="P108" s="152"/>
      <c r="Q108" s="152">
        <v>1</v>
      </c>
      <c r="R108" s="152">
        <v>1</v>
      </c>
      <c r="S108" s="152"/>
      <c r="T108" s="152"/>
      <c r="U108" s="152"/>
      <c r="V108" s="152">
        <v>1</v>
      </c>
      <c r="W108" s="152">
        <v>2</v>
      </c>
      <c r="X108" s="152">
        <v>2</v>
      </c>
      <c r="Y108" s="152"/>
      <c r="Z108" s="152"/>
      <c r="AA108" s="152">
        <v>2</v>
      </c>
      <c r="AB108" s="152">
        <v>3</v>
      </c>
      <c r="AC108" s="152">
        <v>5</v>
      </c>
      <c r="AD108" s="152">
        <v>1</v>
      </c>
      <c r="AE108" s="152"/>
      <c r="AF108" s="152">
        <v>9</v>
      </c>
      <c r="AG108" s="152">
        <v>11</v>
      </c>
      <c r="AH108" s="152"/>
      <c r="AI108" s="152"/>
      <c r="AJ108" s="152"/>
      <c r="AK108" s="152">
        <v>0</v>
      </c>
      <c r="AL108" s="152"/>
      <c r="AM108" s="152"/>
      <c r="AN108" s="152"/>
      <c r="AO108" s="152"/>
      <c r="AP108" s="152">
        <v>0</v>
      </c>
      <c r="AQ108" s="152">
        <v>0</v>
      </c>
      <c r="AR108" s="152">
        <v>1</v>
      </c>
      <c r="AS108" s="152">
        <v>1</v>
      </c>
      <c r="AT108" s="152"/>
      <c r="AU108" s="152">
        <v>2</v>
      </c>
      <c r="AV108" s="152">
        <v>1</v>
      </c>
      <c r="AW108" s="152">
        <v>2</v>
      </c>
      <c r="AX108" s="152"/>
      <c r="AY108" s="152"/>
      <c r="AZ108" s="152">
        <v>3</v>
      </c>
      <c r="BA108" s="152">
        <v>5</v>
      </c>
      <c r="BB108" s="152"/>
      <c r="BC108" s="152"/>
      <c r="BD108" s="152">
        <v>0</v>
      </c>
      <c r="BE108" s="152"/>
      <c r="BF108" s="152"/>
      <c r="BG108" s="152"/>
      <c r="BH108" s="152"/>
      <c r="BI108" s="152">
        <v>0</v>
      </c>
      <c r="BJ108" s="152">
        <v>0</v>
      </c>
      <c r="BK108" s="152"/>
      <c r="BL108" s="152"/>
      <c r="BM108" s="152"/>
      <c r="BN108" s="152">
        <v>0</v>
      </c>
      <c r="BO108" s="152">
        <v>0</v>
      </c>
      <c r="BP108" s="152">
        <v>34</v>
      </c>
    </row>
    <row r="109" spans="1:68" x14ac:dyDescent="0.35">
      <c r="A109" s="146" t="s">
        <v>499</v>
      </c>
      <c r="B109" s="146" t="s">
        <v>500</v>
      </c>
      <c r="C109" s="152">
        <v>18</v>
      </c>
      <c r="D109" s="152"/>
      <c r="E109" s="152"/>
      <c r="F109" s="152"/>
      <c r="G109" s="152">
        <v>18</v>
      </c>
      <c r="H109" s="152">
        <v>13</v>
      </c>
      <c r="I109" s="152">
        <v>5</v>
      </c>
      <c r="J109" s="152">
        <v>1</v>
      </c>
      <c r="K109" s="152"/>
      <c r="L109" s="152">
        <v>19</v>
      </c>
      <c r="M109" s="152">
        <v>37</v>
      </c>
      <c r="N109" s="152">
        <v>1</v>
      </c>
      <c r="O109" s="152"/>
      <c r="P109" s="152"/>
      <c r="Q109" s="152">
        <v>1</v>
      </c>
      <c r="R109" s="152">
        <v>1</v>
      </c>
      <c r="S109" s="152"/>
      <c r="T109" s="152"/>
      <c r="U109" s="152"/>
      <c r="V109" s="152">
        <v>1</v>
      </c>
      <c r="W109" s="152">
        <v>2</v>
      </c>
      <c r="X109" s="152"/>
      <c r="Y109" s="152"/>
      <c r="Z109" s="152"/>
      <c r="AA109" s="152">
        <v>0</v>
      </c>
      <c r="AB109" s="152"/>
      <c r="AC109" s="152"/>
      <c r="AD109" s="152"/>
      <c r="AE109" s="152"/>
      <c r="AF109" s="152">
        <v>0</v>
      </c>
      <c r="AG109" s="152">
        <v>0</v>
      </c>
      <c r="AH109" s="152"/>
      <c r="AI109" s="152"/>
      <c r="AJ109" s="152"/>
      <c r="AK109" s="152">
        <v>0</v>
      </c>
      <c r="AL109" s="152"/>
      <c r="AM109" s="152"/>
      <c r="AN109" s="152"/>
      <c r="AO109" s="152"/>
      <c r="AP109" s="152">
        <v>0</v>
      </c>
      <c r="AQ109" s="152">
        <v>0</v>
      </c>
      <c r="AR109" s="152">
        <v>3</v>
      </c>
      <c r="AS109" s="152"/>
      <c r="AT109" s="152"/>
      <c r="AU109" s="152">
        <v>3</v>
      </c>
      <c r="AV109" s="152"/>
      <c r="AW109" s="152">
        <v>3</v>
      </c>
      <c r="AX109" s="152"/>
      <c r="AY109" s="152"/>
      <c r="AZ109" s="152">
        <v>3</v>
      </c>
      <c r="BA109" s="152">
        <v>6</v>
      </c>
      <c r="BB109" s="152"/>
      <c r="BC109" s="152"/>
      <c r="BD109" s="152">
        <v>0</v>
      </c>
      <c r="BE109" s="152"/>
      <c r="BF109" s="152"/>
      <c r="BG109" s="152"/>
      <c r="BH109" s="152"/>
      <c r="BI109" s="152">
        <v>0</v>
      </c>
      <c r="BJ109" s="152">
        <v>0</v>
      </c>
      <c r="BK109" s="152"/>
      <c r="BL109" s="152"/>
      <c r="BM109" s="152"/>
      <c r="BN109" s="152">
        <v>0</v>
      </c>
      <c r="BO109" s="152">
        <v>0</v>
      </c>
      <c r="BP109" s="152">
        <v>45</v>
      </c>
    </row>
    <row r="110" spans="1:68" x14ac:dyDescent="0.35">
      <c r="A110" s="146" t="s">
        <v>501</v>
      </c>
      <c r="B110" s="146" t="s">
        <v>502</v>
      </c>
      <c r="C110" s="152">
        <v>2</v>
      </c>
      <c r="D110" s="152"/>
      <c r="E110" s="152"/>
      <c r="F110" s="152"/>
      <c r="G110" s="152">
        <v>2</v>
      </c>
      <c r="H110" s="152">
        <v>1</v>
      </c>
      <c r="I110" s="152">
        <v>2</v>
      </c>
      <c r="J110" s="152"/>
      <c r="K110" s="152"/>
      <c r="L110" s="152">
        <v>3</v>
      </c>
      <c r="M110" s="152">
        <v>5</v>
      </c>
      <c r="N110" s="152"/>
      <c r="O110" s="152"/>
      <c r="P110" s="152"/>
      <c r="Q110" s="152">
        <v>0</v>
      </c>
      <c r="R110" s="152"/>
      <c r="S110" s="152"/>
      <c r="T110" s="152"/>
      <c r="U110" s="152"/>
      <c r="V110" s="152">
        <v>0</v>
      </c>
      <c r="W110" s="152">
        <v>0</v>
      </c>
      <c r="X110" s="152"/>
      <c r="Y110" s="152"/>
      <c r="Z110" s="152"/>
      <c r="AA110" s="152">
        <v>0</v>
      </c>
      <c r="AB110" s="152"/>
      <c r="AC110" s="152"/>
      <c r="AD110" s="152"/>
      <c r="AE110" s="152"/>
      <c r="AF110" s="152">
        <v>0</v>
      </c>
      <c r="AG110" s="152">
        <v>0</v>
      </c>
      <c r="AH110" s="152">
        <v>1</v>
      </c>
      <c r="AI110" s="152"/>
      <c r="AJ110" s="152"/>
      <c r="AK110" s="152">
        <v>1</v>
      </c>
      <c r="AL110" s="152"/>
      <c r="AM110" s="152">
        <v>2</v>
      </c>
      <c r="AN110" s="152"/>
      <c r="AO110" s="152"/>
      <c r="AP110" s="152">
        <v>2</v>
      </c>
      <c r="AQ110" s="152">
        <v>3</v>
      </c>
      <c r="AR110" s="152"/>
      <c r="AS110" s="152"/>
      <c r="AT110" s="152"/>
      <c r="AU110" s="152">
        <v>0</v>
      </c>
      <c r="AV110" s="152"/>
      <c r="AW110" s="152"/>
      <c r="AX110" s="152"/>
      <c r="AY110" s="152"/>
      <c r="AZ110" s="152">
        <v>0</v>
      </c>
      <c r="BA110" s="152">
        <v>0</v>
      </c>
      <c r="BB110" s="152"/>
      <c r="BC110" s="152"/>
      <c r="BD110" s="152">
        <v>0</v>
      </c>
      <c r="BE110" s="152"/>
      <c r="BF110" s="152"/>
      <c r="BG110" s="152"/>
      <c r="BH110" s="152"/>
      <c r="BI110" s="152">
        <v>0</v>
      </c>
      <c r="BJ110" s="152">
        <v>0</v>
      </c>
      <c r="BK110" s="152"/>
      <c r="BL110" s="152"/>
      <c r="BM110" s="152"/>
      <c r="BN110" s="152">
        <v>0</v>
      </c>
      <c r="BO110" s="152">
        <v>0</v>
      </c>
      <c r="BP110" s="152">
        <v>8</v>
      </c>
    </row>
    <row r="111" spans="1:68" x14ac:dyDescent="0.35">
      <c r="A111" s="146" t="s">
        <v>503</v>
      </c>
      <c r="B111" s="146" t="s">
        <v>504</v>
      </c>
      <c r="C111" s="152">
        <v>6</v>
      </c>
      <c r="D111" s="152"/>
      <c r="E111" s="152"/>
      <c r="F111" s="152"/>
      <c r="G111" s="152">
        <v>6</v>
      </c>
      <c r="H111" s="152">
        <v>5</v>
      </c>
      <c r="I111" s="152">
        <v>3</v>
      </c>
      <c r="J111" s="152">
        <v>1</v>
      </c>
      <c r="K111" s="152"/>
      <c r="L111" s="152">
        <v>9</v>
      </c>
      <c r="M111" s="152">
        <v>15</v>
      </c>
      <c r="N111" s="152">
        <v>1</v>
      </c>
      <c r="O111" s="152"/>
      <c r="P111" s="152"/>
      <c r="Q111" s="152">
        <v>1</v>
      </c>
      <c r="R111" s="152"/>
      <c r="S111" s="152"/>
      <c r="T111" s="152"/>
      <c r="U111" s="152"/>
      <c r="V111" s="152">
        <v>0</v>
      </c>
      <c r="W111" s="152">
        <v>1</v>
      </c>
      <c r="X111" s="152">
        <v>1</v>
      </c>
      <c r="Y111" s="152"/>
      <c r="Z111" s="152"/>
      <c r="AA111" s="152">
        <v>1</v>
      </c>
      <c r="AB111" s="152">
        <v>1</v>
      </c>
      <c r="AC111" s="152"/>
      <c r="AD111" s="152"/>
      <c r="AE111" s="152"/>
      <c r="AF111" s="152">
        <v>1</v>
      </c>
      <c r="AG111" s="152">
        <v>2</v>
      </c>
      <c r="AH111" s="152"/>
      <c r="AI111" s="152"/>
      <c r="AJ111" s="152"/>
      <c r="AK111" s="152">
        <v>0</v>
      </c>
      <c r="AL111" s="152"/>
      <c r="AM111" s="152"/>
      <c r="AN111" s="152"/>
      <c r="AO111" s="152"/>
      <c r="AP111" s="152">
        <v>0</v>
      </c>
      <c r="AQ111" s="152">
        <v>0</v>
      </c>
      <c r="AR111" s="152">
        <v>2</v>
      </c>
      <c r="AS111" s="152"/>
      <c r="AT111" s="152"/>
      <c r="AU111" s="152">
        <v>2</v>
      </c>
      <c r="AV111" s="152">
        <v>2</v>
      </c>
      <c r="AW111" s="152">
        <v>1</v>
      </c>
      <c r="AX111" s="152"/>
      <c r="AY111" s="152"/>
      <c r="AZ111" s="152">
        <v>3</v>
      </c>
      <c r="BA111" s="152">
        <v>5</v>
      </c>
      <c r="BB111" s="152"/>
      <c r="BC111" s="152"/>
      <c r="BD111" s="152">
        <v>0</v>
      </c>
      <c r="BE111" s="152"/>
      <c r="BF111" s="152"/>
      <c r="BG111" s="152"/>
      <c r="BH111" s="152"/>
      <c r="BI111" s="152">
        <v>0</v>
      </c>
      <c r="BJ111" s="152">
        <v>0</v>
      </c>
      <c r="BK111" s="152"/>
      <c r="BL111" s="152"/>
      <c r="BM111" s="152"/>
      <c r="BN111" s="152">
        <v>0</v>
      </c>
      <c r="BO111" s="152">
        <v>0</v>
      </c>
      <c r="BP111" s="152">
        <v>23</v>
      </c>
    </row>
    <row r="112" spans="1:68" x14ac:dyDescent="0.35">
      <c r="A112" s="146" t="s">
        <v>505</v>
      </c>
      <c r="B112" s="146" t="s">
        <v>506</v>
      </c>
      <c r="C112" s="152">
        <v>13</v>
      </c>
      <c r="D112" s="152">
        <v>1</v>
      </c>
      <c r="E112" s="152"/>
      <c r="F112" s="152"/>
      <c r="G112" s="152">
        <v>14</v>
      </c>
      <c r="H112" s="152">
        <v>30</v>
      </c>
      <c r="I112" s="152">
        <v>4</v>
      </c>
      <c r="J112" s="152">
        <v>4</v>
      </c>
      <c r="K112" s="152">
        <v>3</v>
      </c>
      <c r="L112" s="152">
        <v>41</v>
      </c>
      <c r="M112" s="152">
        <v>55</v>
      </c>
      <c r="N112" s="152">
        <v>1</v>
      </c>
      <c r="O112" s="152"/>
      <c r="P112" s="152"/>
      <c r="Q112" s="152">
        <v>1</v>
      </c>
      <c r="R112" s="152"/>
      <c r="S112" s="152"/>
      <c r="T112" s="152"/>
      <c r="U112" s="152"/>
      <c r="V112" s="152">
        <v>0</v>
      </c>
      <c r="W112" s="152">
        <v>1</v>
      </c>
      <c r="X112" s="152">
        <v>1</v>
      </c>
      <c r="Y112" s="152"/>
      <c r="Z112" s="152"/>
      <c r="AA112" s="152">
        <v>1</v>
      </c>
      <c r="AB112" s="152"/>
      <c r="AC112" s="152"/>
      <c r="AD112" s="152"/>
      <c r="AE112" s="152"/>
      <c r="AF112" s="152">
        <v>0</v>
      </c>
      <c r="AG112" s="152">
        <v>1</v>
      </c>
      <c r="AH112" s="152"/>
      <c r="AI112" s="152"/>
      <c r="AJ112" s="152"/>
      <c r="AK112" s="152">
        <v>0</v>
      </c>
      <c r="AL112" s="152"/>
      <c r="AM112" s="152"/>
      <c r="AN112" s="152"/>
      <c r="AO112" s="152"/>
      <c r="AP112" s="152">
        <v>0</v>
      </c>
      <c r="AQ112" s="152">
        <v>0</v>
      </c>
      <c r="AR112" s="152">
        <v>4</v>
      </c>
      <c r="AS112" s="152"/>
      <c r="AT112" s="152"/>
      <c r="AU112" s="152">
        <v>4</v>
      </c>
      <c r="AV112" s="152">
        <v>7</v>
      </c>
      <c r="AW112" s="152">
        <v>2</v>
      </c>
      <c r="AX112" s="152">
        <v>1</v>
      </c>
      <c r="AY112" s="152"/>
      <c r="AZ112" s="152">
        <v>10</v>
      </c>
      <c r="BA112" s="152">
        <v>14</v>
      </c>
      <c r="BB112" s="152">
        <v>2</v>
      </c>
      <c r="BC112" s="152"/>
      <c r="BD112" s="152">
        <v>2</v>
      </c>
      <c r="BE112" s="152">
        <v>1</v>
      </c>
      <c r="BF112" s="152"/>
      <c r="BG112" s="152"/>
      <c r="BH112" s="152"/>
      <c r="BI112" s="152">
        <v>1</v>
      </c>
      <c r="BJ112" s="152">
        <v>3</v>
      </c>
      <c r="BK112" s="152"/>
      <c r="BL112" s="152"/>
      <c r="BM112" s="152"/>
      <c r="BN112" s="152">
        <v>0</v>
      </c>
      <c r="BO112" s="152">
        <v>0</v>
      </c>
      <c r="BP112" s="152">
        <v>74</v>
      </c>
    </row>
    <row r="113" spans="1:68" x14ac:dyDescent="0.35">
      <c r="A113" s="146" t="s">
        <v>507</v>
      </c>
      <c r="B113" s="146" t="s">
        <v>1369</v>
      </c>
      <c r="C113" s="152">
        <v>98</v>
      </c>
      <c r="D113" s="152"/>
      <c r="E113" s="152">
        <v>1</v>
      </c>
      <c r="F113" s="152"/>
      <c r="G113" s="152">
        <v>99</v>
      </c>
      <c r="H113" s="152">
        <v>102</v>
      </c>
      <c r="I113" s="152">
        <v>24</v>
      </c>
      <c r="J113" s="152">
        <v>4</v>
      </c>
      <c r="K113" s="152">
        <v>2</v>
      </c>
      <c r="L113" s="152">
        <v>132</v>
      </c>
      <c r="M113" s="152">
        <v>231</v>
      </c>
      <c r="N113" s="152">
        <v>5</v>
      </c>
      <c r="O113" s="152"/>
      <c r="P113" s="152"/>
      <c r="Q113" s="152">
        <v>5</v>
      </c>
      <c r="R113" s="152">
        <v>1</v>
      </c>
      <c r="S113" s="152">
        <v>1</v>
      </c>
      <c r="T113" s="152"/>
      <c r="U113" s="152"/>
      <c r="V113" s="152">
        <v>2</v>
      </c>
      <c r="W113" s="152">
        <v>7</v>
      </c>
      <c r="X113" s="152">
        <v>1</v>
      </c>
      <c r="Y113" s="152"/>
      <c r="Z113" s="152"/>
      <c r="AA113" s="152">
        <v>1</v>
      </c>
      <c r="AB113" s="152">
        <v>1</v>
      </c>
      <c r="AC113" s="152"/>
      <c r="AD113" s="152"/>
      <c r="AE113" s="152"/>
      <c r="AF113" s="152">
        <v>1</v>
      </c>
      <c r="AG113" s="152">
        <v>2</v>
      </c>
      <c r="AH113" s="152">
        <v>5</v>
      </c>
      <c r="AI113" s="152"/>
      <c r="AJ113" s="152"/>
      <c r="AK113" s="152">
        <v>5</v>
      </c>
      <c r="AL113" s="152">
        <v>1</v>
      </c>
      <c r="AM113" s="152"/>
      <c r="AN113" s="152"/>
      <c r="AO113" s="152"/>
      <c r="AP113" s="152">
        <v>1</v>
      </c>
      <c r="AQ113" s="152">
        <v>6</v>
      </c>
      <c r="AR113" s="152">
        <v>21</v>
      </c>
      <c r="AS113" s="152"/>
      <c r="AT113" s="152"/>
      <c r="AU113" s="152">
        <v>21</v>
      </c>
      <c r="AV113" s="152">
        <v>10</v>
      </c>
      <c r="AW113" s="152">
        <v>1</v>
      </c>
      <c r="AX113" s="152"/>
      <c r="AY113" s="152"/>
      <c r="AZ113" s="152">
        <v>11</v>
      </c>
      <c r="BA113" s="152">
        <v>32</v>
      </c>
      <c r="BB113" s="152">
        <v>1</v>
      </c>
      <c r="BC113" s="152"/>
      <c r="BD113" s="152">
        <v>1</v>
      </c>
      <c r="BE113" s="152">
        <v>1</v>
      </c>
      <c r="BF113" s="152"/>
      <c r="BG113" s="152"/>
      <c r="BH113" s="152"/>
      <c r="BI113" s="152">
        <v>1</v>
      </c>
      <c r="BJ113" s="152">
        <v>2</v>
      </c>
      <c r="BK113" s="152"/>
      <c r="BL113" s="152"/>
      <c r="BM113" s="152"/>
      <c r="BN113" s="152">
        <v>0</v>
      </c>
      <c r="BO113" s="152">
        <v>0</v>
      </c>
      <c r="BP113" s="152">
        <v>280</v>
      </c>
    </row>
    <row r="114" spans="1:68" x14ac:dyDescent="0.35">
      <c r="A114" s="146" t="s">
        <v>508</v>
      </c>
      <c r="B114" s="146" t="s">
        <v>509</v>
      </c>
      <c r="C114" s="152">
        <v>17</v>
      </c>
      <c r="D114" s="152"/>
      <c r="E114" s="152"/>
      <c r="F114" s="152"/>
      <c r="G114" s="152">
        <v>17</v>
      </c>
      <c r="H114" s="152">
        <v>21</v>
      </c>
      <c r="I114" s="152">
        <v>5</v>
      </c>
      <c r="J114" s="152">
        <v>2</v>
      </c>
      <c r="K114" s="152">
        <v>3</v>
      </c>
      <c r="L114" s="152">
        <v>31</v>
      </c>
      <c r="M114" s="152">
        <v>48</v>
      </c>
      <c r="N114" s="152">
        <v>1</v>
      </c>
      <c r="O114" s="152"/>
      <c r="P114" s="152"/>
      <c r="Q114" s="152">
        <v>1</v>
      </c>
      <c r="R114" s="152">
        <v>2</v>
      </c>
      <c r="S114" s="152"/>
      <c r="T114" s="152"/>
      <c r="U114" s="152"/>
      <c r="V114" s="152">
        <v>2</v>
      </c>
      <c r="W114" s="152">
        <v>3</v>
      </c>
      <c r="X114" s="152"/>
      <c r="Y114" s="152"/>
      <c r="Z114" s="152"/>
      <c r="AA114" s="152">
        <v>0</v>
      </c>
      <c r="AB114" s="152"/>
      <c r="AC114" s="152"/>
      <c r="AD114" s="152"/>
      <c r="AE114" s="152"/>
      <c r="AF114" s="152">
        <v>0</v>
      </c>
      <c r="AG114" s="152">
        <v>0</v>
      </c>
      <c r="AH114" s="152"/>
      <c r="AI114" s="152"/>
      <c r="AJ114" s="152"/>
      <c r="AK114" s="152">
        <v>0</v>
      </c>
      <c r="AL114" s="152"/>
      <c r="AM114" s="152"/>
      <c r="AN114" s="152"/>
      <c r="AO114" s="152"/>
      <c r="AP114" s="152">
        <v>0</v>
      </c>
      <c r="AQ114" s="152">
        <v>0</v>
      </c>
      <c r="AR114" s="152">
        <v>1</v>
      </c>
      <c r="AS114" s="152"/>
      <c r="AT114" s="152"/>
      <c r="AU114" s="152">
        <v>1</v>
      </c>
      <c r="AV114" s="152">
        <v>4</v>
      </c>
      <c r="AW114" s="152"/>
      <c r="AX114" s="152">
        <v>1</v>
      </c>
      <c r="AY114" s="152">
        <v>1</v>
      </c>
      <c r="AZ114" s="152">
        <v>6</v>
      </c>
      <c r="BA114" s="152">
        <v>7</v>
      </c>
      <c r="BB114" s="152"/>
      <c r="BC114" s="152"/>
      <c r="BD114" s="152">
        <v>0</v>
      </c>
      <c r="BE114" s="152"/>
      <c r="BF114" s="152"/>
      <c r="BG114" s="152"/>
      <c r="BH114" s="152"/>
      <c r="BI114" s="152">
        <v>0</v>
      </c>
      <c r="BJ114" s="152">
        <v>0</v>
      </c>
      <c r="BK114" s="152"/>
      <c r="BL114" s="152"/>
      <c r="BM114" s="152"/>
      <c r="BN114" s="152">
        <v>0</v>
      </c>
      <c r="BO114" s="152">
        <v>0</v>
      </c>
      <c r="BP114" s="152">
        <v>58</v>
      </c>
    </row>
    <row r="115" spans="1:68" x14ac:dyDescent="0.35">
      <c r="A115" s="146" t="s">
        <v>510</v>
      </c>
      <c r="B115" s="146" t="s">
        <v>511</v>
      </c>
      <c r="C115" s="152"/>
      <c r="D115" s="152"/>
      <c r="E115" s="152"/>
      <c r="F115" s="152"/>
      <c r="G115" s="152">
        <v>0</v>
      </c>
      <c r="H115" s="152">
        <v>5</v>
      </c>
      <c r="I115" s="152">
        <v>1</v>
      </c>
      <c r="J115" s="152"/>
      <c r="K115" s="152">
        <v>1</v>
      </c>
      <c r="L115" s="152">
        <v>7</v>
      </c>
      <c r="M115" s="152">
        <v>7</v>
      </c>
      <c r="N115" s="152"/>
      <c r="O115" s="152"/>
      <c r="P115" s="152"/>
      <c r="Q115" s="152">
        <v>0</v>
      </c>
      <c r="R115" s="152"/>
      <c r="S115" s="152"/>
      <c r="T115" s="152"/>
      <c r="U115" s="152"/>
      <c r="V115" s="152">
        <v>0</v>
      </c>
      <c r="W115" s="152">
        <v>0</v>
      </c>
      <c r="X115" s="152"/>
      <c r="Y115" s="152"/>
      <c r="Z115" s="152"/>
      <c r="AA115" s="152">
        <v>0</v>
      </c>
      <c r="AB115" s="152"/>
      <c r="AC115" s="152"/>
      <c r="AD115" s="152"/>
      <c r="AE115" s="152"/>
      <c r="AF115" s="152">
        <v>0</v>
      </c>
      <c r="AG115" s="152">
        <v>0</v>
      </c>
      <c r="AH115" s="152"/>
      <c r="AI115" s="152"/>
      <c r="AJ115" s="152"/>
      <c r="AK115" s="152">
        <v>0</v>
      </c>
      <c r="AL115" s="152"/>
      <c r="AM115" s="152"/>
      <c r="AN115" s="152"/>
      <c r="AO115" s="152"/>
      <c r="AP115" s="152">
        <v>0</v>
      </c>
      <c r="AQ115" s="152">
        <v>0</v>
      </c>
      <c r="AR115" s="152"/>
      <c r="AS115" s="152"/>
      <c r="AT115" s="152"/>
      <c r="AU115" s="152">
        <v>0</v>
      </c>
      <c r="AV115" s="152">
        <v>4</v>
      </c>
      <c r="AW115" s="152"/>
      <c r="AX115" s="152"/>
      <c r="AY115" s="152"/>
      <c r="AZ115" s="152">
        <v>4</v>
      </c>
      <c r="BA115" s="152">
        <v>4</v>
      </c>
      <c r="BB115" s="152"/>
      <c r="BC115" s="152"/>
      <c r="BD115" s="152">
        <v>0</v>
      </c>
      <c r="BE115" s="152"/>
      <c r="BF115" s="152"/>
      <c r="BG115" s="152"/>
      <c r="BH115" s="152"/>
      <c r="BI115" s="152">
        <v>0</v>
      </c>
      <c r="BJ115" s="152">
        <v>0</v>
      </c>
      <c r="BK115" s="152"/>
      <c r="BL115" s="152"/>
      <c r="BM115" s="152"/>
      <c r="BN115" s="152">
        <v>0</v>
      </c>
      <c r="BO115" s="152">
        <v>0</v>
      </c>
      <c r="BP115" s="152">
        <v>11</v>
      </c>
    </row>
    <row r="116" spans="1:68" x14ac:dyDescent="0.35">
      <c r="A116" s="146" t="s">
        <v>512</v>
      </c>
      <c r="B116" s="146" t="s">
        <v>127</v>
      </c>
      <c r="C116" s="152">
        <v>13</v>
      </c>
      <c r="D116" s="152"/>
      <c r="E116" s="152">
        <v>1</v>
      </c>
      <c r="F116" s="152"/>
      <c r="G116" s="152">
        <v>14</v>
      </c>
      <c r="H116" s="152">
        <v>62</v>
      </c>
      <c r="I116" s="152">
        <v>11</v>
      </c>
      <c r="J116" s="152">
        <v>8</v>
      </c>
      <c r="K116" s="152">
        <v>4</v>
      </c>
      <c r="L116" s="152">
        <v>85</v>
      </c>
      <c r="M116" s="152">
        <v>99</v>
      </c>
      <c r="N116" s="152"/>
      <c r="O116" s="152"/>
      <c r="P116" s="152"/>
      <c r="Q116" s="152">
        <v>0</v>
      </c>
      <c r="R116" s="152"/>
      <c r="S116" s="152"/>
      <c r="T116" s="152"/>
      <c r="U116" s="152"/>
      <c r="V116" s="152">
        <v>0</v>
      </c>
      <c r="W116" s="152">
        <v>0</v>
      </c>
      <c r="X116" s="152"/>
      <c r="Y116" s="152"/>
      <c r="Z116" s="152"/>
      <c r="AA116" s="152">
        <v>0</v>
      </c>
      <c r="AB116" s="152">
        <v>2</v>
      </c>
      <c r="AC116" s="152"/>
      <c r="AD116" s="152"/>
      <c r="AE116" s="152"/>
      <c r="AF116" s="152">
        <v>2</v>
      </c>
      <c r="AG116" s="152">
        <v>2</v>
      </c>
      <c r="AH116" s="152"/>
      <c r="AI116" s="152"/>
      <c r="AJ116" s="152"/>
      <c r="AK116" s="152">
        <v>0</v>
      </c>
      <c r="AL116" s="152"/>
      <c r="AM116" s="152"/>
      <c r="AN116" s="152"/>
      <c r="AO116" s="152"/>
      <c r="AP116" s="152">
        <v>0</v>
      </c>
      <c r="AQ116" s="152">
        <v>0</v>
      </c>
      <c r="AR116" s="152">
        <v>3</v>
      </c>
      <c r="AS116" s="152"/>
      <c r="AT116" s="152"/>
      <c r="AU116" s="152">
        <v>3</v>
      </c>
      <c r="AV116" s="152">
        <v>3</v>
      </c>
      <c r="AW116" s="152"/>
      <c r="AX116" s="152"/>
      <c r="AY116" s="152"/>
      <c r="AZ116" s="152">
        <v>3</v>
      </c>
      <c r="BA116" s="152">
        <v>6</v>
      </c>
      <c r="BB116" s="152"/>
      <c r="BC116" s="152"/>
      <c r="BD116" s="152">
        <v>0</v>
      </c>
      <c r="BE116" s="152">
        <v>1</v>
      </c>
      <c r="BF116" s="152"/>
      <c r="BG116" s="152"/>
      <c r="BH116" s="152"/>
      <c r="BI116" s="152">
        <v>1</v>
      </c>
      <c r="BJ116" s="152">
        <v>1</v>
      </c>
      <c r="BK116" s="152"/>
      <c r="BL116" s="152"/>
      <c r="BM116" s="152"/>
      <c r="BN116" s="152">
        <v>0</v>
      </c>
      <c r="BO116" s="152">
        <v>0</v>
      </c>
      <c r="BP116" s="152">
        <v>108</v>
      </c>
    </row>
    <row r="117" spans="1:68" x14ac:dyDescent="0.35">
      <c r="A117" s="146" t="s">
        <v>513</v>
      </c>
      <c r="B117" s="146" t="s">
        <v>514</v>
      </c>
      <c r="C117" s="152"/>
      <c r="D117" s="152"/>
      <c r="E117" s="152"/>
      <c r="F117" s="152"/>
      <c r="G117" s="152">
        <v>0</v>
      </c>
      <c r="H117" s="152"/>
      <c r="I117" s="152"/>
      <c r="J117" s="152"/>
      <c r="K117" s="152"/>
      <c r="L117" s="152">
        <v>0</v>
      </c>
      <c r="M117" s="152">
        <v>0</v>
      </c>
      <c r="N117" s="152"/>
      <c r="O117" s="152"/>
      <c r="P117" s="152"/>
      <c r="Q117" s="152">
        <v>0</v>
      </c>
      <c r="R117" s="152"/>
      <c r="S117" s="152"/>
      <c r="T117" s="152"/>
      <c r="U117" s="152"/>
      <c r="V117" s="152">
        <v>0</v>
      </c>
      <c r="W117" s="152">
        <v>0</v>
      </c>
      <c r="X117" s="152"/>
      <c r="Y117" s="152"/>
      <c r="Z117" s="152"/>
      <c r="AA117" s="152">
        <v>0</v>
      </c>
      <c r="AB117" s="152"/>
      <c r="AC117" s="152"/>
      <c r="AD117" s="152"/>
      <c r="AE117" s="152"/>
      <c r="AF117" s="152">
        <v>0</v>
      </c>
      <c r="AG117" s="152">
        <v>0</v>
      </c>
      <c r="AH117" s="152">
        <v>1</v>
      </c>
      <c r="AI117" s="152"/>
      <c r="AJ117" s="152"/>
      <c r="AK117" s="152">
        <v>1</v>
      </c>
      <c r="AL117" s="152"/>
      <c r="AM117" s="152"/>
      <c r="AN117" s="152"/>
      <c r="AO117" s="152"/>
      <c r="AP117" s="152">
        <v>0</v>
      </c>
      <c r="AQ117" s="152">
        <v>1</v>
      </c>
      <c r="AR117" s="152"/>
      <c r="AS117" s="152"/>
      <c r="AT117" s="152"/>
      <c r="AU117" s="152">
        <v>0</v>
      </c>
      <c r="AV117" s="152"/>
      <c r="AW117" s="152"/>
      <c r="AX117" s="152"/>
      <c r="AY117" s="152"/>
      <c r="AZ117" s="152">
        <v>0</v>
      </c>
      <c r="BA117" s="152">
        <v>0</v>
      </c>
      <c r="BB117" s="152"/>
      <c r="BC117" s="152"/>
      <c r="BD117" s="152">
        <v>0</v>
      </c>
      <c r="BE117" s="152"/>
      <c r="BF117" s="152"/>
      <c r="BG117" s="152"/>
      <c r="BH117" s="152"/>
      <c r="BI117" s="152">
        <v>0</v>
      </c>
      <c r="BJ117" s="152">
        <v>0</v>
      </c>
      <c r="BK117" s="152"/>
      <c r="BL117" s="152"/>
      <c r="BM117" s="152"/>
      <c r="BN117" s="152">
        <v>0</v>
      </c>
      <c r="BO117" s="152">
        <v>0</v>
      </c>
      <c r="BP117" s="152">
        <v>1</v>
      </c>
    </row>
    <row r="118" spans="1:68" x14ac:dyDescent="0.35">
      <c r="A118" s="146" t="s">
        <v>515</v>
      </c>
      <c r="B118" s="146" t="s">
        <v>516</v>
      </c>
      <c r="C118" s="152">
        <v>5</v>
      </c>
      <c r="D118" s="152"/>
      <c r="E118" s="152"/>
      <c r="F118" s="152"/>
      <c r="G118" s="152">
        <v>5</v>
      </c>
      <c r="H118" s="152">
        <v>2</v>
      </c>
      <c r="I118" s="152">
        <v>2</v>
      </c>
      <c r="J118" s="152">
        <v>2</v>
      </c>
      <c r="K118" s="152"/>
      <c r="L118" s="152">
        <v>6</v>
      </c>
      <c r="M118" s="152">
        <v>11</v>
      </c>
      <c r="N118" s="152"/>
      <c r="O118" s="152"/>
      <c r="P118" s="152"/>
      <c r="Q118" s="152">
        <v>0</v>
      </c>
      <c r="R118" s="152"/>
      <c r="S118" s="152"/>
      <c r="T118" s="152"/>
      <c r="U118" s="152"/>
      <c r="V118" s="152">
        <v>0</v>
      </c>
      <c r="W118" s="152">
        <v>0</v>
      </c>
      <c r="X118" s="152"/>
      <c r="Y118" s="152"/>
      <c r="Z118" s="152"/>
      <c r="AA118" s="152">
        <v>0</v>
      </c>
      <c r="AB118" s="152"/>
      <c r="AC118" s="152"/>
      <c r="AD118" s="152"/>
      <c r="AE118" s="152"/>
      <c r="AF118" s="152">
        <v>0</v>
      </c>
      <c r="AG118" s="152">
        <v>0</v>
      </c>
      <c r="AH118" s="152"/>
      <c r="AI118" s="152"/>
      <c r="AJ118" s="152"/>
      <c r="AK118" s="152">
        <v>0</v>
      </c>
      <c r="AL118" s="152"/>
      <c r="AM118" s="152"/>
      <c r="AN118" s="152"/>
      <c r="AO118" s="152"/>
      <c r="AP118" s="152">
        <v>0</v>
      </c>
      <c r="AQ118" s="152">
        <v>0</v>
      </c>
      <c r="AR118" s="152">
        <v>2</v>
      </c>
      <c r="AS118" s="152"/>
      <c r="AT118" s="152"/>
      <c r="AU118" s="152">
        <v>2</v>
      </c>
      <c r="AV118" s="152"/>
      <c r="AW118" s="152"/>
      <c r="AX118" s="152"/>
      <c r="AY118" s="152"/>
      <c r="AZ118" s="152">
        <v>0</v>
      </c>
      <c r="BA118" s="152">
        <v>2</v>
      </c>
      <c r="BB118" s="152"/>
      <c r="BC118" s="152"/>
      <c r="BD118" s="152">
        <v>0</v>
      </c>
      <c r="BE118" s="152"/>
      <c r="BF118" s="152"/>
      <c r="BG118" s="152"/>
      <c r="BH118" s="152"/>
      <c r="BI118" s="152">
        <v>0</v>
      </c>
      <c r="BJ118" s="152">
        <v>0</v>
      </c>
      <c r="BK118" s="152"/>
      <c r="BL118" s="152"/>
      <c r="BM118" s="152"/>
      <c r="BN118" s="152">
        <v>0</v>
      </c>
      <c r="BO118" s="152">
        <v>0</v>
      </c>
      <c r="BP118" s="152">
        <v>13</v>
      </c>
    </row>
    <row r="119" spans="1:68" x14ac:dyDescent="0.35">
      <c r="A119" s="146" t="s">
        <v>517</v>
      </c>
      <c r="B119" s="146" t="s">
        <v>518</v>
      </c>
      <c r="C119" s="152">
        <v>13</v>
      </c>
      <c r="D119" s="152"/>
      <c r="E119" s="152"/>
      <c r="F119" s="152"/>
      <c r="G119" s="152">
        <v>13</v>
      </c>
      <c r="H119" s="152">
        <v>9</v>
      </c>
      <c r="I119" s="152">
        <v>7</v>
      </c>
      <c r="J119" s="152"/>
      <c r="K119" s="152"/>
      <c r="L119" s="152">
        <v>16</v>
      </c>
      <c r="M119" s="152">
        <v>29</v>
      </c>
      <c r="N119" s="152"/>
      <c r="O119" s="152"/>
      <c r="P119" s="152"/>
      <c r="Q119" s="152">
        <v>0</v>
      </c>
      <c r="R119" s="152"/>
      <c r="S119" s="152"/>
      <c r="T119" s="152"/>
      <c r="U119" s="152"/>
      <c r="V119" s="152">
        <v>0</v>
      </c>
      <c r="W119" s="152">
        <v>0</v>
      </c>
      <c r="X119" s="152"/>
      <c r="Y119" s="152"/>
      <c r="Z119" s="152"/>
      <c r="AA119" s="152">
        <v>0</v>
      </c>
      <c r="AB119" s="152"/>
      <c r="AC119" s="152"/>
      <c r="AD119" s="152"/>
      <c r="AE119" s="152"/>
      <c r="AF119" s="152">
        <v>0</v>
      </c>
      <c r="AG119" s="152">
        <v>0</v>
      </c>
      <c r="AH119" s="152"/>
      <c r="AI119" s="152"/>
      <c r="AJ119" s="152"/>
      <c r="AK119" s="152">
        <v>0</v>
      </c>
      <c r="AL119" s="152"/>
      <c r="AM119" s="152"/>
      <c r="AN119" s="152"/>
      <c r="AO119" s="152"/>
      <c r="AP119" s="152">
        <v>0</v>
      </c>
      <c r="AQ119" s="152">
        <v>0</v>
      </c>
      <c r="AR119" s="152">
        <v>1</v>
      </c>
      <c r="AS119" s="152"/>
      <c r="AT119" s="152"/>
      <c r="AU119" s="152">
        <v>1</v>
      </c>
      <c r="AV119" s="152">
        <v>2</v>
      </c>
      <c r="AW119" s="152">
        <v>3</v>
      </c>
      <c r="AX119" s="152"/>
      <c r="AY119" s="152"/>
      <c r="AZ119" s="152">
        <v>5</v>
      </c>
      <c r="BA119" s="152">
        <v>6</v>
      </c>
      <c r="BB119" s="152"/>
      <c r="BC119" s="152"/>
      <c r="BD119" s="152">
        <v>0</v>
      </c>
      <c r="BE119" s="152"/>
      <c r="BF119" s="152"/>
      <c r="BG119" s="152"/>
      <c r="BH119" s="152"/>
      <c r="BI119" s="152">
        <v>0</v>
      </c>
      <c r="BJ119" s="152">
        <v>0</v>
      </c>
      <c r="BK119" s="152"/>
      <c r="BL119" s="152"/>
      <c r="BM119" s="152"/>
      <c r="BN119" s="152">
        <v>0</v>
      </c>
      <c r="BO119" s="152">
        <v>0</v>
      </c>
      <c r="BP119" s="152">
        <v>35</v>
      </c>
    </row>
    <row r="120" spans="1:68" x14ac:dyDescent="0.35">
      <c r="A120" s="146" t="s">
        <v>519</v>
      </c>
      <c r="B120" s="146" t="s">
        <v>520</v>
      </c>
      <c r="C120" s="152">
        <v>36</v>
      </c>
      <c r="D120" s="152">
        <v>2</v>
      </c>
      <c r="E120" s="152"/>
      <c r="F120" s="152"/>
      <c r="G120" s="152">
        <v>38</v>
      </c>
      <c r="H120" s="152">
        <v>46</v>
      </c>
      <c r="I120" s="152">
        <v>17</v>
      </c>
      <c r="J120" s="152">
        <v>3</v>
      </c>
      <c r="K120" s="152">
        <v>2</v>
      </c>
      <c r="L120" s="152">
        <v>68</v>
      </c>
      <c r="M120" s="152">
        <v>106</v>
      </c>
      <c r="N120" s="152"/>
      <c r="O120" s="152"/>
      <c r="P120" s="152"/>
      <c r="Q120" s="152">
        <v>0</v>
      </c>
      <c r="R120" s="152">
        <v>1</v>
      </c>
      <c r="S120" s="152"/>
      <c r="T120" s="152"/>
      <c r="U120" s="152"/>
      <c r="V120" s="152">
        <v>1</v>
      </c>
      <c r="W120" s="152">
        <v>1</v>
      </c>
      <c r="X120" s="152"/>
      <c r="Y120" s="152"/>
      <c r="Z120" s="152"/>
      <c r="AA120" s="152">
        <v>0</v>
      </c>
      <c r="AB120" s="152"/>
      <c r="AC120" s="152"/>
      <c r="AD120" s="152"/>
      <c r="AE120" s="152"/>
      <c r="AF120" s="152">
        <v>0</v>
      </c>
      <c r="AG120" s="152">
        <v>0</v>
      </c>
      <c r="AH120" s="152"/>
      <c r="AI120" s="152"/>
      <c r="AJ120" s="152"/>
      <c r="AK120" s="152">
        <v>0</v>
      </c>
      <c r="AL120" s="152">
        <v>1</v>
      </c>
      <c r="AM120" s="152"/>
      <c r="AN120" s="152"/>
      <c r="AO120" s="152"/>
      <c r="AP120" s="152">
        <v>1</v>
      </c>
      <c r="AQ120" s="152">
        <v>1</v>
      </c>
      <c r="AR120" s="152">
        <v>6</v>
      </c>
      <c r="AS120" s="152"/>
      <c r="AT120" s="152"/>
      <c r="AU120" s="152">
        <v>6</v>
      </c>
      <c r="AV120" s="152">
        <v>16</v>
      </c>
      <c r="AW120" s="152">
        <v>6</v>
      </c>
      <c r="AX120" s="152"/>
      <c r="AY120" s="152"/>
      <c r="AZ120" s="152">
        <v>22</v>
      </c>
      <c r="BA120" s="152">
        <v>28</v>
      </c>
      <c r="BB120" s="152"/>
      <c r="BC120" s="152"/>
      <c r="BD120" s="152">
        <v>0</v>
      </c>
      <c r="BE120" s="152"/>
      <c r="BF120" s="152"/>
      <c r="BG120" s="152"/>
      <c r="BH120" s="152"/>
      <c r="BI120" s="152">
        <v>0</v>
      </c>
      <c r="BJ120" s="152">
        <v>0</v>
      </c>
      <c r="BK120" s="152"/>
      <c r="BL120" s="152"/>
      <c r="BM120" s="152"/>
      <c r="BN120" s="152">
        <v>0</v>
      </c>
      <c r="BO120" s="152">
        <v>0</v>
      </c>
      <c r="BP120" s="152">
        <v>136</v>
      </c>
    </row>
    <row r="121" spans="1:68" x14ac:dyDescent="0.35">
      <c r="A121" s="146" t="s">
        <v>521</v>
      </c>
      <c r="B121" s="146" t="s">
        <v>522</v>
      </c>
      <c r="C121" s="152">
        <v>93</v>
      </c>
      <c r="D121" s="152"/>
      <c r="E121" s="152"/>
      <c r="F121" s="152"/>
      <c r="G121" s="152">
        <v>93</v>
      </c>
      <c r="H121" s="152">
        <v>83</v>
      </c>
      <c r="I121" s="152">
        <v>54</v>
      </c>
      <c r="J121" s="152">
        <v>9</v>
      </c>
      <c r="K121" s="152">
        <v>5</v>
      </c>
      <c r="L121" s="152">
        <v>151</v>
      </c>
      <c r="M121" s="152">
        <v>244</v>
      </c>
      <c r="N121" s="152">
        <v>2</v>
      </c>
      <c r="O121" s="152"/>
      <c r="P121" s="152"/>
      <c r="Q121" s="152">
        <v>2</v>
      </c>
      <c r="R121" s="152"/>
      <c r="S121" s="152"/>
      <c r="T121" s="152"/>
      <c r="U121" s="152"/>
      <c r="V121" s="152">
        <v>0</v>
      </c>
      <c r="W121" s="152">
        <v>2</v>
      </c>
      <c r="X121" s="152">
        <v>1</v>
      </c>
      <c r="Y121" s="152"/>
      <c r="Z121" s="152"/>
      <c r="AA121" s="152">
        <v>1</v>
      </c>
      <c r="AB121" s="152">
        <v>1</v>
      </c>
      <c r="AC121" s="152"/>
      <c r="AD121" s="152"/>
      <c r="AE121" s="152"/>
      <c r="AF121" s="152">
        <v>1</v>
      </c>
      <c r="AG121" s="152">
        <v>2</v>
      </c>
      <c r="AH121" s="152"/>
      <c r="AI121" s="152"/>
      <c r="AJ121" s="152"/>
      <c r="AK121" s="152">
        <v>0</v>
      </c>
      <c r="AL121" s="152"/>
      <c r="AM121" s="152"/>
      <c r="AN121" s="152"/>
      <c r="AO121" s="152"/>
      <c r="AP121" s="152">
        <v>0</v>
      </c>
      <c r="AQ121" s="152">
        <v>0</v>
      </c>
      <c r="AR121" s="152">
        <v>19</v>
      </c>
      <c r="AS121" s="152"/>
      <c r="AT121" s="152"/>
      <c r="AU121" s="152">
        <v>19</v>
      </c>
      <c r="AV121" s="152">
        <v>11</v>
      </c>
      <c r="AW121" s="152">
        <v>8</v>
      </c>
      <c r="AX121" s="152">
        <v>4</v>
      </c>
      <c r="AY121" s="152">
        <v>2</v>
      </c>
      <c r="AZ121" s="152">
        <v>25</v>
      </c>
      <c r="BA121" s="152">
        <v>44</v>
      </c>
      <c r="BB121" s="152">
        <v>1</v>
      </c>
      <c r="BC121" s="152"/>
      <c r="BD121" s="152">
        <v>1</v>
      </c>
      <c r="BE121" s="152"/>
      <c r="BF121" s="152"/>
      <c r="BG121" s="152"/>
      <c r="BH121" s="152"/>
      <c r="BI121" s="152">
        <v>0</v>
      </c>
      <c r="BJ121" s="152">
        <v>1</v>
      </c>
      <c r="BK121" s="152"/>
      <c r="BL121" s="152"/>
      <c r="BM121" s="152"/>
      <c r="BN121" s="152">
        <v>0</v>
      </c>
      <c r="BO121" s="152">
        <v>0</v>
      </c>
      <c r="BP121" s="152">
        <v>293</v>
      </c>
    </row>
    <row r="122" spans="1:68" x14ac:dyDescent="0.35">
      <c r="A122" s="146" t="s">
        <v>523</v>
      </c>
      <c r="B122" s="146" t="s">
        <v>524</v>
      </c>
      <c r="C122" s="152">
        <v>31</v>
      </c>
      <c r="D122" s="152"/>
      <c r="E122" s="152"/>
      <c r="F122" s="152"/>
      <c r="G122" s="152">
        <v>31</v>
      </c>
      <c r="H122" s="152">
        <v>19</v>
      </c>
      <c r="I122" s="152">
        <v>3</v>
      </c>
      <c r="J122" s="152">
        <v>1</v>
      </c>
      <c r="K122" s="152">
        <v>1</v>
      </c>
      <c r="L122" s="152">
        <v>24</v>
      </c>
      <c r="M122" s="152">
        <v>55</v>
      </c>
      <c r="N122" s="152">
        <v>1</v>
      </c>
      <c r="O122" s="152"/>
      <c r="P122" s="152"/>
      <c r="Q122" s="152">
        <v>1</v>
      </c>
      <c r="R122" s="152"/>
      <c r="S122" s="152"/>
      <c r="T122" s="152"/>
      <c r="U122" s="152"/>
      <c r="V122" s="152">
        <v>0</v>
      </c>
      <c r="W122" s="152">
        <v>1</v>
      </c>
      <c r="X122" s="152"/>
      <c r="Y122" s="152"/>
      <c r="Z122" s="152"/>
      <c r="AA122" s="152">
        <v>0</v>
      </c>
      <c r="AB122" s="152"/>
      <c r="AC122" s="152"/>
      <c r="AD122" s="152"/>
      <c r="AE122" s="152"/>
      <c r="AF122" s="152">
        <v>0</v>
      </c>
      <c r="AG122" s="152">
        <v>0</v>
      </c>
      <c r="AH122" s="152"/>
      <c r="AI122" s="152"/>
      <c r="AJ122" s="152"/>
      <c r="AK122" s="152">
        <v>0</v>
      </c>
      <c r="AL122" s="152"/>
      <c r="AM122" s="152"/>
      <c r="AN122" s="152"/>
      <c r="AO122" s="152"/>
      <c r="AP122" s="152">
        <v>0</v>
      </c>
      <c r="AQ122" s="152">
        <v>0</v>
      </c>
      <c r="AR122" s="152">
        <v>1</v>
      </c>
      <c r="AS122" s="152">
        <v>1</v>
      </c>
      <c r="AT122" s="152"/>
      <c r="AU122" s="152">
        <v>2</v>
      </c>
      <c r="AV122" s="152">
        <v>2</v>
      </c>
      <c r="AW122" s="152"/>
      <c r="AX122" s="152">
        <v>2</v>
      </c>
      <c r="AY122" s="152"/>
      <c r="AZ122" s="152">
        <v>4</v>
      </c>
      <c r="BA122" s="152">
        <v>6</v>
      </c>
      <c r="BB122" s="152"/>
      <c r="BC122" s="152"/>
      <c r="BD122" s="152">
        <v>0</v>
      </c>
      <c r="BE122" s="152"/>
      <c r="BF122" s="152"/>
      <c r="BG122" s="152"/>
      <c r="BH122" s="152"/>
      <c r="BI122" s="152">
        <v>0</v>
      </c>
      <c r="BJ122" s="152">
        <v>0</v>
      </c>
      <c r="BK122" s="152"/>
      <c r="BL122" s="152"/>
      <c r="BM122" s="152"/>
      <c r="BN122" s="152">
        <v>0</v>
      </c>
      <c r="BO122" s="152">
        <v>0</v>
      </c>
      <c r="BP122" s="152">
        <v>62</v>
      </c>
    </row>
    <row r="123" spans="1:68" x14ac:dyDescent="0.35">
      <c r="A123" s="146" t="s">
        <v>525</v>
      </c>
      <c r="B123" s="146" t="s">
        <v>526</v>
      </c>
      <c r="C123" s="152"/>
      <c r="D123" s="152"/>
      <c r="E123" s="152"/>
      <c r="F123" s="152"/>
      <c r="G123" s="152">
        <v>0</v>
      </c>
      <c r="H123" s="152">
        <v>2</v>
      </c>
      <c r="I123" s="152"/>
      <c r="J123" s="152"/>
      <c r="K123" s="152"/>
      <c r="L123" s="152">
        <v>2</v>
      </c>
      <c r="M123" s="152">
        <v>2</v>
      </c>
      <c r="N123" s="152"/>
      <c r="O123" s="152"/>
      <c r="P123" s="152"/>
      <c r="Q123" s="152">
        <v>0</v>
      </c>
      <c r="R123" s="152"/>
      <c r="S123" s="152"/>
      <c r="T123" s="152"/>
      <c r="U123" s="152"/>
      <c r="V123" s="152">
        <v>0</v>
      </c>
      <c r="W123" s="152">
        <v>0</v>
      </c>
      <c r="X123" s="152">
        <v>1</v>
      </c>
      <c r="Y123" s="152"/>
      <c r="Z123" s="152"/>
      <c r="AA123" s="152">
        <v>1</v>
      </c>
      <c r="AB123" s="152"/>
      <c r="AC123" s="152"/>
      <c r="AD123" s="152"/>
      <c r="AE123" s="152">
        <v>1</v>
      </c>
      <c r="AF123" s="152">
        <v>1</v>
      </c>
      <c r="AG123" s="152">
        <v>2</v>
      </c>
      <c r="AH123" s="152"/>
      <c r="AI123" s="152"/>
      <c r="AJ123" s="152"/>
      <c r="AK123" s="152">
        <v>0</v>
      </c>
      <c r="AL123" s="152"/>
      <c r="AM123" s="152"/>
      <c r="AN123" s="152"/>
      <c r="AO123" s="152"/>
      <c r="AP123" s="152">
        <v>0</v>
      </c>
      <c r="AQ123" s="152">
        <v>0</v>
      </c>
      <c r="AR123" s="152">
        <v>1</v>
      </c>
      <c r="AS123" s="152"/>
      <c r="AT123" s="152"/>
      <c r="AU123" s="152">
        <v>1</v>
      </c>
      <c r="AV123" s="152">
        <v>1</v>
      </c>
      <c r="AW123" s="152">
        <v>1</v>
      </c>
      <c r="AX123" s="152"/>
      <c r="AY123" s="152"/>
      <c r="AZ123" s="152">
        <v>2</v>
      </c>
      <c r="BA123" s="152">
        <v>3</v>
      </c>
      <c r="BB123" s="152">
        <v>1</v>
      </c>
      <c r="BC123" s="152"/>
      <c r="BD123" s="152">
        <v>1</v>
      </c>
      <c r="BE123" s="152"/>
      <c r="BF123" s="152"/>
      <c r="BG123" s="152"/>
      <c r="BH123" s="152"/>
      <c r="BI123" s="152">
        <v>0</v>
      </c>
      <c r="BJ123" s="152">
        <v>1</v>
      </c>
      <c r="BK123" s="152"/>
      <c r="BL123" s="152"/>
      <c r="BM123" s="152"/>
      <c r="BN123" s="152">
        <v>0</v>
      </c>
      <c r="BO123" s="152">
        <v>0</v>
      </c>
      <c r="BP123" s="152">
        <v>8</v>
      </c>
    </row>
    <row r="124" spans="1:68" x14ac:dyDescent="0.35">
      <c r="A124" s="146" t="s">
        <v>527</v>
      </c>
      <c r="B124" s="146" t="s">
        <v>528</v>
      </c>
      <c r="C124" s="152">
        <v>2</v>
      </c>
      <c r="D124" s="152"/>
      <c r="E124" s="152"/>
      <c r="F124" s="152"/>
      <c r="G124" s="152">
        <v>2</v>
      </c>
      <c r="H124" s="152">
        <v>8</v>
      </c>
      <c r="I124" s="152">
        <v>7</v>
      </c>
      <c r="J124" s="152">
        <v>6</v>
      </c>
      <c r="K124" s="152">
        <v>1</v>
      </c>
      <c r="L124" s="152">
        <v>22</v>
      </c>
      <c r="M124" s="152">
        <v>24</v>
      </c>
      <c r="N124" s="152">
        <v>2</v>
      </c>
      <c r="O124" s="152"/>
      <c r="P124" s="152"/>
      <c r="Q124" s="152">
        <v>2</v>
      </c>
      <c r="R124" s="152"/>
      <c r="S124" s="152">
        <v>4</v>
      </c>
      <c r="T124" s="152"/>
      <c r="U124" s="152">
        <v>1</v>
      </c>
      <c r="V124" s="152">
        <v>5</v>
      </c>
      <c r="W124" s="152">
        <v>7</v>
      </c>
      <c r="X124" s="152"/>
      <c r="Y124" s="152"/>
      <c r="Z124" s="152"/>
      <c r="AA124" s="152">
        <v>0</v>
      </c>
      <c r="AB124" s="152">
        <v>1</v>
      </c>
      <c r="AC124" s="152"/>
      <c r="AD124" s="152"/>
      <c r="AE124" s="152"/>
      <c r="AF124" s="152">
        <v>1</v>
      </c>
      <c r="AG124" s="152">
        <v>1</v>
      </c>
      <c r="AH124" s="152">
        <v>3</v>
      </c>
      <c r="AI124" s="152"/>
      <c r="AJ124" s="152"/>
      <c r="AK124" s="152">
        <v>3</v>
      </c>
      <c r="AL124" s="152"/>
      <c r="AM124" s="152"/>
      <c r="AN124" s="152"/>
      <c r="AO124" s="152"/>
      <c r="AP124" s="152">
        <v>0</v>
      </c>
      <c r="AQ124" s="152">
        <v>3</v>
      </c>
      <c r="AR124" s="152">
        <v>3</v>
      </c>
      <c r="AS124" s="152"/>
      <c r="AT124" s="152"/>
      <c r="AU124" s="152">
        <v>3</v>
      </c>
      <c r="AV124" s="152">
        <v>1</v>
      </c>
      <c r="AW124" s="152"/>
      <c r="AX124" s="152"/>
      <c r="AY124" s="152"/>
      <c r="AZ124" s="152">
        <v>1</v>
      </c>
      <c r="BA124" s="152">
        <v>4</v>
      </c>
      <c r="BB124" s="152"/>
      <c r="BC124" s="152"/>
      <c r="BD124" s="152">
        <v>0</v>
      </c>
      <c r="BE124" s="152">
        <v>1</v>
      </c>
      <c r="BF124" s="152"/>
      <c r="BG124" s="152"/>
      <c r="BH124" s="152"/>
      <c r="BI124" s="152">
        <v>1</v>
      </c>
      <c r="BJ124" s="152">
        <v>1</v>
      </c>
      <c r="BK124" s="152"/>
      <c r="BL124" s="152"/>
      <c r="BM124" s="152"/>
      <c r="BN124" s="152">
        <v>0</v>
      </c>
      <c r="BO124" s="152">
        <v>0</v>
      </c>
      <c r="BP124" s="152">
        <v>40</v>
      </c>
    </row>
    <row r="125" spans="1:68" x14ac:dyDescent="0.35">
      <c r="A125" s="146" t="s">
        <v>529</v>
      </c>
      <c r="B125" s="146" t="s">
        <v>530</v>
      </c>
      <c r="C125" s="152">
        <v>8</v>
      </c>
      <c r="D125" s="152"/>
      <c r="E125" s="152"/>
      <c r="F125" s="152"/>
      <c r="G125" s="152">
        <v>8</v>
      </c>
      <c r="H125" s="152"/>
      <c r="I125" s="152">
        <v>1</v>
      </c>
      <c r="J125" s="152"/>
      <c r="K125" s="152"/>
      <c r="L125" s="152">
        <v>1</v>
      </c>
      <c r="M125" s="152">
        <v>9</v>
      </c>
      <c r="N125" s="152"/>
      <c r="O125" s="152"/>
      <c r="P125" s="152"/>
      <c r="Q125" s="152">
        <v>0</v>
      </c>
      <c r="R125" s="152"/>
      <c r="S125" s="152"/>
      <c r="T125" s="152"/>
      <c r="U125" s="152"/>
      <c r="V125" s="152">
        <v>0</v>
      </c>
      <c r="W125" s="152">
        <v>0</v>
      </c>
      <c r="X125" s="152"/>
      <c r="Y125" s="152"/>
      <c r="Z125" s="152"/>
      <c r="AA125" s="152">
        <v>0</v>
      </c>
      <c r="AB125" s="152"/>
      <c r="AC125" s="152"/>
      <c r="AD125" s="152"/>
      <c r="AE125" s="152"/>
      <c r="AF125" s="152">
        <v>0</v>
      </c>
      <c r="AG125" s="152">
        <v>0</v>
      </c>
      <c r="AH125" s="152"/>
      <c r="AI125" s="152"/>
      <c r="AJ125" s="152"/>
      <c r="AK125" s="152">
        <v>0</v>
      </c>
      <c r="AL125" s="152"/>
      <c r="AM125" s="152"/>
      <c r="AN125" s="152"/>
      <c r="AO125" s="152"/>
      <c r="AP125" s="152">
        <v>0</v>
      </c>
      <c r="AQ125" s="152">
        <v>0</v>
      </c>
      <c r="AR125" s="152">
        <v>2</v>
      </c>
      <c r="AS125" s="152"/>
      <c r="AT125" s="152"/>
      <c r="AU125" s="152">
        <v>2</v>
      </c>
      <c r="AV125" s="152"/>
      <c r="AW125" s="152"/>
      <c r="AX125" s="152"/>
      <c r="AY125" s="152"/>
      <c r="AZ125" s="152">
        <v>0</v>
      </c>
      <c r="BA125" s="152">
        <v>2</v>
      </c>
      <c r="BB125" s="152"/>
      <c r="BC125" s="152"/>
      <c r="BD125" s="152">
        <v>0</v>
      </c>
      <c r="BE125" s="152"/>
      <c r="BF125" s="152"/>
      <c r="BG125" s="152"/>
      <c r="BH125" s="152"/>
      <c r="BI125" s="152">
        <v>0</v>
      </c>
      <c r="BJ125" s="152">
        <v>0</v>
      </c>
      <c r="BK125" s="152"/>
      <c r="BL125" s="152"/>
      <c r="BM125" s="152"/>
      <c r="BN125" s="152">
        <v>0</v>
      </c>
      <c r="BO125" s="152">
        <v>0</v>
      </c>
      <c r="BP125" s="152">
        <v>11</v>
      </c>
    </row>
    <row r="126" spans="1:68" x14ac:dyDescent="0.35">
      <c r="A126" s="146" t="s">
        <v>531</v>
      </c>
      <c r="B126" s="146" t="s">
        <v>532</v>
      </c>
      <c r="C126" s="152">
        <v>2</v>
      </c>
      <c r="D126" s="152"/>
      <c r="E126" s="152"/>
      <c r="F126" s="152"/>
      <c r="G126" s="152">
        <v>2</v>
      </c>
      <c r="H126" s="152">
        <v>8</v>
      </c>
      <c r="I126" s="152"/>
      <c r="J126" s="152">
        <v>1</v>
      </c>
      <c r="K126" s="152">
        <v>2</v>
      </c>
      <c r="L126" s="152">
        <v>11</v>
      </c>
      <c r="M126" s="152">
        <v>13</v>
      </c>
      <c r="N126" s="152"/>
      <c r="O126" s="152"/>
      <c r="P126" s="152"/>
      <c r="Q126" s="152">
        <v>0</v>
      </c>
      <c r="R126" s="152"/>
      <c r="S126" s="152"/>
      <c r="T126" s="152"/>
      <c r="U126" s="152"/>
      <c r="V126" s="152">
        <v>0</v>
      </c>
      <c r="W126" s="152">
        <v>0</v>
      </c>
      <c r="X126" s="152"/>
      <c r="Y126" s="152"/>
      <c r="Z126" s="152"/>
      <c r="AA126" s="152">
        <v>0</v>
      </c>
      <c r="AB126" s="152"/>
      <c r="AC126" s="152"/>
      <c r="AD126" s="152"/>
      <c r="AE126" s="152"/>
      <c r="AF126" s="152">
        <v>0</v>
      </c>
      <c r="AG126" s="152">
        <v>0</v>
      </c>
      <c r="AH126" s="152"/>
      <c r="AI126" s="152"/>
      <c r="AJ126" s="152"/>
      <c r="AK126" s="152">
        <v>0</v>
      </c>
      <c r="AL126" s="152"/>
      <c r="AM126" s="152"/>
      <c r="AN126" s="152"/>
      <c r="AO126" s="152"/>
      <c r="AP126" s="152">
        <v>0</v>
      </c>
      <c r="AQ126" s="152">
        <v>0</v>
      </c>
      <c r="AR126" s="152">
        <v>4</v>
      </c>
      <c r="AS126" s="152"/>
      <c r="AT126" s="152"/>
      <c r="AU126" s="152">
        <v>4</v>
      </c>
      <c r="AV126" s="152"/>
      <c r="AW126" s="152">
        <v>1</v>
      </c>
      <c r="AX126" s="152"/>
      <c r="AY126" s="152"/>
      <c r="AZ126" s="152">
        <v>1</v>
      </c>
      <c r="BA126" s="152">
        <v>5</v>
      </c>
      <c r="BB126" s="152"/>
      <c r="BC126" s="152"/>
      <c r="BD126" s="152">
        <v>0</v>
      </c>
      <c r="BE126" s="152"/>
      <c r="BF126" s="152"/>
      <c r="BG126" s="152"/>
      <c r="BH126" s="152"/>
      <c r="BI126" s="152">
        <v>0</v>
      </c>
      <c r="BJ126" s="152">
        <v>0</v>
      </c>
      <c r="BK126" s="152"/>
      <c r="BL126" s="152"/>
      <c r="BM126" s="152"/>
      <c r="BN126" s="152">
        <v>0</v>
      </c>
      <c r="BO126" s="152">
        <v>0</v>
      </c>
      <c r="BP126" s="152">
        <v>18</v>
      </c>
    </row>
    <row r="127" spans="1:68" x14ac:dyDescent="0.35">
      <c r="A127" s="146" t="s">
        <v>533</v>
      </c>
      <c r="B127" s="146" t="s">
        <v>534</v>
      </c>
      <c r="C127" s="152">
        <v>19</v>
      </c>
      <c r="D127" s="152">
        <v>3</v>
      </c>
      <c r="E127" s="152"/>
      <c r="F127" s="152"/>
      <c r="G127" s="152">
        <v>22</v>
      </c>
      <c r="H127" s="152">
        <v>16</v>
      </c>
      <c r="I127" s="152">
        <v>4</v>
      </c>
      <c r="J127" s="152">
        <v>3</v>
      </c>
      <c r="K127" s="152">
        <v>1</v>
      </c>
      <c r="L127" s="152">
        <v>24</v>
      </c>
      <c r="M127" s="152">
        <v>46</v>
      </c>
      <c r="N127" s="152">
        <v>2</v>
      </c>
      <c r="O127" s="152"/>
      <c r="P127" s="152"/>
      <c r="Q127" s="152">
        <v>2</v>
      </c>
      <c r="R127" s="152"/>
      <c r="S127" s="152">
        <v>2</v>
      </c>
      <c r="T127" s="152">
        <v>2</v>
      </c>
      <c r="U127" s="152"/>
      <c r="V127" s="152">
        <v>4</v>
      </c>
      <c r="W127" s="152">
        <v>6</v>
      </c>
      <c r="X127" s="152">
        <v>1</v>
      </c>
      <c r="Y127" s="152"/>
      <c r="Z127" s="152"/>
      <c r="AA127" s="152">
        <v>1</v>
      </c>
      <c r="AB127" s="152">
        <v>3</v>
      </c>
      <c r="AC127" s="152"/>
      <c r="AD127" s="152"/>
      <c r="AE127" s="152"/>
      <c r="AF127" s="152">
        <v>3</v>
      </c>
      <c r="AG127" s="152">
        <v>4</v>
      </c>
      <c r="AH127" s="152">
        <v>2</v>
      </c>
      <c r="AI127" s="152"/>
      <c r="AJ127" s="152"/>
      <c r="AK127" s="152">
        <v>2</v>
      </c>
      <c r="AL127" s="152">
        <v>1</v>
      </c>
      <c r="AM127" s="152">
        <v>1</v>
      </c>
      <c r="AN127" s="152"/>
      <c r="AO127" s="152"/>
      <c r="AP127" s="152">
        <v>2</v>
      </c>
      <c r="AQ127" s="152">
        <v>4</v>
      </c>
      <c r="AR127" s="152">
        <v>11</v>
      </c>
      <c r="AS127" s="152"/>
      <c r="AT127" s="152"/>
      <c r="AU127" s="152">
        <v>11</v>
      </c>
      <c r="AV127" s="152">
        <v>9</v>
      </c>
      <c r="AW127" s="152">
        <v>3</v>
      </c>
      <c r="AX127" s="152">
        <v>2</v>
      </c>
      <c r="AY127" s="152"/>
      <c r="AZ127" s="152">
        <v>14</v>
      </c>
      <c r="BA127" s="152">
        <v>25</v>
      </c>
      <c r="BB127" s="152">
        <v>6</v>
      </c>
      <c r="BC127" s="152"/>
      <c r="BD127" s="152">
        <v>6</v>
      </c>
      <c r="BE127" s="152">
        <v>1</v>
      </c>
      <c r="BF127" s="152"/>
      <c r="BG127" s="152"/>
      <c r="BH127" s="152"/>
      <c r="BI127" s="152">
        <v>1</v>
      </c>
      <c r="BJ127" s="152">
        <v>7</v>
      </c>
      <c r="BK127" s="152"/>
      <c r="BL127" s="152"/>
      <c r="BM127" s="152"/>
      <c r="BN127" s="152">
        <v>0</v>
      </c>
      <c r="BO127" s="152">
        <v>0</v>
      </c>
      <c r="BP127" s="152">
        <v>92</v>
      </c>
    </row>
    <row r="128" spans="1:68" x14ac:dyDescent="0.35">
      <c r="A128" s="146" t="s">
        <v>535</v>
      </c>
      <c r="B128" s="146" t="s">
        <v>536</v>
      </c>
      <c r="C128" s="152">
        <v>25</v>
      </c>
      <c r="D128" s="152"/>
      <c r="E128" s="152"/>
      <c r="F128" s="152"/>
      <c r="G128" s="152">
        <v>25</v>
      </c>
      <c r="H128" s="152">
        <v>11</v>
      </c>
      <c r="I128" s="152">
        <v>2</v>
      </c>
      <c r="J128" s="152">
        <v>1</v>
      </c>
      <c r="K128" s="152"/>
      <c r="L128" s="152">
        <v>14</v>
      </c>
      <c r="M128" s="152">
        <v>39</v>
      </c>
      <c r="N128" s="152">
        <v>3</v>
      </c>
      <c r="O128" s="152"/>
      <c r="P128" s="152"/>
      <c r="Q128" s="152">
        <v>3</v>
      </c>
      <c r="R128" s="152"/>
      <c r="S128" s="152"/>
      <c r="T128" s="152"/>
      <c r="U128" s="152"/>
      <c r="V128" s="152">
        <v>0</v>
      </c>
      <c r="W128" s="152">
        <v>3</v>
      </c>
      <c r="X128" s="152"/>
      <c r="Y128" s="152"/>
      <c r="Z128" s="152"/>
      <c r="AA128" s="152">
        <v>0</v>
      </c>
      <c r="AB128" s="152"/>
      <c r="AC128" s="152"/>
      <c r="AD128" s="152"/>
      <c r="AE128" s="152"/>
      <c r="AF128" s="152">
        <v>0</v>
      </c>
      <c r="AG128" s="152">
        <v>0</v>
      </c>
      <c r="AH128" s="152">
        <v>2</v>
      </c>
      <c r="AI128" s="152"/>
      <c r="AJ128" s="152"/>
      <c r="AK128" s="152">
        <v>2</v>
      </c>
      <c r="AL128" s="152"/>
      <c r="AM128" s="152"/>
      <c r="AN128" s="152"/>
      <c r="AO128" s="152"/>
      <c r="AP128" s="152">
        <v>0</v>
      </c>
      <c r="AQ128" s="152">
        <v>2</v>
      </c>
      <c r="AR128" s="152">
        <v>2</v>
      </c>
      <c r="AS128" s="152"/>
      <c r="AT128" s="152"/>
      <c r="AU128" s="152">
        <v>2</v>
      </c>
      <c r="AV128" s="152">
        <v>1</v>
      </c>
      <c r="AW128" s="152">
        <v>1</v>
      </c>
      <c r="AX128" s="152"/>
      <c r="AY128" s="152"/>
      <c r="AZ128" s="152">
        <v>2</v>
      </c>
      <c r="BA128" s="152">
        <v>4</v>
      </c>
      <c r="BB128" s="152"/>
      <c r="BC128" s="152"/>
      <c r="BD128" s="152">
        <v>0</v>
      </c>
      <c r="BE128" s="152">
        <v>1</v>
      </c>
      <c r="BF128" s="152"/>
      <c r="BG128" s="152"/>
      <c r="BH128" s="152"/>
      <c r="BI128" s="152">
        <v>1</v>
      </c>
      <c r="BJ128" s="152">
        <v>1</v>
      </c>
      <c r="BK128" s="152"/>
      <c r="BL128" s="152"/>
      <c r="BM128" s="152"/>
      <c r="BN128" s="152">
        <v>0</v>
      </c>
      <c r="BO128" s="152">
        <v>0</v>
      </c>
      <c r="BP128" s="152">
        <v>49</v>
      </c>
    </row>
    <row r="129" spans="1:68" x14ac:dyDescent="0.35">
      <c r="A129" s="146" t="s">
        <v>537</v>
      </c>
      <c r="B129" s="146" t="s">
        <v>538</v>
      </c>
      <c r="C129" s="152">
        <v>2</v>
      </c>
      <c r="D129" s="152"/>
      <c r="E129" s="152"/>
      <c r="F129" s="152"/>
      <c r="G129" s="152">
        <v>2</v>
      </c>
      <c r="H129" s="152">
        <v>7</v>
      </c>
      <c r="I129" s="152">
        <v>2</v>
      </c>
      <c r="J129" s="152">
        <v>1</v>
      </c>
      <c r="K129" s="152"/>
      <c r="L129" s="152">
        <v>10</v>
      </c>
      <c r="M129" s="152">
        <v>12</v>
      </c>
      <c r="N129" s="152"/>
      <c r="O129" s="152"/>
      <c r="P129" s="152"/>
      <c r="Q129" s="152">
        <v>0</v>
      </c>
      <c r="R129" s="152">
        <v>2</v>
      </c>
      <c r="S129" s="152">
        <v>1</v>
      </c>
      <c r="T129" s="152"/>
      <c r="U129" s="152"/>
      <c r="V129" s="152">
        <v>3</v>
      </c>
      <c r="W129" s="152">
        <v>3</v>
      </c>
      <c r="X129" s="152"/>
      <c r="Y129" s="152"/>
      <c r="Z129" s="152"/>
      <c r="AA129" s="152">
        <v>0</v>
      </c>
      <c r="AB129" s="152"/>
      <c r="AC129" s="152"/>
      <c r="AD129" s="152"/>
      <c r="AE129" s="152"/>
      <c r="AF129" s="152">
        <v>0</v>
      </c>
      <c r="AG129" s="152">
        <v>0</v>
      </c>
      <c r="AH129" s="152"/>
      <c r="AI129" s="152"/>
      <c r="AJ129" s="152"/>
      <c r="AK129" s="152">
        <v>0</v>
      </c>
      <c r="AL129" s="152"/>
      <c r="AM129" s="152"/>
      <c r="AN129" s="152"/>
      <c r="AO129" s="152"/>
      <c r="AP129" s="152">
        <v>0</v>
      </c>
      <c r="AQ129" s="152">
        <v>0</v>
      </c>
      <c r="AR129" s="152"/>
      <c r="AS129" s="152"/>
      <c r="AT129" s="152"/>
      <c r="AU129" s="152">
        <v>0</v>
      </c>
      <c r="AV129" s="152">
        <v>3</v>
      </c>
      <c r="AW129" s="152"/>
      <c r="AX129" s="152"/>
      <c r="AY129" s="152">
        <v>3</v>
      </c>
      <c r="AZ129" s="152">
        <v>6</v>
      </c>
      <c r="BA129" s="152">
        <v>6</v>
      </c>
      <c r="BB129" s="152"/>
      <c r="BC129" s="152"/>
      <c r="BD129" s="152">
        <v>0</v>
      </c>
      <c r="BE129" s="152"/>
      <c r="BF129" s="152"/>
      <c r="BG129" s="152"/>
      <c r="BH129" s="152"/>
      <c r="BI129" s="152">
        <v>0</v>
      </c>
      <c r="BJ129" s="152">
        <v>0</v>
      </c>
      <c r="BK129" s="152"/>
      <c r="BL129" s="152"/>
      <c r="BM129" s="152"/>
      <c r="BN129" s="152">
        <v>0</v>
      </c>
      <c r="BO129" s="152">
        <v>0</v>
      </c>
      <c r="BP129" s="152">
        <v>21</v>
      </c>
    </row>
    <row r="130" spans="1:68" x14ac:dyDescent="0.35">
      <c r="A130" s="146" t="s">
        <v>539</v>
      </c>
      <c r="B130" s="146" t="s">
        <v>540</v>
      </c>
      <c r="C130" s="152">
        <v>20</v>
      </c>
      <c r="D130" s="152"/>
      <c r="E130" s="152">
        <v>1</v>
      </c>
      <c r="F130" s="152"/>
      <c r="G130" s="152">
        <v>21</v>
      </c>
      <c r="H130" s="152">
        <v>22</v>
      </c>
      <c r="I130" s="152">
        <v>5</v>
      </c>
      <c r="J130" s="152">
        <v>2</v>
      </c>
      <c r="K130" s="152"/>
      <c r="L130" s="152">
        <v>29</v>
      </c>
      <c r="M130" s="152">
        <v>50</v>
      </c>
      <c r="N130" s="152">
        <v>4</v>
      </c>
      <c r="O130" s="152"/>
      <c r="P130" s="152"/>
      <c r="Q130" s="152">
        <v>4</v>
      </c>
      <c r="R130" s="152"/>
      <c r="S130" s="152"/>
      <c r="T130" s="152"/>
      <c r="U130" s="152">
        <v>1</v>
      </c>
      <c r="V130" s="152">
        <v>1</v>
      </c>
      <c r="W130" s="152">
        <v>5</v>
      </c>
      <c r="X130" s="152">
        <v>1</v>
      </c>
      <c r="Y130" s="152"/>
      <c r="Z130" s="152"/>
      <c r="AA130" s="152">
        <v>1</v>
      </c>
      <c r="AB130" s="152">
        <v>2</v>
      </c>
      <c r="AC130" s="152"/>
      <c r="AD130" s="152"/>
      <c r="AE130" s="152"/>
      <c r="AF130" s="152">
        <v>2</v>
      </c>
      <c r="AG130" s="152">
        <v>3</v>
      </c>
      <c r="AH130" s="152">
        <v>2</v>
      </c>
      <c r="AI130" s="152"/>
      <c r="AJ130" s="152"/>
      <c r="AK130" s="152">
        <v>2</v>
      </c>
      <c r="AL130" s="152"/>
      <c r="AM130" s="152"/>
      <c r="AN130" s="152"/>
      <c r="AO130" s="152"/>
      <c r="AP130" s="152">
        <v>0</v>
      </c>
      <c r="AQ130" s="152">
        <v>2</v>
      </c>
      <c r="AR130" s="152">
        <v>4</v>
      </c>
      <c r="AS130" s="152"/>
      <c r="AT130" s="152"/>
      <c r="AU130" s="152">
        <v>4</v>
      </c>
      <c r="AV130" s="152">
        <v>4</v>
      </c>
      <c r="AW130" s="152">
        <v>1</v>
      </c>
      <c r="AX130" s="152"/>
      <c r="AY130" s="152"/>
      <c r="AZ130" s="152">
        <v>5</v>
      </c>
      <c r="BA130" s="152">
        <v>9</v>
      </c>
      <c r="BB130" s="152">
        <v>4</v>
      </c>
      <c r="BC130" s="152"/>
      <c r="BD130" s="152">
        <v>4</v>
      </c>
      <c r="BE130" s="152"/>
      <c r="BF130" s="152"/>
      <c r="BG130" s="152"/>
      <c r="BH130" s="152"/>
      <c r="BI130" s="152">
        <v>0</v>
      </c>
      <c r="BJ130" s="152">
        <v>4</v>
      </c>
      <c r="BK130" s="152"/>
      <c r="BL130" s="152"/>
      <c r="BM130" s="152"/>
      <c r="BN130" s="152">
        <v>0</v>
      </c>
      <c r="BO130" s="152">
        <v>0</v>
      </c>
      <c r="BP130" s="152">
        <v>73</v>
      </c>
    </row>
    <row r="131" spans="1:68" x14ac:dyDescent="0.35">
      <c r="A131" s="146" t="s">
        <v>541</v>
      </c>
      <c r="B131" s="146" t="s">
        <v>542</v>
      </c>
      <c r="C131" s="152">
        <v>7</v>
      </c>
      <c r="D131" s="152"/>
      <c r="E131" s="152"/>
      <c r="F131" s="152"/>
      <c r="G131" s="152">
        <v>7</v>
      </c>
      <c r="H131" s="152">
        <v>7</v>
      </c>
      <c r="I131" s="152"/>
      <c r="J131" s="152">
        <v>1</v>
      </c>
      <c r="K131" s="152">
        <v>1</v>
      </c>
      <c r="L131" s="152">
        <v>9</v>
      </c>
      <c r="M131" s="152">
        <v>16</v>
      </c>
      <c r="N131" s="152"/>
      <c r="O131" s="152"/>
      <c r="P131" s="152"/>
      <c r="Q131" s="152">
        <v>0</v>
      </c>
      <c r="R131" s="152"/>
      <c r="S131" s="152"/>
      <c r="T131" s="152"/>
      <c r="U131" s="152"/>
      <c r="V131" s="152">
        <v>0</v>
      </c>
      <c r="W131" s="152">
        <v>0</v>
      </c>
      <c r="X131" s="152">
        <v>1</v>
      </c>
      <c r="Y131" s="152"/>
      <c r="Z131" s="152"/>
      <c r="AA131" s="152">
        <v>1</v>
      </c>
      <c r="AB131" s="152"/>
      <c r="AC131" s="152"/>
      <c r="AD131" s="152"/>
      <c r="AE131" s="152"/>
      <c r="AF131" s="152">
        <v>0</v>
      </c>
      <c r="AG131" s="152">
        <v>1</v>
      </c>
      <c r="AH131" s="152"/>
      <c r="AI131" s="152"/>
      <c r="AJ131" s="152"/>
      <c r="AK131" s="152">
        <v>0</v>
      </c>
      <c r="AL131" s="152"/>
      <c r="AM131" s="152"/>
      <c r="AN131" s="152"/>
      <c r="AO131" s="152"/>
      <c r="AP131" s="152">
        <v>0</v>
      </c>
      <c r="AQ131" s="152">
        <v>0</v>
      </c>
      <c r="AR131" s="152"/>
      <c r="AS131" s="152"/>
      <c r="AT131" s="152"/>
      <c r="AU131" s="152">
        <v>0</v>
      </c>
      <c r="AV131" s="152">
        <v>1</v>
      </c>
      <c r="AW131" s="152"/>
      <c r="AX131" s="152"/>
      <c r="AY131" s="152"/>
      <c r="AZ131" s="152">
        <v>1</v>
      </c>
      <c r="BA131" s="152">
        <v>1</v>
      </c>
      <c r="BB131" s="152"/>
      <c r="BC131" s="152"/>
      <c r="BD131" s="152">
        <v>0</v>
      </c>
      <c r="BE131" s="152"/>
      <c r="BF131" s="152"/>
      <c r="BG131" s="152"/>
      <c r="BH131" s="152"/>
      <c r="BI131" s="152">
        <v>0</v>
      </c>
      <c r="BJ131" s="152">
        <v>0</v>
      </c>
      <c r="BK131" s="152"/>
      <c r="BL131" s="152"/>
      <c r="BM131" s="152"/>
      <c r="BN131" s="152">
        <v>0</v>
      </c>
      <c r="BO131" s="152">
        <v>0</v>
      </c>
      <c r="BP131" s="152">
        <v>18</v>
      </c>
    </row>
    <row r="132" spans="1:68" x14ac:dyDescent="0.35">
      <c r="A132" s="146" t="s">
        <v>543</v>
      </c>
      <c r="B132" s="146" t="s">
        <v>544</v>
      </c>
      <c r="C132" s="152">
        <v>4</v>
      </c>
      <c r="D132" s="152"/>
      <c r="E132" s="152"/>
      <c r="F132" s="152"/>
      <c r="G132" s="152">
        <v>4</v>
      </c>
      <c r="H132" s="152">
        <v>1</v>
      </c>
      <c r="I132" s="152">
        <v>2</v>
      </c>
      <c r="J132" s="152">
        <v>1</v>
      </c>
      <c r="K132" s="152"/>
      <c r="L132" s="152">
        <v>4</v>
      </c>
      <c r="M132" s="152">
        <v>8</v>
      </c>
      <c r="N132" s="152"/>
      <c r="O132" s="152"/>
      <c r="P132" s="152"/>
      <c r="Q132" s="152">
        <v>0</v>
      </c>
      <c r="R132" s="152"/>
      <c r="S132" s="152"/>
      <c r="T132" s="152"/>
      <c r="U132" s="152"/>
      <c r="V132" s="152">
        <v>0</v>
      </c>
      <c r="W132" s="152">
        <v>0</v>
      </c>
      <c r="X132" s="152"/>
      <c r="Y132" s="152"/>
      <c r="Z132" s="152"/>
      <c r="AA132" s="152">
        <v>0</v>
      </c>
      <c r="AB132" s="152"/>
      <c r="AC132" s="152"/>
      <c r="AD132" s="152"/>
      <c r="AE132" s="152"/>
      <c r="AF132" s="152">
        <v>0</v>
      </c>
      <c r="AG132" s="152">
        <v>0</v>
      </c>
      <c r="AH132" s="152"/>
      <c r="AI132" s="152"/>
      <c r="AJ132" s="152"/>
      <c r="AK132" s="152">
        <v>0</v>
      </c>
      <c r="AL132" s="152"/>
      <c r="AM132" s="152"/>
      <c r="AN132" s="152"/>
      <c r="AO132" s="152"/>
      <c r="AP132" s="152">
        <v>0</v>
      </c>
      <c r="AQ132" s="152">
        <v>0</v>
      </c>
      <c r="AR132" s="152"/>
      <c r="AS132" s="152"/>
      <c r="AT132" s="152"/>
      <c r="AU132" s="152">
        <v>0</v>
      </c>
      <c r="AV132" s="152"/>
      <c r="AW132" s="152"/>
      <c r="AX132" s="152"/>
      <c r="AY132" s="152"/>
      <c r="AZ132" s="152">
        <v>0</v>
      </c>
      <c r="BA132" s="152">
        <v>0</v>
      </c>
      <c r="BB132" s="152"/>
      <c r="BC132" s="152"/>
      <c r="BD132" s="152">
        <v>0</v>
      </c>
      <c r="BE132" s="152"/>
      <c r="BF132" s="152"/>
      <c r="BG132" s="152"/>
      <c r="BH132" s="152"/>
      <c r="BI132" s="152">
        <v>0</v>
      </c>
      <c r="BJ132" s="152">
        <v>0</v>
      </c>
      <c r="BK132" s="152"/>
      <c r="BL132" s="152"/>
      <c r="BM132" s="152"/>
      <c r="BN132" s="152">
        <v>0</v>
      </c>
      <c r="BO132" s="152">
        <v>0</v>
      </c>
      <c r="BP132" s="152">
        <v>8</v>
      </c>
    </row>
    <row r="133" spans="1:68" x14ac:dyDescent="0.35">
      <c r="A133" s="146" t="s">
        <v>545</v>
      </c>
      <c r="B133" s="146" t="s">
        <v>546</v>
      </c>
      <c r="C133" s="152">
        <v>6</v>
      </c>
      <c r="D133" s="152"/>
      <c r="E133" s="152"/>
      <c r="F133" s="152"/>
      <c r="G133" s="152">
        <v>6</v>
      </c>
      <c r="H133" s="152">
        <v>4</v>
      </c>
      <c r="I133" s="152">
        <v>3</v>
      </c>
      <c r="J133" s="152">
        <v>1</v>
      </c>
      <c r="K133" s="152"/>
      <c r="L133" s="152">
        <v>8</v>
      </c>
      <c r="M133" s="152">
        <v>14</v>
      </c>
      <c r="N133" s="152"/>
      <c r="O133" s="152"/>
      <c r="P133" s="152"/>
      <c r="Q133" s="152">
        <v>0</v>
      </c>
      <c r="R133" s="152"/>
      <c r="S133" s="152"/>
      <c r="T133" s="152"/>
      <c r="U133" s="152"/>
      <c r="V133" s="152">
        <v>0</v>
      </c>
      <c r="W133" s="152">
        <v>0</v>
      </c>
      <c r="X133" s="152"/>
      <c r="Y133" s="152"/>
      <c r="Z133" s="152"/>
      <c r="AA133" s="152">
        <v>0</v>
      </c>
      <c r="AB133" s="152"/>
      <c r="AC133" s="152"/>
      <c r="AD133" s="152"/>
      <c r="AE133" s="152"/>
      <c r="AF133" s="152">
        <v>0</v>
      </c>
      <c r="AG133" s="152">
        <v>0</v>
      </c>
      <c r="AH133" s="152"/>
      <c r="AI133" s="152"/>
      <c r="AJ133" s="152"/>
      <c r="AK133" s="152">
        <v>0</v>
      </c>
      <c r="AL133" s="152"/>
      <c r="AM133" s="152"/>
      <c r="AN133" s="152"/>
      <c r="AO133" s="152"/>
      <c r="AP133" s="152">
        <v>0</v>
      </c>
      <c r="AQ133" s="152">
        <v>0</v>
      </c>
      <c r="AR133" s="152"/>
      <c r="AS133" s="152"/>
      <c r="AT133" s="152"/>
      <c r="AU133" s="152">
        <v>0</v>
      </c>
      <c r="AV133" s="152"/>
      <c r="AW133" s="152">
        <v>1</v>
      </c>
      <c r="AX133" s="152"/>
      <c r="AY133" s="152"/>
      <c r="AZ133" s="152">
        <v>1</v>
      </c>
      <c r="BA133" s="152">
        <v>1</v>
      </c>
      <c r="BB133" s="152"/>
      <c r="BC133" s="152"/>
      <c r="BD133" s="152">
        <v>0</v>
      </c>
      <c r="BE133" s="152"/>
      <c r="BF133" s="152"/>
      <c r="BG133" s="152"/>
      <c r="BH133" s="152"/>
      <c r="BI133" s="152">
        <v>0</v>
      </c>
      <c r="BJ133" s="152">
        <v>0</v>
      </c>
      <c r="BK133" s="152"/>
      <c r="BL133" s="152"/>
      <c r="BM133" s="152"/>
      <c r="BN133" s="152">
        <v>0</v>
      </c>
      <c r="BO133" s="152">
        <v>0</v>
      </c>
      <c r="BP133" s="152">
        <v>15</v>
      </c>
    </row>
    <row r="134" spans="1:68" x14ac:dyDescent="0.35">
      <c r="A134" s="146" t="s">
        <v>547</v>
      </c>
      <c r="B134" s="146" t="s">
        <v>1225</v>
      </c>
      <c r="C134" s="152">
        <v>6</v>
      </c>
      <c r="D134" s="152"/>
      <c r="E134" s="152"/>
      <c r="F134" s="152"/>
      <c r="G134" s="152">
        <v>6</v>
      </c>
      <c r="H134" s="152">
        <v>2</v>
      </c>
      <c r="I134" s="152">
        <v>1</v>
      </c>
      <c r="J134" s="152"/>
      <c r="K134" s="152">
        <v>1</v>
      </c>
      <c r="L134" s="152">
        <v>4</v>
      </c>
      <c r="M134" s="152">
        <v>10</v>
      </c>
      <c r="N134" s="152"/>
      <c r="O134" s="152"/>
      <c r="P134" s="152"/>
      <c r="Q134" s="152">
        <v>0</v>
      </c>
      <c r="R134" s="152">
        <v>1</v>
      </c>
      <c r="S134" s="152"/>
      <c r="T134" s="152"/>
      <c r="U134" s="152"/>
      <c r="V134" s="152">
        <v>1</v>
      </c>
      <c r="W134" s="152">
        <v>1</v>
      </c>
      <c r="X134" s="152"/>
      <c r="Y134" s="152"/>
      <c r="Z134" s="152"/>
      <c r="AA134" s="152">
        <v>0</v>
      </c>
      <c r="AB134" s="152"/>
      <c r="AC134" s="152"/>
      <c r="AD134" s="152"/>
      <c r="AE134" s="152"/>
      <c r="AF134" s="152">
        <v>0</v>
      </c>
      <c r="AG134" s="152">
        <v>0</v>
      </c>
      <c r="AH134" s="152"/>
      <c r="AI134" s="152"/>
      <c r="AJ134" s="152"/>
      <c r="AK134" s="152">
        <v>0</v>
      </c>
      <c r="AL134" s="152"/>
      <c r="AM134" s="152"/>
      <c r="AN134" s="152"/>
      <c r="AO134" s="152"/>
      <c r="AP134" s="152">
        <v>0</v>
      </c>
      <c r="AQ134" s="152">
        <v>0</v>
      </c>
      <c r="AR134" s="152">
        <v>4</v>
      </c>
      <c r="AS134" s="152"/>
      <c r="AT134" s="152"/>
      <c r="AU134" s="152">
        <v>4</v>
      </c>
      <c r="AV134" s="152">
        <v>3</v>
      </c>
      <c r="AW134" s="152">
        <v>1</v>
      </c>
      <c r="AX134" s="152">
        <v>1</v>
      </c>
      <c r="AY134" s="152"/>
      <c r="AZ134" s="152">
        <v>5</v>
      </c>
      <c r="BA134" s="152">
        <v>9</v>
      </c>
      <c r="BB134" s="152"/>
      <c r="BC134" s="152"/>
      <c r="BD134" s="152">
        <v>0</v>
      </c>
      <c r="BE134" s="152"/>
      <c r="BF134" s="152"/>
      <c r="BG134" s="152"/>
      <c r="BH134" s="152"/>
      <c r="BI134" s="152">
        <v>0</v>
      </c>
      <c r="BJ134" s="152">
        <v>0</v>
      </c>
      <c r="BK134" s="152"/>
      <c r="BL134" s="152"/>
      <c r="BM134" s="152"/>
      <c r="BN134" s="152">
        <v>0</v>
      </c>
      <c r="BO134" s="152">
        <v>0</v>
      </c>
      <c r="BP134" s="152">
        <v>20</v>
      </c>
    </row>
    <row r="135" spans="1:68" x14ac:dyDescent="0.35">
      <c r="A135" s="146" t="s">
        <v>548</v>
      </c>
      <c r="B135" s="146" t="s">
        <v>549</v>
      </c>
      <c r="C135" s="152">
        <v>182</v>
      </c>
      <c r="D135" s="152">
        <v>2</v>
      </c>
      <c r="E135" s="152"/>
      <c r="F135" s="152"/>
      <c r="G135" s="152">
        <v>184</v>
      </c>
      <c r="H135" s="152">
        <v>217</v>
      </c>
      <c r="I135" s="152">
        <v>43</v>
      </c>
      <c r="J135" s="152">
        <v>3</v>
      </c>
      <c r="K135" s="152">
        <v>1</v>
      </c>
      <c r="L135" s="152">
        <v>264</v>
      </c>
      <c r="M135" s="152">
        <v>448</v>
      </c>
      <c r="N135" s="152">
        <v>13</v>
      </c>
      <c r="O135" s="152"/>
      <c r="P135" s="152"/>
      <c r="Q135" s="152">
        <v>13</v>
      </c>
      <c r="R135" s="152">
        <v>4</v>
      </c>
      <c r="S135" s="152">
        <v>1</v>
      </c>
      <c r="T135" s="152"/>
      <c r="U135" s="152"/>
      <c r="V135" s="152">
        <v>5</v>
      </c>
      <c r="W135" s="152">
        <v>18</v>
      </c>
      <c r="X135" s="152">
        <v>29</v>
      </c>
      <c r="Y135" s="152"/>
      <c r="Z135" s="152"/>
      <c r="AA135" s="152">
        <v>29</v>
      </c>
      <c r="AB135" s="152">
        <v>5</v>
      </c>
      <c r="AC135" s="152">
        <v>1</v>
      </c>
      <c r="AD135" s="152"/>
      <c r="AE135" s="152"/>
      <c r="AF135" s="152">
        <v>6</v>
      </c>
      <c r="AG135" s="152">
        <v>35</v>
      </c>
      <c r="AH135" s="152">
        <v>22</v>
      </c>
      <c r="AI135" s="152"/>
      <c r="AJ135" s="152"/>
      <c r="AK135" s="152">
        <v>22</v>
      </c>
      <c r="AL135" s="152">
        <v>3</v>
      </c>
      <c r="AM135" s="152">
        <v>1</v>
      </c>
      <c r="AN135" s="152"/>
      <c r="AO135" s="152"/>
      <c r="AP135" s="152">
        <v>4</v>
      </c>
      <c r="AQ135" s="152">
        <v>26</v>
      </c>
      <c r="AR135" s="152">
        <v>49</v>
      </c>
      <c r="AS135" s="152"/>
      <c r="AT135" s="152"/>
      <c r="AU135" s="152">
        <v>49</v>
      </c>
      <c r="AV135" s="152">
        <v>42</v>
      </c>
      <c r="AW135" s="152">
        <v>7</v>
      </c>
      <c r="AX135" s="152">
        <v>3</v>
      </c>
      <c r="AY135" s="152"/>
      <c r="AZ135" s="152">
        <v>52</v>
      </c>
      <c r="BA135" s="152">
        <v>101</v>
      </c>
      <c r="BB135" s="152">
        <v>6</v>
      </c>
      <c r="BC135" s="152"/>
      <c r="BD135" s="152">
        <v>6</v>
      </c>
      <c r="BE135" s="152">
        <v>1</v>
      </c>
      <c r="BF135" s="152"/>
      <c r="BG135" s="152"/>
      <c r="BH135" s="152"/>
      <c r="BI135" s="152">
        <v>1</v>
      </c>
      <c r="BJ135" s="152">
        <v>7</v>
      </c>
      <c r="BK135" s="152"/>
      <c r="BL135" s="152"/>
      <c r="BM135" s="152"/>
      <c r="BN135" s="152">
        <v>0</v>
      </c>
      <c r="BO135" s="152">
        <v>0</v>
      </c>
      <c r="BP135" s="152">
        <v>635</v>
      </c>
    </row>
    <row r="136" spans="1:68" x14ac:dyDescent="0.35">
      <c r="A136" s="146" t="s">
        <v>550</v>
      </c>
      <c r="B136" s="146" t="s">
        <v>1226</v>
      </c>
      <c r="C136" s="152">
        <v>6</v>
      </c>
      <c r="D136" s="152">
        <v>1</v>
      </c>
      <c r="E136" s="152"/>
      <c r="F136" s="152"/>
      <c r="G136" s="152">
        <v>7</v>
      </c>
      <c r="H136" s="152">
        <v>5</v>
      </c>
      <c r="I136" s="152">
        <v>2</v>
      </c>
      <c r="J136" s="152"/>
      <c r="K136" s="152"/>
      <c r="L136" s="152">
        <v>7</v>
      </c>
      <c r="M136" s="152">
        <v>14</v>
      </c>
      <c r="N136" s="152">
        <v>1</v>
      </c>
      <c r="O136" s="152"/>
      <c r="P136" s="152"/>
      <c r="Q136" s="152">
        <v>1</v>
      </c>
      <c r="R136" s="152"/>
      <c r="S136" s="152"/>
      <c r="T136" s="152"/>
      <c r="U136" s="152"/>
      <c r="V136" s="152">
        <v>0</v>
      </c>
      <c r="W136" s="152">
        <v>1</v>
      </c>
      <c r="X136" s="152"/>
      <c r="Y136" s="152"/>
      <c r="Z136" s="152"/>
      <c r="AA136" s="152">
        <v>0</v>
      </c>
      <c r="AB136" s="152">
        <v>1</v>
      </c>
      <c r="AC136" s="152"/>
      <c r="AD136" s="152"/>
      <c r="AE136" s="152"/>
      <c r="AF136" s="152">
        <v>1</v>
      </c>
      <c r="AG136" s="152">
        <v>1</v>
      </c>
      <c r="AH136" s="152"/>
      <c r="AI136" s="152"/>
      <c r="AJ136" s="152"/>
      <c r="AK136" s="152">
        <v>0</v>
      </c>
      <c r="AL136" s="152"/>
      <c r="AM136" s="152"/>
      <c r="AN136" s="152"/>
      <c r="AO136" s="152"/>
      <c r="AP136" s="152">
        <v>0</v>
      </c>
      <c r="AQ136" s="152">
        <v>0</v>
      </c>
      <c r="AR136" s="152"/>
      <c r="AS136" s="152"/>
      <c r="AT136" s="152"/>
      <c r="AU136" s="152">
        <v>0</v>
      </c>
      <c r="AV136" s="152">
        <v>1</v>
      </c>
      <c r="AW136" s="152"/>
      <c r="AX136" s="152"/>
      <c r="AY136" s="152"/>
      <c r="AZ136" s="152">
        <v>1</v>
      </c>
      <c r="BA136" s="152">
        <v>1</v>
      </c>
      <c r="BB136" s="152"/>
      <c r="BC136" s="152"/>
      <c r="BD136" s="152">
        <v>0</v>
      </c>
      <c r="BE136" s="152"/>
      <c r="BF136" s="152"/>
      <c r="BG136" s="152"/>
      <c r="BH136" s="152"/>
      <c r="BI136" s="152">
        <v>0</v>
      </c>
      <c r="BJ136" s="152">
        <v>0</v>
      </c>
      <c r="BK136" s="152"/>
      <c r="BL136" s="152"/>
      <c r="BM136" s="152"/>
      <c r="BN136" s="152">
        <v>0</v>
      </c>
      <c r="BO136" s="152">
        <v>0</v>
      </c>
      <c r="BP136" s="152">
        <v>17</v>
      </c>
    </row>
    <row r="137" spans="1:68" x14ac:dyDescent="0.35">
      <c r="A137" s="146" t="s">
        <v>551</v>
      </c>
      <c r="B137" s="146" t="s">
        <v>552</v>
      </c>
      <c r="C137" s="152">
        <v>1</v>
      </c>
      <c r="D137" s="152"/>
      <c r="E137" s="152"/>
      <c r="F137" s="152"/>
      <c r="G137" s="152">
        <v>1</v>
      </c>
      <c r="H137" s="152">
        <v>3</v>
      </c>
      <c r="I137" s="152"/>
      <c r="J137" s="152">
        <v>1</v>
      </c>
      <c r="K137" s="152"/>
      <c r="L137" s="152">
        <v>4</v>
      </c>
      <c r="M137" s="152">
        <v>5</v>
      </c>
      <c r="N137" s="152"/>
      <c r="O137" s="152"/>
      <c r="P137" s="152"/>
      <c r="Q137" s="152">
        <v>0</v>
      </c>
      <c r="R137" s="152"/>
      <c r="S137" s="152"/>
      <c r="T137" s="152"/>
      <c r="U137" s="152"/>
      <c r="V137" s="152">
        <v>0</v>
      </c>
      <c r="W137" s="152">
        <v>0</v>
      </c>
      <c r="X137" s="152"/>
      <c r="Y137" s="152"/>
      <c r="Z137" s="152"/>
      <c r="AA137" s="152">
        <v>0</v>
      </c>
      <c r="AB137" s="152"/>
      <c r="AC137" s="152"/>
      <c r="AD137" s="152"/>
      <c r="AE137" s="152"/>
      <c r="AF137" s="152">
        <v>0</v>
      </c>
      <c r="AG137" s="152">
        <v>0</v>
      </c>
      <c r="AH137" s="152"/>
      <c r="AI137" s="152"/>
      <c r="AJ137" s="152"/>
      <c r="AK137" s="152">
        <v>0</v>
      </c>
      <c r="AL137" s="152"/>
      <c r="AM137" s="152"/>
      <c r="AN137" s="152"/>
      <c r="AO137" s="152"/>
      <c r="AP137" s="152">
        <v>0</v>
      </c>
      <c r="AQ137" s="152">
        <v>0</v>
      </c>
      <c r="AR137" s="152"/>
      <c r="AS137" s="152"/>
      <c r="AT137" s="152"/>
      <c r="AU137" s="152">
        <v>0</v>
      </c>
      <c r="AV137" s="152">
        <v>1</v>
      </c>
      <c r="AW137" s="152"/>
      <c r="AX137" s="152"/>
      <c r="AY137" s="152"/>
      <c r="AZ137" s="152">
        <v>1</v>
      </c>
      <c r="BA137" s="152">
        <v>1</v>
      </c>
      <c r="BB137" s="152"/>
      <c r="BC137" s="152"/>
      <c r="BD137" s="152">
        <v>0</v>
      </c>
      <c r="BE137" s="152"/>
      <c r="BF137" s="152"/>
      <c r="BG137" s="152"/>
      <c r="BH137" s="152"/>
      <c r="BI137" s="152">
        <v>0</v>
      </c>
      <c r="BJ137" s="152">
        <v>0</v>
      </c>
      <c r="BK137" s="152"/>
      <c r="BL137" s="152"/>
      <c r="BM137" s="152"/>
      <c r="BN137" s="152">
        <v>0</v>
      </c>
      <c r="BO137" s="152">
        <v>0</v>
      </c>
      <c r="BP137" s="152">
        <v>6</v>
      </c>
    </row>
    <row r="138" spans="1:68" x14ac:dyDescent="0.35">
      <c r="A138" s="146" t="s">
        <v>553</v>
      </c>
      <c r="B138" s="146" t="s">
        <v>1370</v>
      </c>
      <c r="C138" s="152">
        <v>10</v>
      </c>
      <c r="D138" s="152"/>
      <c r="E138" s="152"/>
      <c r="F138" s="152"/>
      <c r="G138" s="152">
        <v>10</v>
      </c>
      <c r="H138" s="152">
        <v>11</v>
      </c>
      <c r="I138" s="152">
        <v>5</v>
      </c>
      <c r="J138" s="152"/>
      <c r="K138" s="152">
        <v>2</v>
      </c>
      <c r="L138" s="152">
        <v>18</v>
      </c>
      <c r="M138" s="152">
        <v>28</v>
      </c>
      <c r="N138" s="152">
        <v>15</v>
      </c>
      <c r="O138" s="152"/>
      <c r="P138" s="152"/>
      <c r="Q138" s="152">
        <v>15</v>
      </c>
      <c r="R138" s="152"/>
      <c r="S138" s="152"/>
      <c r="T138" s="152"/>
      <c r="U138" s="152"/>
      <c r="V138" s="152">
        <v>0</v>
      </c>
      <c r="W138" s="152">
        <v>15</v>
      </c>
      <c r="X138" s="152">
        <v>1</v>
      </c>
      <c r="Y138" s="152"/>
      <c r="Z138" s="152"/>
      <c r="AA138" s="152">
        <v>1</v>
      </c>
      <c r="AB138" s="152"/>
      <c r="AC138" s="152"/>
      <c r="AD138" s="152"/>
      <c r="AE138" s="152"/>
      <c r="AF138" s="152">
        <v>0</v>
      </c>
      <c r="AG138" s="152">
        <v>1</v>
      </c>
      <c r="AH138" s="152"/>
      <c r="AI138" s="152"/>
      <c r="AJ138" s="152"/>
      <c r="AK138" s="152">
        <v>0</v>
      </c>
      <c r="AL138" s="152"/>
      <c r="AM138" s="152"/>
      <c r="AN138" s="152"/>
      <c r="AO138" s="152"/>
      <c r="AP138" s="152">
        <v>0</v>
      </c>
      <c r="AQ138" s="152">
        <v>0</v>
      </c>
      <c r="AR138" s="152"/>
      <c r="AS138" s="152"/>
      <c r="AT138" s="152"/>
      <c r="AU138" s="152">
        <v>0</v>
      </c>
      <c r="AV138" s="152">
        <v>3</v>
      </c>
      <c r="AW138" s="152"/>
      <c r="AX138" s="152"/>
      <c r="AY138" s="152"/>
      <c r="AZ138" s="152">
        <v>3</v>
      </c>
      <c r="BA138" s="152">
        <v>3</v>
      </c>
      <c r="BB138" s="152">
        <v>1</v>
      </c>
      <c r="BC138" s="152"/>
      <c r="BD138" s="152">
        <v>1</v>
      </c>
      <c r="BE138" s="152"/>
      <c r="BF138" s="152"/>
      <c r="BG138" s="152"/>
      <c r="BH138" s="152"/>
      <c r="BI138" s="152">
        <v>0</v>
      </c>
      <c r="BJ138" s="152">
        <v>1</v>
      </c>
      <c r="BK138" s="152"/>
      <c r="BL138" s="152"/>
      <c r="BM138" s="152"/>
      <c r="BN138" s="152">
        <v>0</v>
      </c>
      <c r="BO138" s="152">
        <v>0</v>
      </c>
      <c r="BP138" s="152">
        <v>48</v>
      </c>
    </row>
    <row r="139" spans="1:68" x14ac:dyDescent="0.35">
      <c r="A139" s="146" t="s">
        <v>554</v>
      </c>
      <c r="B139" s="146" t="s">
        <v>1371</v>
      </c>
      <c r="C139" s="152">
        <v>19</v>
      </c>
      <c r="D139" s="152"/>
      <c r="E139" s="152"/>
      <c r="F139" s="152"/>
      <c r="G139" s="152">
        <v>19</v>
      </c>
      <c r="H139" s="152">
        <v>36</v>
      </c>
      <c r="I139" s="152">
        <v>10</v>
      </c>
      <c r="J139" s="152">
        <v>1</v>
      </c>
      <c r="K139" s="152"/>
      <c r="L139" s="152">
        <v>47</v>
      </c>
      <c r="M139" s="152">
        <v>66</v>
      </c>
      <c r="N139" s="152"/>
      <c r="O139" s="152"/>
      <c r="P139" s="152"/>
      <c r="Q139" s="152">
        <v>0</v>
      </c>
      <c r="R139" s="152"/>
      <c r="S139" s="152"/>
      <c r="T139" s="152"/>
      <c r="U139" s="152"/>
      <c r="V139" s="152">
        <v>0</v>
      </c>
      <c r="W139" s="152">
        <v>0</v>
      </c>
      <c r="X139" s="152">
        <v>1</v>
      </c>
      <c r="Y139" s="152"/>
      <c r="Z139" s="152"/>
      <c r="AA139" s="152">
        <v>1</v>
      </c>
      <c r="AB139" s="152"/>
      <c r="AC139" s="152"/>
      <c r="AD139" s="152"/>
      <c r="AE139" s="152"/>
      <c r="AF139" s="152">
        <v>0</v>
      </c>
      <c r="AG139" s="152">
        <v>1</v>
      </c>
      <c r="AH139" s="152">
        <v>2</v>
      </c>
      <c r="AI139" s="152"/>
      <c r="AJ139" s="152"/>
      <c r="AK139" s="152">
        <v>2</v>
      </c>
      <c r="AL139" s="152"/>
      <c r="AM139" s="152"/>
      <c r="AN139" s="152"/>
      <c r="AO139" s="152"/>
      <c r="AP139" s="152">
        <v>0</v>
      </c>
      <c r="AQ139" s="152">
        <v>2</v>
      </c>
      <c r="AR139" s="152">
        <v>4</v>
      </c>
      <c r="AS139" s="152"/>
      <c r="AT139" s="152"/>
      <c r="AU139" s="152">
        <v>4</v>
      </c>
      <c r="AV139" s="152">
        <v>5</v>
      </c>
      <c r="AW139" s="152"/>
      <c r="AX139" s="152"/>
      <c r="AY139" s="152"/>
      <c r="AZ139" s="152">
        <v>5</v>
      </c>
      <c r="BA139" s="152">
        <v>9</v>
      </c>
      <c r="BB139" s="152"/>
      <c r="BC139" s="152"/>
      <c r="BD139" s="152">
        <v>0</v>
      </c>
      <c r="BE139" s="152"/>
      <c r="BF139" s="152">
        <v>1</v>
      </c>
      <c r="BG139" s="152"/>
      <c r="BH139" s="152"/>
      <c r="BI139" s="152">
        <v>1</v>
      </c>
      <c r="BJ139" s="152">
        <v>1</v>
      </c>
      <c r="BK139" s="152"/>
      <c r="BL139" s="152"/>
      <c r="BM139" s="152"/>
      <c r="BN139" s="152">
        <v>0</v>
      </c>
      <c r="BO139" s="152">
        <v>0</v>
      </c>
      <c r="BP139" s="152">
        <v>79</v>
      </c>
    </row>
    <row r="140" spans="1:68" x14ac:dyDescent="0.35">
      <c r="A140" s="146" t="s">
        <v>555</v>
      </c>
      <c r="B140" s="146" t="s">
        <v>556</v>
      </c>
      <c r="C140" s="152">
        <v>11</v>
      </c>
      <c r="D140" s="152"/>
      <c r="E140" s="152"/>
      <c r="F140" s="152"/>
      <c r="G140" s="152">
        <v>11</v>
      </c>
      <c r="H140" s="152">
        <v>5</v>
      </c>
      <c r="I140" s="152">
        <v>2</v>
      </c>
      <c r="J140" s="152"/>
      <c r="K140" s="152"/>
      <c r="L140" s="152">
        <v>7</v>
      </c>
      <c r="M140" s="152">
        <v>18</v>
      </c>
      <c r="N140" s="152"/>
      <c r="O140" s="152"/>
      <c r="P140" s="152"/>
      <c r="Q140" s="152">
        <v>0</v>
      </c>
      <c r="R140" s="152"/>
      <c r="S140" s="152"/>
      <c r="T140" s="152"/>
      <c r="U140" s="152"/>
      <c r="V140" s="152">
        <v>0</v>
      </c>
      <c r="W140" s="152">
        <v>0</v>
      </c>
      <c r="X140" s="152"/>
      <c r="Y140" s="152"/>
      <c r="Z140" s="152"/>
      <c r="AA140" s="152">
        <v>0</v>
      </c>
      <c r="AB140" s="152"/>
      <c r="AC140" s="152"/>
      <c r="AD140" s="152"/>
      <c r="AE140" s="152"/>
      <c r="AF140" s="152">
        <v>0</v>
      </c>
      <c r="AG140" s="152">
        <v>0</v>
      </c>
      <c r="AH140" s="152"/>
      <c r="AI140" s="152"/>
      <c r="AJ140" s="152"/>
      <c r="AK140" s="152">
        <v>0</v>
      </c>
      <c r="AL140" s="152"/>
      <c r="AM140" s="152"/>
      <c r="AN140" s="152"/>
      <c r="AO140" s="152"/>
      <c r="AP140" s="152">
        <v>0</v>
      </c>
      <c r="AQ140" s="152">
        <v>0</v>
      </c>
      <c r="AR140" s="152">
        <v>4</v>
      </c>
      <c r="AS140" s="152"/>
      <c r="AT140" s="152"/>
      <c r="AU140" s="152">
        <v>4</v>
      </c>
      <c r="AV140" s="152">
        <v>1</v>
      </c>
      <c r="AW140" s="152"/>
      <c r="AX140" s="152"/>
      <c r="AY140" s="152">
        <v>1</v>
      </c>
      <c r="AZ140" s="152">
        <v>2</v>
      </c>
      <c r="BA140" s="152">
        <v>6</v>
      </c>
      <c r="BB140" s="152">
        <v>1</v>
      </c>
      <c r="BC140" s="152"/>
      <c r="BD140" s="152">
        <v>1</v>
      </c>
      <c r="BE140" s="152"/>
      <c r="BF140" s="152"/>
      <c r="BG140" s="152"/>
      <c r="BH140" s="152"/>
      <c r="BI140" s="152">
        <v>0</v>
      </c>
      <c r="BJ140" s="152">
        <v>1</v>
      </c>
      <c r="BK140" s="152"/>
      <c r="BL140" s="152"/>
      <c r="BM140" s="152"/>
      <c r="BN140" s="152">
        <v>0</v>
      </c>
      <c r="BO140" s="152">
        <v>0</v>
      </c>
      <c r="BP140" s="152">
        <v>25</v>
      </c>
    </row>
    <row r="141" spans="1:68" x14ac:dyDescent="0.35">
      <c r="A141" s="146" t="s">
        <v>557</v>
      </c>
      <c r="B141" s="146" t="s">
        <v>558</v>
      </c>
      <c r="C141" s="152">
        <v>110</v>
      </c>
      <c r="D141" s="152">
        <v>4</v>
      </c>
      <c r="E141" s="152">
        <v>1</v>
      </c>
      <c r="F141" s="152"/>
      <c r="G141" s="152">
        <v>115</v>
      </c>
      <c r="H141" s="152">
        <v>121</v>
      </c>
      <c r="I141" s="152">
        <v>43</v>
      </c>
      <c r="J141" s="152">
        <v>6</v>
      </c>
      <c r="K141" s="152"/>
      <c r="L141" s="152">
        <v>170</v>
      </c>
      <c r="M141" s="152">
        <v>285</v>
      </c>
      <c r="N141" s="152">
        <v>3</v>
      </c>
      <c r="O141" s="152"/>
      <c r="P141" s="152"/>
      <c r="Q141" s="152">
        <v>3</v>
      </c>
      <c r="R141" s="152">
        <v>1</v>
      </c>
      <c r="S141" s="152"/>
      <c r="T141" s="152"/>
      <c r="U141" s="152"/>
      <c r="V141" s="152">
        <v>1</v>
      </c>
      <c r="W141" s="152">
        <v>4</v>
      </c>
      <c r="X141" s="152">
        <v>2</v>
      </c>
      <c r="Y141" s="152"/>
      <c r="Z141" s="152"/>
      <c r="AA141" s="152">
        <v>2</v>
      </c>
      <c r="AB141" s="152">
        <v>1</v>
      </c>
      <c r="AC141" s="152"/>
      <c r="AD141" s="152"/>
      <c r="AE141" s="152"/>
      <c r="AF141" s="152">
        <v>1</v>
      </c>
      <c r="AG141" s="152">
        <v>3</v>
      </c>
      <c r="AH141" s="152"/>
      <c r="AI141" s="152"/>
      <c r="AJ141" s="152"/>
      <c r="AK141" s="152">
        <v>0</v>
      </c>
      <c r="AL141" s="152"/>
      <c r="AM141" s="152"/>
      <c r="AN141" s="152"/>
      <c r="AO141" s="152"/>
      <c r="AP141" s="152">
        <v>0</v>
      </c>
      <c r="AQ141" s="152">
        <v>0</v>
      </c>
      <c r="AR141" s="152">
        <v>17</v>
      </c>
      <c r="AS141" s="152"/>
      <c r="AT141" s="152"/>
      <c r="AU141" s="152">
        <v>17</v>
      </c>
      <c r="AV141" s="152">
        <v>14</v>
      </c>
      <c r="AW141" s="152">
        <v>10</v>
      </c>
      <c r="AX141" s="152">
        <v>1</v>
      </c>
      <c r="AY141" s="152"/>
      <c r="AZ141" s="152">
        <v>25</v>
      </c>
      <c r="BA141" s="152">
        <v>42</v>
      </c>
      <c r="BB141" s="152">
        <v>5</v>
      </c>
      <c r="BC141" s="152"/>
      <c r="BD141" s="152">
        <v>5</v>
      </c>
      <c r="BE141" s="152"/>
      <c r="BF141" s="152"/>
      <c r="BG141" s="152"/>
      <c r="BH141" s="152"/>
      <c r="BI141" s="152">
        <v>0</v>
      </c>
      <c r="BJ141" s="152">
        <v>5</v>
      </c>
      <c r="BK141" s="152"/>
      <c r="BL141" s="152"/>
      <c r="BM141" s="152"/>
      <c r="BN141" s="152">
        <v>0</v>
      </c>
      <c r="BO141" s="152">
        <v>0</v>
      </c>
      <c r="BP141" s="152">
        <v>339</v>
      </c>
    </row>
    <row r="142" spans="1:68" x14ac:dyDescent="0.35">
      <c r="A142" s="146" t="s">
        <v>559</v>
      </c>
      <c r="B142" s="146" t="s">
        <v>560</v>
      </c>
      <c r="C142" s="152">
        <v>5</v>
      </c>
      <c r="D142" s="152"/>
      <c r="E142" s="152"/>
      <c r="F142" s="152"/>
      <c r="G142" s="152">
        <v>5</v>
      </c>
      <c r="H142" s="152">
        <v>12</v>
      </c>
      <c r="I142" s="152">
        <v>3</v>
      </c>
      <c r="J142" s="152">
        <v>1</v>
      </c>
      <c r="K142" s="152"/>
      <c r="L142" s="152">
        <v>16</v>
      </c>
      <c r="M142" s="152">
        <v>21</v>
      </c>
      <c r="N142" s="152"/>
      <c r="O142" s="152"/>
      <c r="P142" s="152"/>
      <c r="Q142" s="152">
        <v>0</v>
      </c>
      <c r="R142" s="152"/>
      <c r="S142" s="152"/>
      <c r="T142" s="152"/>
      <c r="U142" s="152"/>
      <c r="V142" s="152">
        <v>0</v>
      </c>
      <c r="W142" s="152">
        <v>0</v>
      </c>
      <c r="X142" s="152"/>
      <c r="Y142" s="152"/>
      <c r="Z142" s="152"/>
      <c r="AA142" s="152">
        <v>0</v>
      </c>
      <c r="AB142" s="152"/>
      <c r="AC142" s="152"/>
      <c r="AD142" s="152"/>
      <c r="AE142" s="152"/>
      <c r="AF142" s="152">
        <v>0</v>
      </c>
      <c r="AG142" s="152">
        <v>0</v>
      </c>
      <c r="AH142" s="152"/>
      <c r="AI142" s="152"/>
      <c r="AJ142" s="152"/>
      <c r="AK142" s="152">
        <v>0</v>
      </c>
      <c r="AL142" s="152"/>
      <c r="AM142" s="152"/>
      <c r="AN142" s="152"/>
      <c r="AO142" s="152"/>
      <c r="AP142" s="152">
        <v>0</v>
      </c>
      <c r="AQ142" s="152">
        <v>0</v>
      </c>
      <c r="AR142" s="152">
        <v>1</v>
      </c>
      <c r="AS142" s="152"/>
      <c r="AT142" s="152"/>
      <c r="AU142" s="152">
        <v>1</v>
      </c>
      <c r="AV142" s="152">
        <v>1</v>
      </c>
      <c r="AW142" s="152"/>
      <c r="AX142" s="152"/>
      <c r="AY142" s="152"/>
      <c r="AZ142" s="152">
        <v>1</v>
      </c>
      <c r="BA142" s="152">
        <v>2</v>
      </c>
      <c r="BB142" s="152"/>
      <c r="BC142" s="152"/>
      <c r="BD142" s="152">
        <v>0</v>
      </c>
      <c r="BE142" s="152"/>
      <c r="BF142" s="152"/>
      <c r="BG142" s="152"/>
      <c r="BH142" s="152"/>
      <c r="BI142" s="152">
        <v>0</v>
      </c>
      <c r="BJ142" s="152">
        <v>0</v>
      </c>
      <c r="BK142" s="152"/>
      <c r="BL142" s="152"/>
      <c r="BM142" s="152"/>
      <c r="BN142" s="152">
        <v>0</v>
      </c>
      <c r="BO142" s="152">
        <v>0</v>
      </c>
      <c r="BP142" s="152">
        <v>23</v>
      </c>
    </row>
    <row r="143" spans="1:68" x14ac:dyDescent="0.35">
      <c r="A143" s="146" t="s">
        <v>561</v>
      </c>
      <c r="B143" s="146" t="s">
        <v>562</v>
      </c>
      <c r="C143" s="152">
        <v>2</v>
      </c>
      <c r="D143" s="152"/>
      <c r="E143" s="152"/>
      <c r="F143" s="152"/>
      <c r="G143" s="152">
        <v>2</v>
      </c>
      <c r="H143" s="152">
        <v>1</v>
      </c>
      <c r="I143" s="152"/>
      <c r="J143" s="152"/>
      <c r="K143" s="152"/>
      <c r="L143" s="152">
        <v>1</v>
      </c>
      <c r="M143" s="152">
        <v>3</v>
      </c>
      <c r="N143" s="152"/>
      <c r="O143" s="152"/>
      <c r="P143" s="152"/>
      <c r="Q143" s="152">
        <v>0</v>
      </c>
      <c r="R143" s="152"/>
      <c r="S143" s="152"/>
      <c r="T143" s="152"/>
      <c r="U143" s="152"/>
      <c r="V143" s="152">
        <v>0</v>
      </c>
      <c r="W143" s="152">
        <v>0</v>
      </c>
      <c r="X143" s="152"/>
      <c r="Y143" s="152"/>
      <c r="Z143" s="152"/>
      <c r="AA143" s="152">
        <v>0</v>
      </c>
      <c r="AB143" s="152"/>
      <c r="AC143" s="152"/>
      <c r="AD143" s="152"/>
      <c r="AE143" s="152"/>
      <c r="AF143" s="152">
        <v>0</v>
      </c>
      <c r="AG143" s="152">
        <v>0</v>
      </c>
      <c r="AH143" s="152"/>
      <c r="AI143" s="152"/>
      <c r="AJ143" s="152"/>
      <c r="AK143" s="152">
        <v>0</v>
      </c>
      <c r="AL143" s="152"/>
      <c r="AM143" s="152"/>
      <c r="AN143" s="152"/>
      <c r="AO143" s="152"/>
      <c r="AP143" s="152">
        <v>0</v>
      </c>
      <c r="AQ143" s="152">
        <v>0</v>
      </c>
      <c r="AR143" s="152"/>
      <c r="AS143" s="152"/>
      <c r="AT143" s="152"/>
      <c r="AU143" s="152">
        <v>0</v>
      </c>
      <c r="AV143" s="152"/>
      <c r="AW143" s="152"/>
      <c r="AX143" s="152"/>
      <c r="AY143" s="152"/>
      <c r="AZ143" s="152">
        <v>0</v>
      </c>
      <c r="BA143" s="152">
        <v>0</v>
      </c>
      <c r="BB143" s="152"/>
      <c r="BC143" s="152"/>
      <c r="BD143" s="152">
        <v>0</v>
      </c>
      <c r="BE143" s="152"/>
      <c r="BF143" s="152"/>
      <c r="BG143" s="152"/>
      <c r="BH143" s="152"/>
      <c r="BI143" s="152">
        <v>0</v>
      </c>
      <c r="BJ143" s="152">
        <v>0</v>
      </c>
      <c r="BK143" s="152"/>
      <c r="BL143" s="152"/>
      <c r="BM143" s="152"/>
      <c r="BN143" s="152">
        <v>0</v>
      </c>
      <c r="BO143" s="152">
        <v>0</v>
      </c>
      <c r="BP143" s="152">
        <v>3</v>
      </c>
    </row>
    <row r="144" spans="1:68" x14ac:dyDescent="0.35">
      <c r="A144" s="146" t="s">
        <v>1324</v>
      </c>
      <c r="B144" s="146" t="s">
        <v>1325</v>
      </c>
      <c r="C144" s="152"/>
      <c r="D144" s="152"/>
      <c r="E144" s="152"/>
      <c r="F144" s="152"/>
      <c r="G144" s="152">
        <v>0</v>
      </c>
      <c r="H144" s="152">
        <v>1</v>
      </c>
      <c r="I144" s="152"/>
      <c r="J144" s="152"/>
      <c r="K144" s="152"/>
      <c r="L144" s="152">
        <v>1</v>
      </c>
      <c r="M144" s="152">
        <v>1</v>
      </c>
      <c r="N144" s="152"/>
      <c r="O144" s="152"/>
      <c r="P144" s="152"/>
      <c r="Q144" s="152">
        <v>0</v>
      </c>
      <c r="R144" s="152"/>
      <c r="S144" s="152"/>
      <c r="T144" s="152"/>
      <c r="U144" s="152"/>
      <c r="V144" s="152">
        <v>0</v>
      </c>
      <c r="W144" s="152">
        <v>0</v>
      </c>
      <c r="X144" s="152"/>
      <c r="Y144" s="152"/>
      <c r="Z144" s="152"/>
      <c r="AA144" s="152">
        <v>0</v>
      </c>
      <c r="AB144" s="152"/>
      <c r="AC144" s="152"/>
      <c r="AD144" s="152"/>
      <c r="AE144" s="152"/>
      <c r="AF144" s="152">
        <v>0</v>
      </c>
      <c r="AG144" s="152">
        <v>0</v>
      </c>
      <c r="AH144" s="152"/>
      <c r="AI144" s="152"/>
      <c r="AJ144" s="152"/>
      <c r="AK144" s="152">
        <v>0</v>
      </c>
      <c r="AL144" s="152"/>
      <c r="AM144" s="152"/>
      <c r="AN144" s="152"/>
      <c r="AO144" s="152"/>
      <c r="AP144" s="152">
        <v>0</v>
      </c>
      <c r="AQ144" s="152">
        <v>0</v>
      </c>
      <c r="AR144" s="152"/>
      <c r="AS144" s="152"/>
      <c r="AT144" s="152"/>
      <c r="AU144" s="152">
        <v>0</v>
      </c>
      <c r="AV144" s="152"/>
      <c r="AW144" s="152"/>
      <c r="AX144" s="152"/>
      <c r="AY144" s="152"/>
      <c r="AZ144" s="152">
        <v>0</v>
      </c>
      <c r="BA144" s="152">
        <v>0</v>
      </c>
      <c r="BB144" s="152"/>
      <c r="BC144" s="152"/>
      <c r="BD144" s="152">
        <v>0</v>
      </c>
      <c r="BE144" s="152"/>
      <c r="BF144" s="152"/>
      <c r="BG144" s="152"/>
      <c r="BH144" s="152"/>
      <c r="BI144" s="152">
        <v>0</v>
      </c>
      <c r="BJ144" s="152">
        <v>0</v>
      </c>
      <c r="BK144" s="152"/>
      <c r="BL144" s="152"/>
      <c r="BM144" s="152"/>
      <c r="BN144" s="152">
        <v>0</v>
      </c>
      <c r="BO144" s="152">
        <v>0</v>
      </c>
      <c r="BP144" s="152">
        <v>1</v>
      </c>
    </row>
    <row r="145" spans="1:68" x14ac:dyDescent="0.35">
      <c r="A145" s="146" t="s">
        <v>563</v>
      </c>
      <c r="B145" s="146" t="s">
        <v>564</v>
      </c>
      <c r="C145" s="152">
        <v>1</v>
      </c>
      <c r="D145" s="152"/>
      <c r="E145" s="152"/>
      <c r="F145" s="152"/>
      <c r="G145" s="152">
        <v>1</v>
      </c>
      <c r="H145" s="152">
        <v>2</v>
      </c>
      <c r="I145" s="152"/>
      <c r="J145" s="152"/>
      <c r="K145" s="152"/>
      <c r="L145" s="152">
        <v>2</v>
      </c>
      <c r="M145" s="152">
        <v>3</v>
      </c>
      <c r="N145" s="152"/>
      <c r="O145" s="152"/>
      <c r="P145" s="152"/>
      <c r="Q145" s="152">
        <v>0</v>
      </c>
      <c r="R145" s="152"/>
      <c r="S145" s="152"/>
      <c r="T145" s="152"/>
      <c r="U145" s="152"/>
      <c r="V145" s="152">
        <v>0</v>
      </c>
      <c r="W145" s="152">
        <v>0</v>
      </c>
      <c r="X145" s="152"/>
      <c r="Y145" s="152"/>
      <c r="Z145" s="152"/>
      <c r="AA145" s="152">
        <v>0</v>
      </c>
      <c r="AB145" s="152"/>
      <c r="AC145" s="152"/>
      <c r="AD145" s="152"/>
      <c r="AE145" s="152"/>
      <c r="AF145" s="152">
        <v>0</v>
      </c>
      <c r="AG145" s="152">
        <v>0</v>
      </c>
      <c r="AH145" s="152"/>
      <c r="AI145" s="152"/>
      <c r="AJ145" s="152"/>
      <c r="AK145" s="152">
        <v>0</v>
      </c>
      <c r="AL145" s="152"/>
      <c r="AM145" s="152"/>
      <c r="AN145" s="152"/>
      <c r="AO145" s="152"/>
      <c r="AP145" s="152">
        <v>0</v>
      </c>
      <c r="AQ145" s="152">
        <v>0</v>
      </c>
      <c r="AR145" s="152"/>
      <c r="AS145" s="152"/>
      <c r="AT145" s="152"/>
      <c r="AU145" s="152">
        <v>0</v>
      </c>
      <c r="AV145" s="152"/>
      <c r="AW145" s="152"/>
      <c r="AX145" s="152"/>
      <c r="AY145" s="152"/>
      <c r="AZ145" s="152">
        <v>0</v>
      </c>
      <c r="BA145" s="152">
        <v>0</v>
      </c>
      <c r="BB145" s="152"/>
      <c r="BC145" s="152"/>
      <c r="BD145" s="152">
        <v>0</v>
      </c>
      <c r="BE145" s="152"/>
      <c r="BF145" s="152"/>
      <c r="BG145" s="152"/>
      <c r="BH145" s="152"/>
      <c r="BI145" s="152">
        <v>0</v>
      </c>
      <c r="BJ145" s="152">
        <v>0</v>
      </c>
      <c r="BK145" s="152"/>
      <c r="BL145" s="152"/>
      <c r="BM145" s="152"/>
      <c r="BN145" s="152">
        <v>0</v>
      </c>
      <c r="BO145" s="152">
        <v>0</v>
      </c>
      <c r="BP145" s="152">
        <v>3</v>
      </c>
    </row>
    <row r="146" spans="1:68" x14ac:dyDescent="0.35">
      <c r="A146" s="146" t="s">
        <v>565</v>
      </c>
      <c r="B146" s="146" t="s">
        <v>566</v>
      </c>
      <c r="C146" s="152">
        <v>5</v>
      </c>
      <c r="D146" s="152"/>
      <c r="E146" s="152"/>
      <c r="F146" s="152"/>
      <c r="G146" s="152">
        <v>5</v>
      </c>
      <c r="H146" s="152">
        <v>6</v>
      </c>
      <c r="I146" s="152">
        <v>3</v>
      </c>
      <c r="J146" s="152"/>
      <c r="K146" s="152"/>
      <c r="L146" s="152">
        <v>9</v>
      </c>
      <c r="M146" s="152">
        <v>14</v>
      </c>
      <c r="N146" s="152"/>
      <c r="O146" s="152"/>
      <c r="P146" s="152"/>
      <c r="Q146" s="152">
        <v>0</v>
      </c>
      <c r="R146" s="152"/>
      <c r="S146" s="152"/>
      <c r="T146" s="152"/>
      <c r="U146" s="152"/>
      <c r="V146" s="152">
        <v>0</v>
      </c>
      <c r="W146" s="152">
        <v>0</v>
      </c>
      <c r="X146" s="152"/>
      <c r="Y146" s="152"/>
      <c r="Z146" s="152"/>
      <c r="AA146" s="152">
        <v>0</v>
      </c>
      <c r="AB146" s="152"/>
      <c r="AC146" s="152"/>
      <c r="AD146" s="152"/>
      <c r="AE146" s="152"/>
      <c r="AF146" s="152">
        <v>0</v>
      </c>
      <c r="AG146" s="152">
        <v>0</v>
      </c>
      <c r="AH146" s="152"/>
      <c r="AI146" s="152"/>
      <c r="AJ146" s="152"/>
      <c r="AK146" s="152">
        <v>0</v>
      </c>
      <c r="AL146" s="152"/>
      <c r="AM146" s="152"/>
      <c r="AN146" s="152"/>
      <c r="AO146" s="152"/>
      <c r="AP146" s="152">
        <v>0</v>
      </c>
      <c r="AQ146" s="152">
        <v>0</v>
      </c>
      <c r="AR146" s="152"/>
      <c r="AS146" s="152"/>
      <c r="AT146" s="152"/>
      <c r="AU146" s="152">
        <v>0</v>
      </c>
      <c r="AV146" s="152">
        <v>1</v>
      </c>
      <c r="AW146" s="152"/>
      <c r="AX146" s="152"/>
      <c r="AY146" s="152"/>
      <c r="AZ146" s="152">
        <v>1</v>
      </c>
      <c r="BA146" s="152">
        <v>1</v>
      </c>
      <c r="BB146" s="152"/>
      <c r="BC146" s="152"/>
      <c r="BD146" s="152">
        <v>0</v>
      </c>
      <c r="BE146" s="152"/>
      <c r="BF146" s="152"/>
      <c r="BG146" s="152"/>
      <c r="BH146" s="152"/>
      <c r="BI146" s="152">
        <v>0</v>
      </c>
      <c r="BJ146" s="152">
        <v>0</v>
      </c>
      <c r="BK146" s="152"/>
      <c r="BL146" s="152"/>
      <c r="BM146" s="152"/>
      <c r="BN146" s="152">
        <v>0</v>
      </c>
      <c r="BO146" s="152">
        <v>0</v>
      </c>
      <c r="BP146" s="152">
        <v>15</v>
      </c>
    </row>
    <row r="147" spans="1:68" x14ac:dyDescent="0.35">
      <c r="A147" s="146" t="s">
        <v>567</v>
      </c>
      <c r="B147" s="146" t="s">
        <v>568</v>
      </c>
      <c r="C147" s="152">
        <v>2</v>
      </c>
      <c r="D147" s="152"/>
      <c r="E147" s="152"/>
      <c r="F147" s="152"/>
      <c r="G147" s="152">
        <v>2</v>
      </c>
      <c r="H147" s="152">
        <v>2</v>
      </c>
      <c r="I147" s="152"/>
      <c r="J147" s="152"/>
      <c r="K147" s="152"/>
      <c r="L147" s="152">
        <v>2</v>
      </c>
      <c r="M147" s="152">
        <v>4</v>
      </c>
      <c r="N147" s="152"/>
      <c r="O147" s="152"/>
      <c r="P147" s="152"/>
      <c r="Q147" s="152">
        <v>0</v>
      </c>
      <c r="R147" s="152"/>
      <c r="S147" s="152"/>
      <c r="T147" s="152"/>
      <c r="U147" s="152"/>
      <c r="V147" s="152">
        <v>0</v>
      </c>
      <c r="W147" s="152">
        <v>0</v>
      </c>
      <c r="X147" s="152"/>
      <c r="Y147" s="152"/>
      <c r="Z147" s="152"/>
      <c r="AA147" s="152">
        <v>0</v>
      </c>
      <c r="AB147" s="152"/>
      <c r="AC147" s="152"/>
      <c r="AD147" s="152"/>
      <c r="AE147" s="152"/>
      <c r="AF147" s="152">
        <v>0</v>
      </c>
      <c r="AG147" s="152">
        <v>0</v>
      </c>
      <c r="AH147" s="152"/>
      <c r="AI147" s="152"/>
      <c r="AJ147" s="152"/>
      <c r="AK147" s="152">
        <v>0</v>
      </c>
      <c r="AL147" s="152"/>
      <c r="AM147" s="152"/>
      <c r="AN147" s="152"/>
      <c r="AO147" s="152"/>
      <c r="AP147" s="152">
        <v>0</v>
      </c>
      <c r="AQ147" s="152">
        <v>0</v>
      </c>
      <c r="AR147" s="152">
        <v>1</v>
      </c>
      <c r="AS147" s="152"/>
      <c r="AT147" s="152"/>
      <c r="AU147" s="152">
        <v>1</v>
      </c>
      <c r="AV147" s="152"/>
      <c r="AW147" s="152"/>
      <c r="AX147" s="152"/>
      <c r="AY147" s="152"/>
      <c r="AZ147" s="152">
        <v>0</v>
      </c>
      <c r="BA147" s="152">
        <v>1</v>
      </c>
      <c r="BB147" s="152"/>
      <c r="BC147" s="152"/>
      <c r="BD147" s="152">
        <v>0</v>
      </c>
      <c r="BE147" s="152"/>
      <c r="BF147" s="152"/>
      <c r="BG147" s="152"/>
      <c r="BH147" s="152"/>
      <c r="BI147" s="152">
        <v>0</v>
      </c>
      <c r="BJ147" s="152">
        <v>0</v>
      </c>
      <c r="BK147" s="152"/>
      <c r="BL147" s="152"/>
      <c r="BM147" s="152"/>
      <c r="BN147" s="152">
        <v>0</v>
      </c>
      <c r="BO147" s="152">
        <v>0</v>
      </c>
      <c r="BP147" s="152">
        <v>5</v>
      </c>
    </row>
    <row r="148" spans="1:68" x14ac:dyDescent="0.35">
      <c r="A148" s="146" t="s">
        <v>569</v>
      </c>
      <c r="B148" s="146" t="s">
        <v>570</v>
      </c>
      <c r="C148" s="152">
        <v>2</v>
      </c>
      <c r="D148" s="152"/>
      <c r="E148" s="152"/>
      <c r="F148" s="152"/>
      <c r="G148" s="152">
        <v>2</v>
      </c>
      <c r="H148" s="152">
        <v>4</v>
      </c>
      <c r="I148" s="152">
        <v>3</v>
      </c>
      <c r="J148" s="152"/>
      <c r="K148" s="152"/>
      <c r="L148" s="152">
        <v>7</v>
      </c>
      <c r="M148" s="152">
        <v>9</v>
      </c>
      <c r="N148" s="152"/>
      <c r="O148" s="152"/>
      <c r="P148" s="152"/>
      <c r="Q148" s="152">
        <v>0</v>
      </c>
      <c r="R148" s="152"/>
      <c r="S148" s="152"/>
      <c r="T148" s="152"/>
      <c r="U148" s="152"/>
      <c r="V148" s="152">
        <v>0</v>
      </c>
      <c r="W148" s="152">
        <v>0</v>
      </c>
      <c r="X148" s="152"/>
      <c r="Y148" s="152"/>
      <c r="Z148" s="152"/>
      <c r="AA148" s="152">
        <v>0</v>
      </c>
      <c r="AB148" s="152"/>
      <c r="AC148" s="152"/>
      <c r="AD148" s="152"/>
      <c r="AE148" s="152"/>
      <c r="AF148" s="152">
        <v>0</v>
      </c>
      <c r="AG148" s="152">
        <v>0</v>
      </c>
      <c r="AH148" s="152"/>
      <c r="AI148" s="152"/>
      <c r="AJ148" s="152"/>
      <c r="AK148" s="152">
        <v>0</v>
      </c>
      <c r="AL148" s="152"/>
      <c r="AM148" s="152"/>
      <c r="AN148" s="152"/>
      <c r="AO148" s="152"/>
      <c r="AP148" s="152">
        <v>0</v>
      </c>
      <c r="AQ148" s="152">
        <v>0</v>
      </c>
      <c r="AR148" s="152"/>
      <c r="AS148" s="152"/>
      <c r="AT148" s="152"/>
      <c r="AU148" s="152">
        <v>0</v>
      </c>
      <c r="AV148" s="152"/>
      <c r="AW148" s="152"/>
      <c r="AX148" s="152"/>
      <c r="AY148" s="152"/>
      <c r="AZ148" s="152">
        <v>0</v>
      </c>
      <c r="BA148" s="152">
        <v>0</v>
      </c>
      <c r="BB148" s="152"/>
      <c r="BC148" s="152"/>
      <c r="BD148" s="152">
        <v>0</v>
      </c>
      <c r="BE148" s="152"/>
      <c r="BF148" s="152"/>
      <c r="BG148" s="152"/>
      <c r="BH148" s="152"/>
      <c r="BI148" s="152">
        <v>0</v>
      </c>
      <c r="BJ148" s="152">
        <v>0</v>
      </c>
      <c r="BK148" s="152"/>
      <c r="BL148" s="152"/>
      <c r="BM148" s="152"/>
      <c r="BN148" s="152">
        <v>0</v>
      </c>
      <c r="BO148" s="152">
        <v>0</v>
      </c>
      <c r="BP148" s="152">
        <v>9</v>
      </c>
    </row>
    <row r="149" spans="1:68" x14ac:dyDescent="0.35">
      <c r="A149" s="146" t="s">
        <v>571</v>
      </c>
      <c r="B149" s="146" t="s">
        <v>572</v>
      </c>
      <c r="C149" s="152">
        <v>15</v>
      </c>
      <c r="D149" s="152"/>
      <c r="E149" s="152"/>
      <c r="F149" s="152"/>
      <c r="G149" s="152">
        <v>15</v>
      </c>
      <c r="H149" s="152">
        <v>3</v>
      </c>
      <c r="I149" s="152"/>
      <c r="J149" s="152"/>
      <c r="K149" s="152"/>
      <c r="L149" s="152">
        <v>3</v>
      </c>
      <c r="M149" s="152">
        <v>18</v>
      </c>
      <c r="N149" s="152">
        <v>1</v>
      </c>
      <c r="O149" s="152"/>
      <c r="P149" s="152"/>
      <c r="Q149" s="152">
        <v>1</v>
      </c>
      <c r="R149" s="152"/>
      <c r="S149" s="152"/>
      <c r="T149" s="152"/>
      <c r="U149" s="152"/>
      <c r="V149" s="152">
        <v>0</v>
      </c>
      <c r="W149" s="152">
        <v>1</v>
      </c>
      <c r="X149" s="152"/>
      <c r="Y149" s="152"/>
      <c r="Z149" s="152"/>
      <c r="AA149" s="152">
        <v>0</v>
      </c>
      <c r="AB149" s="152"/>
      <c r="AC149" s="152"/>
      <c r="AD149" s="152"/>
      <c r="AE149" s="152"/>
      <c r="AF149" s="152">
        <v>0</v>
      </c>
      <c r="AG149" s="152">
        <v>0</v>
      </c>
      <c r="AH149" s="152"/>
      <c r="AI149" s="152"/>
      <c r="AJ149" s="152"/>
      <c r="AK149" s="152">
        <v>0</v>
      </c>
      <c r="AL149" s="152"/>
      <c r="AM149" s="152"/>
      <c r="AN149" s="152"/>
      <c r="AO149" s="152"/>
      <c r="AP149" s="152">
        <v>0</v>
      </c>
      <c r="AQ149" s="152">
        <v>0</v>
      </c>
      <c r="AR149" s="152">
        <v>1</v>
      </c>
      <c r="AS149" s="152"/>
      <c r="AT149" s="152"/>
      <c r="AU149" s="152">
        <v>1</v>
      </c>
      <c r="AV149" s="152">
        <v>1</v>
      </c>
      <c r="AW149" s="152"/>
      <c r="AX149" s="152"/>
      <c r="AY149" s="152"/>
      <c r="AZ149" s="152">
        <v>1</v>
      </c>
      <c r="BA149" s="152">
        <v>2</v>
      </c>
      <c r="BB149" s="152"/>
      <c r="BC149" s="152"/>
      <c r="BD149" s="152">
        <v>0</v>
      </c>
      <c r="BE149" s="152"/>
      <c r="BF149" s="152"/>
      <c r="BG149" s="152"/>
      <c r="BH149" s="152"/>
      <c r="BI149" s="152">
        <v>0</v>
      </c>
      <c r="BJ149" s="152">
        <v>0</v>
      </c>
      <c r="BK149" s="152"/>
      <c r="BL149" s="152"/>
      <c r="BM149" s="152"/>
      <c r="BN149" s="152">
        <v>0</v>
      </c>
      <c r="BO149" s="152">
        <v>0</v>
      </c>
      <c r="BP149" s="152">
        <v>21</v>
      </c>
    </row>
    <row r="150" spans="1:68" x14ac:dyDescent="0.35">
      <c r="A150" s="146" t="s">
        <v>573</v>
      </c>
      <c r="B150" s="146" t="s">
        <v>574</v>
      </c>
      <c r="C150" s="152">
        <v>3</v>
      </c>
      <c r="D150" s="152"/>
      <c r="E150" s="152"/>
      <c r="F150" s="152"/>
      <c r="G150" s="152">
        <v>3</v>
      </c>
      <c r="H150" s="152">
        <v>6</v>
      </c>
      <c r="I150" s="152"/>
      <c r="J150" s="152">
        <v>1</v>
      </c>
      <c r="K150" s="152"/>
      <c r="L150" s="152">
        <v>7</v>
      </c>
      <c r="M150" s="152">
        <v>10</v>
      </c>
      <c r="N150" s="152"/>
      <c r="O150" s="152"/>
      <c r="P150" s="152"/>
      <c r="Q150" s="152">
        <v>0</v>
      </c>
      <c r="R150" s="152"/>
      <c r="S150" s="152"/>
      <c r="T150" s="152"/>
      <c r="U150" s="152"/>
      <c r="V150" s="152">
        <v>0</v>
      </c>
      <c r="W150" s="152">
        <v>0</v>
      </c>
      <c r="X150" s="152"/>
      <c r="Y150" s="152"/>
      <c r="Z150" s="152"/>
      <c r="AA150" s="152">
        <v>0</v>
      </c>
      <c r="AB150" s="152"/>
      <c r="AC150" s="152"/>
      <c r="AD150" s="152"/>
      <c r="AE150" s="152"/>
      <c r="AF150" s="152">
        <v>0</v>
      </c>
      <c r="AG150" s="152">
        <v>0</v>
      </c>
      <c r="AH150" s="152"/>
      <c r="AI150" s="152"/>
      <c r="AJ150" s="152"/>
      <c r="AK150" s="152">
        <v>0</v>
      </c>
      <c r="AL150" s="152"/>
      <c r="AM150" s="152"/>
      <c r="AN150" s="152"/>
      <c r="AO150" s="152"/>
      <c r="AP150" s="152">
        <v>0</v>
      </c>
      <c r="AQ150" s="152">
        <v>0</v>
      </c>
      <c r="AR150" s="152">
        <v>1</v>
      </c>
      <c r="AS150" s="152"/>
      <c r="AT150" s="152"/>
      <c r="AU150" s="152">
        <v>1</v>
      </c>
      <c r="AV150" s="152"/>
      <c r="AW150" s="152"/>
      <c r="AX150" s="152"/>
      <c r="AY150" s="152">
        <v>1</v>
      </c>
      <c r="AZ150" s="152">
        <v>1</v>
      </c>
      <c r="BA150" s="152">
        <v>2</v>
      </c>
      <c r="BB150" s="152"/>
      <c r="BC150" s="152"/>
      <c r="BD150" s="152">
        <v>0</v>
      </c>
      <c r="BE150" s="152"/>
      <c r="BF150" s="152"/>
      <c r="BG150" s="152"/>
      <c r="BH150" s="152"/>
      <c r="BI150" s="152">
        <v>0</v>
      </c>
      <c r="BJ150" s="152">
        <v>0</v>
      </c>
      <c r="BK150" s="152"/>
      <c r="BL150" s="152"/>
      <c r="BM150" s="152"/>
      <c r="BN150" s="152">
        <v>0</v>
      </c>
      <c r="BO150" s="152">
        <v>0</v>
      </c>
      <c r="BP150" s="152">
        <v>12</v>
      </c>
    </row>
    <row r="151" spans="1:68" x14ac:dyDescent="0.35">
      <c r="A151" s="146" t="s">
        <v>575</v>
      </c>
      <c r="B151" s="146" t="s">
        <v>576</v>
      </c>
      <c r="C151" s="152">
        <v>2</v>
      </c>
      <c r="D151" s="152"/>
      <c r="E151" s="152"/>
      <c r="F151" s="152"/>
      <c r="G151" s="152">
        <v>2</v>
      </c>
      <c r="H151" s="152">
        <v>8</v>
      </c>
      <c r="I151" s="152">
        <v>2</v>
      </c>
      <c r="J151" s="152">
        <v>3</v>
      </c>
      <c r="K151" s="152"/>
      <c r="L151" s="152">
        <v>13</v>
      </c>
      <c r="M151" s="152">
        <v>15</v>
      </c>
      <c r="N151" s="152"/>
      <c r="O151" s="152"/>
      <c r="P151" s="152"/>
      <c r="Q151" s="152">
        <v>0</v>
      </c>
      <c r="R151" s="152"/>
      <c r="S151" s="152"/>
      <c r="T151" s="152"/>
      <c r="U151" s="152"/>
      <c r="V151" s="152">
        <v>0</v>
      </c>
      <c r="W151" s="152">
        <v>0</v>
      </c>
      <c r="X151" s="152"/>
      <c r="Y151" s="152"/>
      <c r="Z151" s="152"/>
      <c r="AA151" s="152">
        <v>0</v>
      </c>
      <c r="AB151" s="152">
        <v>1</v>
      </c>
      <c r="AC151" s="152"/>
      <c r="AD151" s="152"/>
      <c r="AE151" s="152"/>
      <c r="AF151" s="152">
        <v>1</v>
      </c>
      <c r="AG151" s="152">
        <v>1</v>
      </c>
      <c r="AH151" s="152"/>
      <c r="AI151" s="152"/>
      <c r="AJ151" s="152"/>
      <c r="AK151" s="152">
        <v>0</v>
      </c>
      <c r="AL151" s="152"/>
      <c r="AM151" s="152"/>
      <c r="AN151" s="152"/>
      <c r="AO151" s="152"/>
      <c r="AP151" s="152">
        <v>0</v>
      </c>
      <c r="AQ151" s="152">
        <v>0</v>
      </c>
      <c r="AR151" s="152"/>
      <c r="AS151" s="152"/>
      <c r="AT151" s="152"/>
      <c r="AU151" s="152">
        <v>0</v>
      </c>
      <c r="AV151" s="152">
        <v>1</v>
      </c>
      <c r="AW151" s="152"/>
      <c r="AX151" s="152"/>
      <c r="AY151" s="152"/>
      <c r="AZ151" s="152">
        <v>1</v>
      </c>
      <c r="BA151" s="152">
        <v>1</v>
      </c>
      <c r="BB151" s="152"/>
      <c r="BC151" s="152"/>
      <c r="BD151" s="152">
        <v>0</v>
      </c>
      <c r="BE151" s="152"/>
      <c r="BF151" s="152"/>
      <c r="BG151" s="152"/>
      <c r="BH151" s="152"/>
      <c r="BI151" s="152">
        <v>0</v>
      </c>
      <c r="BJ151" s="152">
        <v>0</v>
      </c>
      <c r="BK151" s="152"/>
      <c r="BL151" s="152"/>
      <c r="BM151" s="152"/>
      <c r="BN151" s="152">
        <v>0</v>
      </c>
      <c r="BO151" s="152">
        <v>0</v>
      </c>
      <c r="BP151" s="152">
        <v>17</v>
      </c>
    </row>
    <row r="152" spans="1:68" x14ac:dyDescent="0.35">
      <c r="A152" s="146" t="s">
        <v>577</v>
      </c>
      <c r="B152" s="146" t="s">
        <v>578</v>
      </c>
      <c r="C152" s="152">
        <v>1</v>
      </c>
      <c r="D152" s="152"/>
      <c r="E152" s="152"/>
      <c r="F152" s="152"/>
      <c r="G152" s="152">
        <v>1</v>
      </c>
      <c r="H152" s="152"/>
      <c r="I152" s="152"/>
      <c r="J152" s="152"/>
      <c r="K152" s="152"/>
      <c r="L152" s="152">
        <v>0</v>
      </c>
      <c r="M152" s="152">
        <v>1</v>
      </c>
      <c r="N152" s="152"/>
      <c r="O152" s="152"/>
      <c r="P152" s="152"/>
      <c r="Q152" s="152">
        <v>0</v>
      </c>
      <c r="R152" s="152"/>
      <c r="S152" s="152"/>
      <c r="T152" s="152"/>
      <c r="U152" s="152"/>
      <c r="V152" s="152">
        <v>0</v>
      </c>
      <c r="W152" s="152">
        <v>0</v>
      </c>
      <c r="X152" s="152"/>
      <c r="Y152" s="152"/>
      <c r="Z152" s="152"/>
      <c r="AA152" s="152">
        <v>0</v>
      </c>
      <c r="AB152" s="152"/>
      <c r="AC152" s="152"/>
      <c r="AD152" s="152"/>
      <c r="AE152" s="152"/>
      <c r="AF152" s="152">
        <v>0</v>
      </c>
      <c r="AG152" s="152">
        <v>0</v>
      </c>
      <c r="AH152" s="152"/>
      <c r="AI152" s="152"/>
      <c r="AJ152" s="152"/>
      <c r="AK152" s="152">
        <v>0</v>
      </c>
      <c r="AL152" s="152"/>
      <c r="AM152" s="152"/>
      <c r="AN152" s="152"/>
      <c r="AO152" s="152"/>
      <c r="AP152" s="152">
        <v>0</v>
      </c>
      <c r="AQ152" s="152">
        <v>0</v>
      </c>
      <c r="AR152" s="152"/>
      <c r="AS152" s="152"/>
      <c r="AT152" s="152"/>
      <c r="AU152" s="152">
        <v>0</v>
      </c>
      <c r="AV152" s="152"/>
      <c r="AW152" s="152"/>
      <c r="AX152" s="152"/>
      <c r="AY152" s="152"/>
      <c r="AZ152" s="152">
        <v>0</v>
      </c>
      <c r="BA152" s="152">
        <v>0</v>
      </c>
      <c r="BB152" s="152"/>
      <c r="BC152" s="152"/>
      <c r="BD152" s="152">
        <v>0</v>
      </c>
      <c r="BE152" s="152"/>
      <c r="BF152" s="152"/>
      <c r="BG152" s="152"/>
      <c r="BH152" s="152"/>
      <c r="BI152" s="152">
        <v>0</v>
      </c>
      <c r="BJ152" s="152">
        <v>0</v>
      </c>
      <c r="BK152" s="152"/>
      <c r="BL152" s="152"/>
      <c r="BM152" s="152"/>
      <c r="BN152" s="152">
        <v>0</v>
      </c>
      <c r="BO152" s="152">
        <v>0</v>
      </c>
      <c r="BP152" s="152">
        <v>1</v>
      </c>
    </row>
    <row r="153" spans="1:68" x14ac:dyDescent="0.35">
      <c r="A153" s="146" t="s">
        <v>579</v>
      </c>
      <c r="B153" s="146" t="s">
        <v>580</v>
      </c>
      <c r="C153" s="152"/>
      <c r="D153" s="152"/>
      <c r="E153" s="152"/>
      <c r="F153" s="152"/>
      <c r="G153" s="152">
        <v>0</v>
      </c>
      <c r="H153" s="152"/>
      <c r="I153" s="152">
        <v>1</v>
      </c>
      <c r="J153" s="152">
        <v>1</v>
      </c>
      <c r="K153" s="152"/>
      <c r="L153" s="152">
        <v>2</v>
      </c>
      <c r="M153" s="152">
        <v>2</v>
      </c>
      <c r="N153" s="152"/>
      <c r="O153" s="152"/>
      <c r="P153" s="152"/>
      <c r="Q153" s="152">
        <v>0</v>
      </c>
      <c r="R153" s="152"/>
      <c r="S153" s="152"/>
      <c r="T153" s="152"/>
      <c r="U153" s="152"/>
      <c r="V153" s="152">
        <v>0</v>
      </c>
      <c r="W153" s="152">
        <v>0</v>
      </c>
      <c r="X153" s="152"/>
      <c r="Y153" s="152"/>
      <c r="Z153" s="152"/>
      <c r="AA153" s="152">
        <v>0</v>
      </c>
      <c r="AB153" s="152"/>
      <c r="AC153" s="152"/>
      <c r="AD153" s="152"/>
      <c r="AE153" s="152"/>
      <c r="AF153" s="152">
        <v>0</v>
      </c>
      <c r="AG153" s="152">
        <v>0</v>
      </c>
      <c r="AH153" s="152"/>
      <c r="AI153" s="152"/>
      <c r="AJ153" s="152"/>
      <c r="AK153" s="152">
        <v>0</v>
      </c>
      <c r="AL153" s="152"/>
      <c r="AM153" s="152"/>
      <c r="AN153" s="152"/>
      <c r="AO153" s="152"/>
      <c r="AP153" s="152">
        <v>0</v>
      </c>
      <c r="AQ153" s="152">
        <v>0</v>
      </c>
      <c r="AR153" s="152"/>
      <c r="AS153" s="152"/>
      <c r="AT153" s="152"/>
      <c r="AU153" s="152">
        <v>0</v>
      </c>
      <c r="AV153" s="152"/>
      <c r="AW153" s="152"/>
      <c r="AX153" s="152"/>
      <c r="AY153" s="152"/>
      <c r="AZ153" s="152">
        <v>0</v>
      </c>
      <c r="BA153" s="152">
        <v>0</v>
      </c>
      <c r="BB153" s="152"/>
      <c r="BC153" s="152"/>
      <c r="BD153" s="152">
        <v>0</v>
      </c>
      <c r="BE153" s="152"/>
      <c r="BF153" s="152"/>
      <c r="BG153" s="152"/>
      <c r="BH153" s="152"/>
      <c r="BI153" s="152">
        <v>0</v>
      </c>
      <c r="BJ153" s="152">
        <v>0</v>
      </c>
      <c r="BK153" s="152"/>
      <c r="BL153" s="152"/>
      <c r="BM153" s="152"/>
      <c r="BN153" s="152">
        <v>0</v>
      </c>
      <c r="BO153" s="152">
        <v>0</v>
      </c>
      <c r="BP153" s="152">
        <v>2</v>
      </c>
    </row>
    <row r="154" spans="1:68" x14ac:dyDescent="0.35">
      <c r="A154" s="146" t="s">
        <v>581</v>
      </c>
      <c r="B154" s="146" t="s">
        <v>582</v>
      </c>
      <c r="C154" s="152"/>
      <c r="D154" s="152"/>
      <c r="E154" s="152"/>
      <c r="F154" s="152"/>
      <c r="G154" s="152">
        <v>0</v>
      </c>
      <c r="H154" s="152">
        <v>2</v>
      </c>
      <c r="I154" s="152"/>
      <c r="J154" s="152">
        <v>1</v>
      </c>
      <c r="K154" s="152"/>
      <c r="L154" s="152">
        <v>3</v>
      </c>
      <c r="M154" s="152">
        <v>3</v>
      </c>
      <c r="N154" s="152"/>
      <c r="O154" s="152"/>
      <c r="P154" s="152"/>
      <c r="Q154" s="152">
        <v>0</v>
      </c>
      <c r="R154" s="152"/>
      <c r="S154" s="152"/>
      <c r="T154" s="152"/>
      <c r="U154" s="152"/>
      <c r="V154" s="152">
        <v>0</v>
      </c>
      <c r="W154" s="152">
        <v>0</v>
      </c>
      <c r="X154" s="152"/>
      <c r="Y154" s="152"/>
      <c r="Z154" s="152"/>
      <c r="AA154" s="152">
        <v>0</v>
      </c>
      <c r="AB154" s="152"/>
      <c r="AC154" s="152"/>
      <c r="AD154" s="152"/>
      <c r="AE154" s="152"/>
      <c r="AF154" s="152">
        <v>0</v>
      </c>
      <c r="AG154" s="152">
        <v>0</v>
      </c>
      <c r="AH154" s="152"/>
      <c r="AI154" s="152"/>
      <c r="AJ154" s="152"/>
      <c r="AK154" s="152">
        <v>0</v>
      </c>
      <c r="AL154" s="152"/>
      <c r="AM154" s="152"/>
      <c r="AN154" s="152"/>
      <c r="AO154" s="152"/>
      <c r="AP154" s="152">
        <v>0</v>
      </c>
      <c r="AQ154" s="152">
        <v>0</v>
      </c>
      <c r="AR154" s="152"/>
      <c r="AS154" s="152"/>
      <c r="AT154" s="152"/>
      <c r="AU154" s="152">
        <v>0</v>
      </c>
      <c r="AV154" s="152">
        <v>2</v>
      </c>
      <c r="AW154" s="152"/>
      <c r="AX154" s="152"/>
      <c r="AY154" s="152"/>
      <c r="AZ154" s="152">
        <v>2</v>
      </c>
      <c r="BA154" s="152">
        <v>2</v>
      </c>
      <c r="BB154" s="152"/>
      <c r="BC154" s="152"/>
      <c r="BD154" s="152">
        <v>0</v>
      </c>
      <c r="BE154" s="152"/>
      <c r="BF154" s="152"/>
      <c r="BG154" s="152"/>
      <c r="BH154" s="152"/>
      <c r="BI154" s="152">
        <v>0</v>
      </c>
      <c r="BJ154" s="152">
        <v>0</v>
      </c>
      <c r="BK154" s="152"/>
      <c r="BL154" s="152"/>
      <c r="BM154" s="152"/>
      <c r="BN154" s="152">
        <v>0</v>
      </c>
      <c r="BO154" s="152">
        <v>0</v>
      </c>
      <c r="BP154" s="152">
        <v>5</v>
      </c>
    </row>
    <row r="155" spans="1:68" x14ac:dyDescent="0.35">
      <c r="A155" s="146" t="s">
        <v>583</v>
      </c>
      <c r="B155" s="146" t="s">
        <v>584</v>
      </c>
      <c r="C155" s="152">
        <v>2</v>
      </c>
      <c r="D155" s="152"/>
      <c r="E155" s="152"/>
      <c r="F155" s="152"/>
      <c r="G155" s="152">
        <v>2</v>
      </c>
      <c r="H155" s="152">
        <v>14</v>
      </c>
      <c r="I155" s="152">
        <v>6</v>
      </c>
      <c r="J155" s="152"/>
      <c r="K155" s="152"/>
      <c r="L155" s="152">
        <v>20</v>
      </c>
      <c r="M155" s="152">
        <v>22</v>
      </c>
      <c r="N155" s="152"/>
      <c r="O155" s="152"/>
      <c r="P155" s="152"/>
      <c r="Q155" s="152">
        <v>0</v>
      </c>
      <c r="R155" s="152"/>
      <c r="S155" s="152"/>
      <c r="T155" s="152"/>
      <c r="U155" s="152"/>
      <c r="V155" s="152">
        <v>0</v>
      </c>
      <c r="W155" s="152">
        <v>0</v>
      </c>
      <c r="X155" s="152"/>
      <c r="Y155" s="152"/>
      <c r="Z155" s="152"/>
      <c r="AA155" s="152">
        <v>0</v>
      </c>
      <c r="AB155" s="152"/>
      <c r="AC155" s="152"/>
      <c r="AD155" s="152"/>
      <c r="AE155" s="152"/>
      <c r="AF155" s="152">
        <v>0</v>
      </c>
      <c r="AG155" s="152">
        <v>0</v>
      </c>
      <c r="AH155" s="152"/>
      <c r="AI155" s="152"/>
      <c r="AJ155" s="152"/>
      <c r="AK155" s="152">
        <v>0</v>
      </c>
      <c r="AL155" s="152"/>
      <c r="AM155" s="152"/>
      <c r="AN155" s="152"/>
      <c r="AO155" s="152"/>
      <c r="AP155" s="152">
        <v>0</v>
      </c>
      <c r="AQ155" s="152">
        <v>0</v>
      </c>
      <c r="AR155" s="152"/>
      <c r="AS155" s="152"/>
      <c r="AT155" s="152"/>
      <c r="AU155" s="152">
        <v>0</v>
      </c>
      <c r="AV155" s="152"/>
      <c r="AW155" s="152">
        <v>1</v>
      </c>
      <c r="AX155" s="152"/>
      <c r="AY155" s="152">
        <v>1</v>
      </c>
      <c r="AZ155" s="152">
        <v>2</v>
      </c>
      <c r="BA155" s="152">
        <v>2</v>
      </c>
      <c r="BB155" s="152"/>
      <c r="BC155" s="152"/>
      <c r="BD155" s="152">
        <v>0</v>
      </c>
      <c r="BE155" s="152"/>
      <c r="BF155" s="152"/>
      <c r="BG155" s="152"/>
      <c r="BH155" s="152"/>
      <c r="BI155" s="152">
        <v>0</v>
      </c>
      <c r="BJ155" s="152">
        <v>0</v>
      </c>
      <c r="BK155" s="152"/>
      <c r="BL155" s="152"/>
      <c r="BM155" s="152"/>
      <c r="BN155" s="152">
        <v>0</v>
      </c>
      <c r="BO155" s="152">
        <v>0</v>
      </c>
      <c r="BP155" s="152">
        <v>24</v>
      </c>
    </row>
    <row r="156" spans="1:68" x14ac:dyDescent="0.35">
      <c r="A156" s="146" t="s">
        <v>585</v>
      </c>
      <c r="B156" s="146" t="s">
        <v>586</v>
      </c>
      <c r="C156" s="152">
        <v>6</v>
      </c>
      <c r="D156" s="152"/>
      <c r="E156" s="152"/>
      <c r="F156" s="152"/>
      <c r="G156" s="152">
        <v>6</v>
      </c>
      <c r="H156" s="152">
        <v>10</v>
      </c>
      <c r="I156" s="152">
        <v>4</v>
      </c>
      <c r="J156" s="152">
        <v>1</v>
      </c>
      <c r="K156" s="152">
        <v>1</v>
      </c>
      <c r="L156" s="152">
        <v>16</v>
      </c>
      <c r="M156" s="152">
        <v>22</v>
      </c>
      <c r="N156" s="152"/>
      <c r="O156" s="152"/>
      <c r="P156" s="152"/>
      <c r="Q156" s="152">
        <v>0</v>
      </c>
      <c r="R156" s="152"/>
      <c r="S156" s="152"/>
      <c r="T156" s="152"/>
      <c r="U156" s="152"/>
      <c r="V156" s="152">
        <v>0</v>
      </c>
      <c r="W156" s="152">
        <v>0</v>
      </c>
      <c r="X156" s="152"/>
      <c r="Y156" s="152"/>
      <c r="Z156" s="152"/>
      <c r="AA156" s="152">
        <v>0</v>
      </c>
      <c r="AB156" s="152"/>
      <c r="AC156" s="152"/>
      <c r="AD156" s="152"/>
      <c r="AE156" s="152"/>
      <c r="AF156" s="152">
        <v>0</v>
      </c>
      <c r="AG156" s="152">
        <v>0</v>
      </c>
      <c r="AH156" s="152">
        <v>1</v>
      </c>
      <c r="AI156" s="152"/>
      <c r="AJ156" s="152"/>
      <c r="AK156" s="152">
        <v>1</v>
      </c>
      <c r="AL156" s="152"/>
      <c r="AM156" s="152"/>
      <c r="AN156" s="152"/>
      <c r="AO156" s="152"/>
      <c r="AP156" s="152">
        <v>0</v>
      </c>
      <c r="AQ156" s="152">
        <v>1</v>
      </c>
      <c r="AR156" s="152">
        <v>3</v>
      </c>
      <c r="AS156" s="152"/>
      <c r="AT156" s="152"/>
      <c r="AU156" s="152">
        <v>3</v>
      </c>
      <c r="AV156" s="152">
        <v>2</v>
      </c>
      <c r="AW156" s="152"/>
      <c r="AX156" s="152"/>
      <c r="AY156" s="152">
        <v>2</v>
      </c>
      <c r="AZ156" s="152">
        <v>4</v>
      </c>
      <c r="BA156" s="152">
        <v>7</v>
      </c>
      <c r="BB156" s="152"/>
      <c r="BC156" s="152"/>
      <c r="BD156" s="152">
        <v>0</v>
      </c>
      <c r="BE156" s="152"/>
      <c r="BF156" s="152"/>
      <c r="BG156" s="152"/>
      <c r="BH156" s="152"/>
      <c r="BI156" s="152">
        <v>0</v>
      </c>
      <c r="BJ156" s="152">
        <v>0</v>
      </c>
      <c r="BK156" s="152"/>
      <c r="BL156" s="152"/>
      <c r="BM156" s="152"/>
      <c r="BN156" s="152">
        <v>0</v>
      </c>
      <c r="BO156" s="152">
        <v>0</v>
      </c>
      <c r="BP156" s="152">
        <v>30</v>
      </c>
    </row>
    <row r="157" spans="1:68" x14ac:dyDescent="0.35">
      <c r="A157" s="146" t="s">
        <v>587</v>
      </c>
      <c r="B157" s="146" t="s">
        <v>588</v>
      </c>
      <c r="C157" s="152">
        <v>3</v>
      </c>
      <c r="D157" s="152"/>
      <c r="E157" s="152"/>
      <c r="F157" s="152"/>
      <c r="G157" s="152">
        <v>3</v>
      </c>
      <c r="H157" s="152">
        <v>19</v>
      </c>
      <c r="I157" s="152">
        <v>8</v>
      </c>
      <c r="J157" s="152"/>
      <c r="K157" s="152"/>
      <c r="L157" s="152">
        <v>27</v>
      </c>
      <c r="M157" s="152">
        <v>30</v>
      </c>
      <c r="N157" s="152"/>
      <c r="O157" s="152"/>
      <c r="P157" s="152"/>
      <c r="Q157" s="152">
        <v>0</v>
      </c>
      <c r="R157" s="152"/>
      <c r="S157" s="152"/>
      <c r="T157" s="152"/>
      <c r="U157" s="152"/>
      <c r="V157" s="152">
        <v>0</v>
      </c>
      <c r="W157" s="152">
        <v>0</v>
      </c>
      <c r="X157" s="152"/>
      <c r="Y157" s="152"/>
      <c r="Z157" s="152"/>
      <c r="AA157" s="152">
        <v>0</v>
      </c>
      <c r="AB157" s="152"/>
      <c r="AC157" s="152"/>
      <c r="AD157" s="152"/>
      <c r="AE157" s="152"/>
      <c r="AF157" s="152">
        <v>0</v>
      </c>
      <c r="AG157" s="152">
        <v>0</v>
      </c>
      <c r="AH157" s="152"/>
      <c r="AI157" s="152"/>
      <c r="AJ157" s="152"/>
      <c r="AK157" s="152">
        <v>0</v>
      </c>
      <c r="AL157" s="152"/>
      <c r="AM157" s="152"/>
      <c r="AN157" s="152"/>
      <c r="AO157" s="152"/>
      <c r="AP157" s="152">
        <v>0</v>
      </c>
      <c r="AQ157" s="152">
        <v>0</v>
      </c>
      <c r="AR157" s="152">
        <v>2</v>
      </c>
      <c r="AS157" s="152"/>
      <c r="AT157" s="152"/>
      <c r="AU157" s="152">
        <v>2</v>
      </c>
      <c r="AV157" s="152">
        <v>3</v>
      </c>
      <c r="AW157" s="152">
        <v>1</v>
      </c>
      <c r="AX157" s="152"/>
      <c r="AY157" s="152"/>
      <c r="AZ157" s="152">
        <v>4</v>
      </c>
      <c r="BA157" s="152">
        <v>6</v>
      </c>
      <c r="BB157" s="152"/>
      <c r="BC157" s="152"/>
      <c r="BD157" s="152">
        <v>0</v>
      </c>
      <c r="BE157" s="152"/>
      <c r="BF157" s="152"/>
      <c r="BG157" s="152"/>
      <c r="BH157" s="152"/>
      <c r="BI157" s="152">
        <v>0</v>
      </c>
      <c r="BJ157" s="152">
        <v>0</v>
      </c>
      <c r="BK157" s="152"/>
      <c r="BL157" s="152"/>
      <c r="BM157" s="152"/>
      <c r="BN157" s="152">
        <v>0</v>
      </c>
      <c r="BO157" s="152">
        <v>0</v>
      </c>
      <c r="BP157" s="152">
        <v>36</v>
      </c>
    </row>
    <row r="158" spans="1:68" x14ac:dyDescent="0.35">
      <c r="A158" s="146" t="s">
        <v>589</v>
      </c>
      <c r="B158" s="146" t="s">
        <v>590</v>
      </c>
      <c r="C158" s="152">
        <v>1</v>
      </c>
      <c r="D158" s="152"/>
      <c r="E158" s="152"/>
      <c r="F158" s="152"/>
      <c r="G158" s="152">
        <v>1</v>
      </c>
      <c r="H158" s="152">
        <v>3</v>
      </c>
      <c r="I158" s="152"/>
      <c r="J158" s="152"/>
      <c r="K158" s="152"/>
      <c r="L158" s="152">
        <v>3</v>
      </c>
      <c r="M158" s="152">
        <v>4</v>
      </c>
      <c r="N158" s="152"/>
      <c r="O158" s="152"/>
      <c r="P158" s="152"/>
      <c r="Q158" s="152">
        <v>0</v>
      </c>
      <c r="R158" s="152"/>
      <c r="S158" s="152"/>
      <c r="T158" s="152"/>
      <c r="U158" s="152"/>
      <c r="V158" s="152">
        <v>0</v>
      </c>
      <c r="W158" s="152">
        <v>0</v>
      </c>
      <c r="X158" s="152"/>
      <c r="Y158" s="152"/>
      <c r="Z158" s="152"/>
      <c r="AA158" s="152">
        <v>0</v>
      </c>
      <c r="AB158" s="152"/>
      <c r="AC158" s="152"/>
      <c r="AD158" s="152"/>
      <c r="AE158" s="152"/>
      <c r="AF158" s="152">
        <v>0</v>
      </c>
      <c r="AG158" s="152">
        <v>0</v>
      </c>
      <c r="AH158" s="152"/>
      <c r="AI158" s="152"/>
      <c r="AJ158" s="152"/>
      <c r="AK158" s="152">
        <v>0</v>
      </c>
      <c r="AL158" s="152"/>
      <c r="AM158" s="152"/>
      <c r="AN158" s="152"/>
      <c r="AO158" s="152"/>
      <c r="AP158" s="152">
        <v>0</v>
      </c>
      <c r="AQ158" s="152">
        <v>0</v>
      </c>
      <c r="AR158" s="152"/>
      <c r="AS158" s="152"/>
      <c r="AT158" s="152"/>
      <c r="AU158" s="152">
        <v>0</v>
      </c>
      <c r="AV158" s="152">
        <v>1</v>
      </c>
      <c r="AW158" s="152"/>
      <c r="AX158" s="152"/>
      <c r="AY158" s="152"/>
      <c r="AZ158" s="152">
        <v>1</v>
      </c>
      <c r="BA158" s="152">
        <v>1</v>
      </c>
      <c r="BB158" s="152"/>
      <c r="BC158" s="152"/>
      <c r="BD158" s="152">
        <v>0</v>
      </c>
      <c r="BE158" s="152"/>
      <c r="BF158" s="152"/>
      <c r="BG158" s="152"/>
      <c r="BH158" s="152"/>
      <c r="BI158" s="152">
        <v>0</v>
      </c>
      <c r="BJ158" s="152">
        <v>0</v>
      </c>
      <c r="BK158" s="152"/>
      <c r="BL158" s="152"/>
      <c r="BM158" s="152"/>
      <c r="BN158" s="152">
        <v>0</v>
      </c>
      <c r="BO158" s="152">
        <v>0</v>
      </c>
      <c r="BP158" s="152">
        <v>5</v>
      </c>
    </row>
    <row r="159" spans="1:68" x14ac:dyDescent="0.35">
      <c r="A159" s="146" t="s">
        <v>591</v>
      </c>
      <c r="B159" s="146" t="s">
        <v>592</v>
      </c>
      <c r="C159" s="152">
        <v>1</v>
      </c>
      <c r="D159" s="152"/>
      <c r="E159" s="152"/>
      <c r="F159" s="152"/>
      <c r="G159" s="152">
        <v>1</v>
      </c>
      <c r="H159" s="152">
        <v>5</v>
      </c>
      <c r="I159" s="152">
        <v>3</v>
      </c>
      <c r="J159" s="152"/>
      <c r="K159" s="152"/>
      <c r="L159" s="152">
        <v>8</v>
      </c>
      <c r="M159" s="152">
        <v>9</v>
      </c>
      <c r="N159" s="152"/>
      <c r="O159" s="152"/>
      <c r="P159" s="152"/>
      <c r="Q159" s="152">
        <v>0</v>
      </c>
      <c r="R159" s="152"/>
      <c r="S159" s="152"/>
      <c r="T159" s="152"/>
      <c r="U159" s="152"/>
      <c r="V159" s="152">
        <v>0</v>
      </c>
      <c r="W159" s="152">
        <v>0</v>
      </c>
      <c r="X159" s="152"/>
      <c r="Y159" s="152"/>
      <c r="Z159" s="152"/>
      <c r="AA159" s="152">
        <v>0</v>
      </c>
      <c r="AB159" s="152"/>
      <c r="AC159" s="152"/>
      <c r="AD159" s="152"/>
      <c r="AE159" s="152"/>
      <c r="AF159" s="152">
        <v>0</v>
      </c>
      <c r="AG159" s="152">
        <v>0</v>
      </c>
      <c r="AH159" s="152"/>
      <c r="AI159" s="152"/>
      <c r="AJ159" s="152"/>
      <c r="AK159" s="152">
        <v>0</v>
      </c>
      <c r="AL159" s="152"/>
      <c r="AM159" s="152"/>
      <c r="AN159" s="152"/>
      <c r="AO159" s="152"/>
      <c r="AP159" s="152">
        <v>0</v>
      </c>
      <c r="AQ159" s="152">
        <v>0</v>
      </c>
      <c r="AR159" s="152"/>
      <c r="AS159" s="152"/>
      <c r="AT159" s="152"/>
      <c r="AU159" s="152">
        <v>0</v>
      </c>
      <c r="AV159" s="152">
        <v>2</v>
      </c>
      <c r="AW159" s="152"/>
      <c r="AX159" s="152"/>
      <c r="AY159" s="152"/>
      <c r="AZ159" s="152">
        <v>2</v>
      </c>
      <c r="BA159" s="152">
        <v>2</v>
      </c>
      <c r="BB159" s="152"/>
      <c r="BC159" s="152"/>
      <c r="BD159" s="152">
        <v>0</v>
      </c>
      <c r="BE159" s="152"/>
      <c r="BF159" s="152"/>
      <c r="BG159" s="152"/>
      <c r="BH159" s="152"/>
      <c r="BI159" s="152">
        <v>0</v>
      </c>
      <c r="BJ159" s="152">
        <v>0</v>
      </c>
      <c r="BK159" s="152"/>
      <c r="BL159" s="152"/>
      <c r="BM159" s="152"/>
      <c r="BN159" s="152">
        <v>0</v>
      </c>
      <c r="BO159" s="152">
        <v>0</v>
      </c>
      <c r="BP159" s="152">
        <v>11</v>
      </c>
    </row>
    <row r="160" spans="1:68" x14ac:dyDescent="0.35">
      <c r="A160" s="146" t="s">
        <v>593</v>
      </c>
      <c r="B160" s="146" t="s">
        <v>594</v>
      </c>
      <c r="C160" s="152"/>
      <c r="D160" s="152"/>
      <c r="E160" s="152"/>
      <c r="F160" s="152"/>
      <c r="G160" s="152">
        <v>0</v>
      </c>
      <c r="H160" s="152">
        <v>3</v>
      </c>
      <c r="I160" s="152">
        <v>1</v>
      </c>
      <c r="J160" s="152"/>
      <c r="K160" s="152"/>
      <c r="L160" s="152">
        <v>4</v>
      </c>
      <c r="M160" s="152">
        <v>4</v>
      </c>
      <c r="N160" s="152"/>
      <c r="O160" s="152"/>
      <c r="P160" s="152"/>
      <c r="Q160" s="152">
        <v>0</v>
      </c>
      <c r="R160" s="152"/>
      <c r="S160" s="152"/>
      <c r="T160" s="152"/>
      <c r="U160" s="152"/>
      <c r="V160" s="152">
        <v>0</v>
      </c>
      <c r="W160" s="152">
        <v>0</v>
      </c>
      <c r="X160" s="152"/>
      <c r="Y160" s="152"/>
      <c r="Z160" s="152"/>
      <c r="AA160" s="152">
        <v>0</v>
      </c>
      <c r="AB160" s="152"/>
      <c r="AC160" s="152"/>
      <c r="AD160" s="152"/>
      <c r="AE160" s="152"/>
      <c r="AF160" s="152">
        <v>0</v>
      </c>
      <c r="AG160" s="152">
        <v>0</v>
      </c>
      <c r="AH160" s="152"/>
      <c r="AI160" s="152"/>
      <c r="AJ160" s="152"/>
      <c r="AK160" s="152">
        <v>0</v>
      </c>
      <c r="AL160" s="152"/>
      <c r="AM160" s="152"/>
      <c r="AN160" s="152"/>
      <c r="AO160" s="152"/>
      <c r="AP160" s="152">
        <v>0</v>
      </c>
      <c r="AQ160" s="152">
        <v>0</v>
      </c>
      <c r="AR160" s="152"/>
      <c r="AS160" s="152"/>
      <c r="AT160" s="152"/>
      <c r="AU160" s="152">
        <v>0</v>
      </c>
      <c r="AV160" s="152"/>
      <c r="AW160" s="152"/>
      <c r="AX160" s="152"/>
      <c r="AY160" s="152"/>
      <c r="AZ160" s="152">
        <v>0</v>
      </c>
      <c r="BA160" s="152">
        <v>0</v>
      </c>
      <c r="BB160" s="152"/>
      <c r="BC160" s="152"/>
      <c r="BD160" s="152">
        <v>0</v>
      </c>
      <c r="BE160" s="152"/>
      <c r="BF160" s="152"/>
      <c r="BG160" s="152"/>
      <c r="BH160" s="152"/>
      <c r="BI160" s="152">
        <v>0</v>
      </c>
      <c r="BJ160" s="152">
        <v>0</v>
      </c>
      <c r="BK160" s="152"/>
      <c r="BL160" s="152"/>
      <c r="BM160" s="152"/>
      <c r="BN160" s="152">
        <v>0</v>
      </c>
      <c r="BO160" s="152">
        <v>0</v>
      </c>
      <c r="BP160" s="152">
        <v>4</v>
      </c>
    </row>
    <row r="161" spans="1:68" x14ac:dyDescent="0.35">
      <c r="A161" s="146" t="s">
        <v>595</v>
      </c>
      <c r="B161" s="146" t="s">
        <v>596</v>
      </c>
      <c r="C161" s="152">
        <v>1</v>
      </c>
      <c r="D161" s="152"/>
      <c r="E161" s="152"/>
      <c r="F161" s="152"/>
      <c r="G161" s="152">
        <v>1</v>
      </c>
      <c r="H161" s="152">
        <v>3</v>
      </c>
      <c r="I161" s="152"/>
      <c r="J161" s="152"/>
      <c r="K161" s="152"/>
      <c r="L161" s="152">
        <v>3</v>
      </c>
      <c r="M161" s="152">
        <v>4</v>
      </c>
      <c r="N161" s="152"/>
      <c r="O161" s="152"/>
      <c r="P161" s="152"/>
      <c r="Q161" s="152">
        <v>0</v>
      </c>
      <c r="R161" s="152"/>
      <c r="S161" s="152"/>
      <c r="T161" s="152"/>
      <c r="U161" s="152"/>
      <c r="V161" s="152">
        <v>0</v>
      </c>
      <c r="W161" s="152">
        <v>0</v>
      </c>
      <c r="X161" s="152"/>
      <c r="Y161" s="152"/>
      <c r="Z161" s="152"/>
      <c r="AA161" s="152">
        <v>0</v>
      </c>
      <c r="AB161" s="152"/>
      <c r="AC161" s="152"/>
      <c r="AD161" s="152"/>
      <c r="AE161" s="152"/>
      <c r="AF161" s="152">
        <v>0</v>
      </c>
      <c r="AG161" s="152">
        <v>0</v>
      </c>
      <c r="AH161" s="152"/>
      <c r="AI161" s="152"/>
      <c r="AJ161" s="152"/>
      <c r="AK161" s="152">
        <v>0</v>
      </c>
      <c r="AL161" s="152">
        <v>1</v>
      </c>
      <c r="AM161" s="152"/>
      <c r="AN161" s="152"/>
      <c r="AO161" s="152"/>
      <c r="AP161" s="152">
        <v>1</v>
      </c>
      <c r="AQ161" s="152">
        <v>1</v>
      </c>
      <c r="AR161" s="152"/>
      <c r="AS161" s="152"/>
      <c r="AT161" s="152"/>
      <c r="AU161" s="152">
        <v>0</v>
      </c>
      <c r="AV161" s="152"/>
      <c r="AW161" s="152"/>
      <c r="AX161" s="152"/>
      <c r="AY161" s="152"/>
      <c r="AZ161" s="152">
        <v>0</v>
      </c>
      <c r="BA161" s="152">
        <v>0</v>
      </c>
      <c r="BB161" s="152"/>
      <c r="BC161" s="152"/>
      <c r="BD161" s="152">
        <v>0</v>
      </c>
      <c r="BE161" s="152"/>
      <c r="BF161" s="152"/>
      <c r="BG161" s="152"/>
      <c r="BH161" s="152"/>
      <c r="BI161" s="152">
        <v>0</v>
      </c>
      <c r="BJ161" s="152">
        <v>0</v>
      </c>
      <c r="BK161" s="152"/>
      <c r="BL161" s="152"/>
      <c r="BM161" s="152"/>
      <c r="BN161" s="152">
        <v>0</v>
      </c>
      <c r="BO161" s="152">
        <v>0</v>
      </c>
      <c r="BP161" s="152">
        <v>5</v>
      </c>
    </row>
    <row r="162" spans="1:68" x14ac:dyDescent="0.35">
      <c r="A162" s="146" t="s">
        <v>597</v>
      </c>
      <c r="B162" s="146" t="s">
        <v>598</v>
      </c>
      <c r="C162" s="152">
        <v>7</v>
      </c>
      <c r="D162" s="152"/>
      <c r="E162" s="152"/>
      <c r="F162" s="152"/>
      <c r="G162" s="152">
        <v>7</v>
      </c>
      <c r="H162" s="152">
        <v>7</v>
      </c>
      <c r="I162" s="152">
        <v>2</v>
      </c>
      <c r="J162" s="152"/>
      <c r="K162" s="152"/>
      <c r="L162" s="152">
        <v>9</v>
      </c>
      <c r="M162" s="152">
        <v>16</v>
      </c>
      <c r="N162" s="152"/>
      <c r="O162" s="152"/>
      <c r="P162" s="152"/>
      <c r="Q162" s="152">
        <v>0</v>
      </c>
      <c r="R162" s="152"/>
      <c r="S162" s="152"/>
      <c r="T162" s="152"/>
      <c r="U162" s="152"/>
      <c r="V162" s="152">
        <v>0</v>
      </c>
      <c r="W162" s="152">
        <v>0</v>
      </c>
      <c r="X162" s="152"/>
      <c r="Y162" s="152"/>
      <c r="Z162" s="152"/>
      <c r="AA162" s="152">
        <v>0</v>
      </c>
      <c r="AB162" s="152"/>
      <c r="AC162" s="152"/>
      <c r="AD162" s="152"/>
      <c r="AE162" s="152"/>
      <c r="AF162" s="152">
        <v>0</v>
      </c>
      <c r="AG162" s="152">
        <v>0</v>
      </c>
      <c r="AH162" s="152"/>
      <c r="AI162" s="152"/>
      <c r="AJ162" s="152"/>
      <c r="AK162" s="152">
        <v>0</v>
      </c>
      <c r="AL162" s="152"/>
      <c r="AM162" s="152"/>
      <c r="AN162" s="152"/>
      <c r="AO162" s="152"/>
      <c r="AP162" s="152">
        <v>0</v>
      </c>
      <c r="AQ162" s="152">
        <v>0</v>
      </c>
      <c r="AR162" s="152"/>
      <c r="AS162" s="152"/>
      <c r="AT162" s="152"/>
      <c r="AU162" s="152">
        <v>0</v>
      </c>
      <c r="AV162" s="152"/>
      <c r="AW162" s="152"/>
      <c r="AX162" s="152"/>
      <c r="AY162" s="152"/>
      <c r="AZ162" s="152">
        <v>0</v>
      </c>
      <c r="BA162" s="152">
        <v>0</v>
      </c>
      <c r="BB162" s="152"/>
      <c r="BC162" s="152"/>
      <c r="BD162" s="152">
        <v>0</v>
      </c>
      <c r="BE162" s="152"/>
      <c r="BF162" s="152"/>
      <c r="BG162" s="152"/>
      <c r="BH162" s="152"/>
      <c r="BI162" s="152">
        <v>0</v>
      </c>
      <c r="BJ162" s="152">
        <v>0</v>
      </c>
      <c r="BK162" s="152"/>
      <c r="BL162" s="152"/>
      <c r="BM162" s="152"/>
      <c r="BN162" s="152">
        <v>0</v>
      </c>
      <c r="BO162" s="152">
        <v>0</v>
      </c>
      <c r="BP162" s="152">
        <v>16</v>
      </c>
    </row>
    <row r="163" spans="1:68" x14ac:dyDescent="0.35">
      <c r="A163" s="146" t="s">
        <v>599</v>
      </c>
      <c r="B163" s="146" t="s">
        <v>600</v>
      </c>
      <c r="C163" s="152">
        <v>1</v>
      </c>
      <c r="D163" s="152"/>
      <c r="E163" s="152"/>
      <c r="F163" s="152"/>
      <c r="G163" s="152">
        <v>1</v>
      </c>
      <c r="H163" s="152">
        <v>8</v>
      </c>
      <c r="I163" s="152">
        <v>6</v>
      </c>
      <c r="J163" s="152">
        <v>1</v>
      </c>
      <c r="K163" s="152"/>
      <c r="L163" s="152">
        <v>15</v>
      </c>
      <c r="M163" s="152">
        <v>16</v>
      </c>
      <c r="N163" s="152"/>
      <c r="O163" s="152"/>
      <c r="P163" s="152"/>
      <c r="Q163" s="152">
        <v>0</v>
      </c>
      <c r="R163" s="152"/>
      <c r="S163" s="152"/>
      <c r="T163" s="152"/>
      <c r="U163" s="152"/>
      <c r="V163" s="152">
        <v>0</v>
      </c>
      <c r="W163" s="152">
        <v>0</v>
      </c>
      <c r="X163" s="152"/>
      <c r="Y163" s="152"/>
      <c r="Z163" s="152"/>
      <c r="AA163" s="152">
        <v>0</v>
      </c>
      <c r="AB163" s="152"/>
      <c r="AC163" s="152"/>
      <c r="AD163" s="152"/>
      <c r="AE163" s="152"/>
      <c r="AF163" s="152">
        <v>0</v>
      </c>
      <c r="AG163" s="152">
        <v>0</v>
      </c>
      <c r="AH163" s="152"/>
      <c r="AI163" s="152"/>
      <c r="AJ163" s="152"/>
      <c r="AK163" s="152">
        <v>0</v>
      </c>
      <c r="AL163" s="152"/>
      <c r="AM163" s="152"/>
      <c r="AN163" s="152"/>
      <c r="AO163" s="152"/>
      <c r="AP163" s="152">
        <v>0</v>
      </c>
      <c r="AQ163" s="152">
        <v>0</v>
      </c>
      <c r="AR163" s="152"/>
      <c r="AS163" s="152"/>
      <c r="AT163" s="152"/>
      <c r="AU163" s="152">
        <v>0</v>
      </c>
      <c r="AV163" s="152">
        <v>1</v>
      </c>
      <c r="AW163" s="152"/>
      <c r="AX163" s="152"/>
      <c r="AY163" s="152"/>
      <c r="AZ163" s="152">
        <v>1</v>
      </c>
      <c r="BA163" s="152">
        <v>1</v>
      </c>
      <c r="BB163" s="152"/>
      <c r="BC163" s="152"/>
      <c r="BD163" s="152">
        <v>0</v>
      </c>
      <c r="BE163" s="152"/>
      <c r="BF163" s="152"/>
      <c r="BG163" s="152"/>
      <c r="BH163" s="152"/>
      <c r="BI163" s="152">
        <v>0</v>
      </c>
      <c r="BJ163" s="152">
        <v>0</v>
      </c>
      <c r="BK163" s="152"/>
      <c r="BL163" s="152"/>
      <c r="BM163" s="152"/>
      <c r="BN163" s="152">
        <v>0</v>
      </c>
      <c r="BO163" s="152">
        <v>0</v>
      </c>
      <c r="BP163" s="152">
        <v>17</v>
      </c>
    </row>
    <row r="164" spans="1:68" x14ac:dyDescent="0.35">
      <c r="A164" s="146" t="s">
        <v>601</v>
      </c>
      <c r="B164" s="146" t="s">
        <v>602</v>
      </c>
      <c r="C164" s="152">
        <v>4</v>
      </c>
      <c r="D164" s="152"/>
      <c r="E164" s="152"/>
      <c r="F164" s="152"/>
      <c r="G164" s="152">
        <v>4</v>
      </c>
      <c r="H164" s="152"/>
      <c r="I164" s="152"/>
      <c r="J164" s="152"/>
      <c r="K164" s="152"/>
      <c r="L164" s="152">
        <v>0</v>
      </c>
      <c r="M164" s="152">
        <v>4</v>
      </c>
      <c r="N164" s="152"/>
      <c r="O164" s="152"/>
      <c r="P164" s="152"/>
      <c r="Q164" s="152">
        <v>0</v>
      </c>
      <c r="R164" s="152"/>
      <c r="S164" s="152"/>
      <c r="T164" s="152"/>
      <c r="U164" s="152"/>
      <c r="V164" s="152">
        <v>0</v>
      </c>
      <c r="W164" s="152">
        <v>0</v>
      </c>
      <c r="X164" s="152"/>
      <c r="Y164" s="152"/>
      <c r="Z164" s="152"/>
      <c r="AA164" s="152">
        <v>0</v>
      </c>
      <c r="AB164" s="152"/>
      <c r="AC164" s="152"/>
      <c r="AD164" s="152"/>
      <c r="AE164" s="152"/>
      <c r="AF164" s="152">
        <v>0</v>
      </c>
      <c r="AG164" s="152">
        <v>0</v>
      </c>
      <c r="AH164" s="152"/>
      <c r="AI164" s="152"/>
      <c r="AJ164" s="152"/>
      <c r="AK164" s="152">
        <v>0</v>
      </c>
      <c r="AL164" s="152"/>
      <c r="AM164" s="152"/>
      <c r="AN164" s="152"/>
      <c r="AO164" s="152"/>
      <c r="AP164" s="152">
        <v>0</v>
      </c>
      <c r="AQ164" s="152">
        <v>0</v>
      </c>
      <c r="AR164" s="152"/>
      <c r="AS164" s="152"/>
      <c r="AT164" s="152"/>
      <c r="AU164" s="152">
        <v>0</v>
      </c>
      <c r="AV164" s="152"/>
      <c r="AW164" s="152"/>
      <c r="AX164" s="152"/>
      <c r="AY164" s="152"/>
      <c r="AZ164" s="152">
        <v>0</v>
      </c>
      <c r="BA164" s="152">
        <v>0</v>
      </c>
      <c r="BB164" s="152"/>
      <c r="BC164" s="152"/>
      <c r="BD164" s="152">
        <v>0</v>
      </c>
      <c r="BE164" s="152"/>
      <c r="BF164" s="152"/>
      <c r="BG164" s="152"/>
      <c r="BH164" s="152"/>
      <c r="BI164" s="152">
        <v>0</v>
      </c>
      <c r="BJ164" s="152">
        <v>0</v>
      </c>
      <c r="BK164" s="152"/>
      <c r="BL164" s="152"/>
      <c r="BM164" s="152"/>
      <c r="BN164" s="152">
        <v>0</v>
      </c>
      <c r="BO164" s="152">
        <v>0</v>
      </c>
      <c r="BP164" s="152">
        <v>4</v>
      </c>
    </row>
    <row r="165" spans="1:68" x14ac:dyDescent="0.35">
      <c r="A165" s="146" t="s">
        <v>603</v>
      </c>
      <c r="B165" s="146" t="s">
        <v>604</v>
      </c>
      <c r="C165" s="152">
        <v>2</v>
      </c>
      <c r="D165" s="152"/>
      <c r="E165" s="152"/>
      <c r="F165" s="152"/>
      <c r="G165" s="152">
        <v>2</v>
      </c>
      <c r="H165" s="152"/>
      <c r="I165" s="152"/>
      <c r="J165" s="152"/>
      <c r="K165" s="152"/>
      <c r="L165" s="152">
        <v>0</v>
      </c>
      <c r="M165" s="152">
        <v>2</v>
      </c>
      <c r="N165" s="152"/>
      <c r="O165" s="152"/>
      <c r="P165" s="152"/>
      <c r="Q165" s="152">
        <v>0</v>
      </c>
      <c r="R165" s="152"/>
      <c r="S165" s="152"/>
      <c r="T165" s="152"/>
      <c r="U165" s="152"/>
      <c r="V165" s="152">
        <v>0</v>
      </c>
      <c r="W165" s="152">
        <v>0</v>
      </c>
      <c r="X165" s="152"/>
      <c r="Y165" s="152"/>
      <c r="Z165" s="152"/>
      <c r="AA165" s="152">
        <v>0</v>
      </c>
      <c r="AB165" s="152"/>
      <c r="AC165" s="152"/>
      <c r="AD165" s="152"/>
      <c r="AE165" s="152"/>
      <c r="AF165" s="152">
        <v>0</v>
      </c>
      <c r="AG165" s="152">
        <v>0</v>
      </c>
      <c r="AH165" s="152"/>
      <c r="AI165" s="152"/>
      <c r="AJ165" s="152"/>
      <c r="AK165" s="152">
        <v>0</v>
      </c>
      <c r="AL165" s="152"/>
      <c r="AM165" s="152"/>
      <c r="AN165" s="152"/>
      <c r="AO165" s="152"/>
      <c r="AP165" s="152">
        <v>0</v>
      </c>
      <c r="AQ165" s="152">
        <v>0</v>
      </c>
      <c r="AR165" s="152"/>
      <c r="AS165" s="152"/>
      <c r="AT165" s="152"/>
      <c r="AU165" s="152">
        <v>0</v>
      </c>
      <c r="AV165" s="152">
        <v>1</v>
      </c>
      <c r="AW165" s="152"/>
      <c r="AX165" s="152"/>
      <c r="AY165" s="152"/>
      <c r="AZ165" s="152">
        <v>1</v>
      </c>
      <c r="BA165" s="152">
        <v>1</v>
      </c>
      <c r="BB165" s="152"/>
      <c r="BC165" s="152"/>
      <c r="BD165" s="152">
        <v>0</v>
      </c>
      <c r="BE165" s="152"/>
      <c r="BF165" s="152"/>
      <c r="BG165" s="152"/>
      <c r="BH165" s="152"/>
      <c r="BI165" s="152">
        <v>0</v>
      </c>
      <c r="BJ165" s="152">
        <v>0</v>
      </c>
      <c r="BK165" s="152"/>
      <c r="BL165" s="152"/>
      <c r="BM165" s="152"/>
      <c r="BN165" s="152">
        <v>0</v>
      </c>
      <c r="BO165" s="152">
        <v>0</v>
      </c>
      <c r="BP165" s="152">
        <v>3</v>
      </c>
    </row>
    <row r="166" spans="1:68" x14ac:dyDescent="0.35">
      <c r="A166" s="146" t="s">
        <v>605</v>
      </c>
      <c r="B166" s="146" t="s">
        <v>606</v>
      </c>
      <c r="C166" s="152">
        <v>19</v>
      </c>
      <c r="D166" s="152"/>
      <c r="E166" s="152"/>
      <c r="F166" s="152"/>
      <c r="G166" s="152">
        <v>19</v>
      </c>
      <c r="H166" s="152">
        <v>37</v>
      </c>
      <c r="I166" s="152">
        <v>10</v>
      </c>
      <c r="J166" s="152"/>
      <c r="K166" s="152"/>
      <c r="L166" s="152">
        <v>47</v>
      </c>
      <c r="M166" s="152">
        <v>66</v>
      </c>
      <c r="N166" s="152">
        <v>1</v>
      </c>
      <c r="O166" s="152"/>
      <c r="P166" s="152"/>
      <c r="Q166" s="152">
        <v>1</v>
      </c>
      <c r="R166" s="152"/>
      <c r="S166" s="152"/>
      <c r="T166" s="152"/>
      <c r="U166" s="152"/>
      <c r="V166" s="152">
        <v>0</v>
      </c>
      <c r="W166" s="152">
        <v>1</v>
      </c>
      <c r="X166" s="152"/>
      <c r="Y166" s="152"/>
      <c r="Z166" s="152"/>
      <c r="AA166" s="152">
        <v>0</v>
      </c>
      <c r="AB166" s="152"/>
      <c r="AC166" s="152">
        <v>1</v>
      </c>
      <c r="AD166" s="152"/>
      <c r="AE166" s="152"/>
      <c r="AF166" s="152">
        <v>1</v>
      </c>
      <c r="AG166" s="152">
        <v>1</v>
      </c>
      <c r="AH166" s="152"/>
      <c r="AI166" s="152"/>
      <c r="AJ166" s="152"/>
      <c r="AK166" s="152">
        <v>0</v>
      </c>
      <c r="AL166" s="152"/>
      <c r="AM166" s="152"/>
      <c r="AN166" s="152"/>
      <c r="AO166" s="152"/>
      <c r="AP166" s="152">
        <v>0</v>
      </c>
      <c r="AQ166" s="152">
        <v>0</v>
      </c>
      <c r="AR166" s="152">
        <v>2</v>
      </c>
      <c r="AS166" s="152"/>
      <c r="AT166" s="152"/>
      <c r="AU166" s="152">
        <v>2</v>
      </c>
      <c r="AV166" s="152">
        <v>6</v>
      </c>
      <c r="AW166" s="152">
        <v>2</v>
      </c>
      <c r="AX166" s="152"/>
      <c r="AY166" s="152"/>
      <c r="AZ166" s="152">
        <v>8</v>
      </c>
      <c r="BA166" s="152">
        <v>10</v>
      </c>
      <c r="BB166" s="152"/>
      <c r="BC166" s="152"/>
      <c r="BD166" s="152">
        <v>0</v>
      </c>
      <c r="BE166" s="152"/>
      <c r="BF166" s="152"/>
      <c r="BG166" s="152"/>
      <c r="BH166" s="152"/>
      <c r="BI166" s="152">
        <v>0</v>
      </c>
      <c r="BJ166" s="152">
        <v>0</v>
      </c>
      <c r="BK166" s="152"/>
      <c r="BL166" s="152"/>
      <c r="BM166" s="152"/>
      <c r="BN166" s="152">
        <v>0</v>
      </c>
      <c r="BO166" s="152">
        <v>0</v>
      </c>
      <c r="BP166" s="152">
        <v>78</v>
      </c>
    </row>
    <row r="167" spans="1:68" x14ac:dyDescent="0.35">
      <c r="A167" s="146" t="s">
        <v>607</v>
      </c>
      <c r="B167" s="146" t="s">
        <v>608</v>
      </c>
      <c r="C167" s="152">
        <v>1</v>
      </c>
      <c r="D167" s="152"/>
      <c r="E167" s="152"/>
      <c r="F167" s="152"/>
      <c r="G167" s="152">
        <v>1</v>
      </c>
      <c r="H167" s="152">
        <v>5</v>
      </c>
      <c r="I167" s="152"/>
      <c r="J167" s="152">
        <v>1</v>
      </c>
      <c r="K167" s="152"/>
      <c r="L167" s="152">
        <v>6</v>
      </c>
      <c r="M167" s="152">
        <v>7</v>
      </c>
      <c r="N167" s="152">
        <v>4</v>
      </c>
      <c r="O167" s="152"/>
      <c r="P167" s="152"/>
      <c r="Q167" s="152">
        <v>4</v>
      </c>
      <c r="R167" s="152"/>
      <c r="S167" s="152"/>
      <c r="T167" s="152"/>
      <c r="U167" s="152"/>
      <c r="V167" s="152">
        <v>0</v>
      </c>
      <c r="W167" s="152">
        <v>4</v>
      </c>
      <c r="X167" s="152"/>
      <c r="Y167" s="152"/>
      <c r="Z167" s="152"/>
      <c r="AA167" s="152">
        <v>0</v>
      </c>
      <c r="AB167" s="152">
        <v>1</v>
      </c>
      <c r="AC167" s="152"/>
      <c r="AD167" s="152"/>
      <c r="AE167" s="152"/>
      <c r="AF167" s="152">
        <v>1</v>
      </c>
      <c r="AG167" s="152">
        <v>1</v>
      </c>
      <c r="AH167" s="152"/>
      <c r="AI167" s="152"/>
      <c r="AJ167" s="152"/>
      <c r="AK167" s="152">
        <v>0</v>
      </c>
      <c r="AL167" s="152"/>
      <c r="AM167" s="152"/>
      <c r="AN167" s="152"/>
      <c r="AO167" s="152"/>
      <c r="AP167" s="152">
        <v>0</v>
      </c>
      <c r="AQ167" s="152">
        <v>0</v>
      </c>
      <c r="AR167" s="152"/>
      <c r="AS167" s="152"/>
      <c r="AT167" s="152"/>
      <c r="AU167" s="152">
        <v>0</v>
      </c>
      <c r="AV167" s="152"/>
      <c r="AW167" s="152"/>
      <c r="AX167" s="152"/>
      <c r="AY167" s="152"/>
      <c r="AZ167" s="152">
        <v>0</v>
      </c>
      <c r="BA167" s="152">
        <v>0</v>
      </c>
      <c r="BB167" s="152"/>
      <c r="BC167" s="152"/>
      <c r="BD167" s="152">
        <v>0</v>
      </c>
      <c r="BE167" s="152"/>
      <c r="BF167" s="152"/>
      <c r="BG167" s="152"/>
      <c r="BH167" s="152"/>
      <c r="BI167" s="152">
        <v>0</v>
      </c>
      <c r="BJ167" s="152">
        <v>0</v>
      </c>
      <c r="BK167" s="152"/>
      <c r="BL167" s="152"/>
      <c r="BM167" s="152"/>
      <c r="BN167" s="152">
        <v>0</v>
      </c>
      <c r="BO167" s="152">
        <v>0</v>
      </c>
      <c r="BP167" s="152">
        <v>12</v>
      </c>
    </row>
    <row r="168" spans="1:68" x14ac:dyDescent="0.35">
      <c r="A168" s="146" t="s">
        <v>609</v>
      </c>
      <c r="B168" s="146" t="s">
        <v>610</v>
      </c>
      <c r="C168" s="152">
        <v>1</v>
      </c>
      <c r="D168" s="152"/>
      <c r="E168" s="152"/>
      <c r="F168" s="152"/>
      <c r="G168" s="152">
        <v>1</v>
      </c>
      <c r="H168" s="152">
        <v>6</v>
      </c>
      <c r="I168" s="152">
        <v>1</v>
      </c>
      <c r="J168" s="152"/>
      <c r="K168" s="152"/>
      <c r="L168" s="152">
        <v>7</v>
      </c>
      <c r="M168" s="152">
        <v>8</v>
      </c>
      <c r="N168" s="152"/>
      <c r="O168" s="152"/>
      <c r="P168" s="152"/>
      <c r="Q168" s="152">
        <v>0</v>
      </c>
      <c r="R168" s="152"/>
      <c r="S168" s="152"/>
      <c r="T168" s="152"/>
      <c r="U168" s="152"/>
      <c r="V168" s="152">
        <v>0</v>
      </c>
      <c r="W168" s="152">
        <v>0</v>
      </c>
      <c r="X168" s="152"/>
      <c r="Y168" s="152"/>
      <c r="Z168" s="152"/>
      <c r="AA168" s="152">
        <v>0</v>
      </c>
      <c r="AB168" s="152"/>
      <c r="AC168" s="152"/>
      <c r="AD168" s="152"/>
      <c r="AE168" s="152"/>
      <c r="AF168" s="152">
        <v>0</v>
      </c>
      <c r="AG168" s="152">
        <v>0</v>
      </c>
      <c r="AH168" s="152"/>
      <c r="AI168" s="152"/>
      <c r="AJ168" s="152"/>
      <c r="AK168" s="152">
        <v>0</v>
      </c>
      <c r="AL168" s="152"/>
      <c r="AM168" s="152"/>
      <c r="AN168" s="152"/>
      <c r="AO168" s="152"/>
      <c r="AP168" s="152">
        <v>0</v>
      </c>
      <c r="AQ168" s="152">
        <v>0</v>
      </c>
      <c r="AR168" s="152"/>
      <c r="AS168" s="152"/>
      <c r="AT168" s="152"/>
      <c r="AU168" s="152">
        <v>0</v>
      </c>
      <c r="AV168" s="152">
        <v>2</v>
      </c>
      <c r="AW168" s="152"/>
      <c r="AX168" s="152"/>
      <c r="AY168" s="152"/>
      <c r="AZ168" s="152">
        <v>2</v>
      </c>
      <c r="BA168" s="152">
        <v>2</v>
      </c>
      <c r="BB168" s="152"/>
      <c r="BC168" s="152"/>
      <c r="BD168" s="152">
        <v>0</v>
      </c>
      <c r="BE168" s="152"/>
      <c r="BF168" s="152"/>
      <c r="BG168" s="152"/>
      <c r="BH168" s="152"/>
      <c r="BI168" s="152">
        <v>0</v>
      </c>
      <c r="BJ168" s="152">
        <v>0</v>
      </c>
      <c r="BK168" s="152"/>
      <c r="BL168" s="152"/>
      <c r="BM168" s="152"/>
      <c r="BN168" s="152">
        <v>0</v>
      </c>
      <c r="BO168" s="152">
        <v>0</v>
      </c>
      <c r="BP168" s="152">
        <v>10</v>
      </c>
    </row>
    <row r="169" spans="1:68" x14ac:dyDescent="0.35">
      <c r="A169" s="146" t="s">
        <v>611</v>
      </c>
      <c r="B169" s="146" t="s">
        <v>612</v>
      </c>
      <c r="C169" s="152"/>
      <c r="D169" s="152"/>
      <c r="E169" s="152"/>
      <c r="F169" s="152"/>
      <c r="G169" s="152">
        <v>0</v>
      </c>
      <c r="H169" s="152">
        <v>3</v>
      </c>
      <c r="I169" s="152"/>
      <c r="J169" s="152"/>
      <c r="K169" s="152"/>
      <c r="L169" s="152">
        <v>3</v>
      </c>
      <c r="M169" s="152">
        <v>3</v>
      </c>
      <c r="N169" s="152"/>
      <c r="O169" s="152"/>
      <c r="P169" s="152"/>
      <c r="Q169" s="152">
        <v>0</v>
      </c>
      <c r="R169" s="152"/>
      <c r="S169" s="152"/>
      <c r="T169" s="152"/>
      <c r="U169" s="152"/>
      <c r="V169" s="152">
        <v>0</v>
      </c>
      <c r="W169" s="152">
        <v>0</v>
      </c>
      <c r="X169" s="152"/>
      <c r="Y169" s="152"/>
      <c r="Z169" s="152"/>
      <c r="AA169" s="152">
        <v>0</v>
      </c>
      <c r="AB169" s="152"/>
      <c r="AC169" s="152"/>
      <c r="AD169" s="152"/>
      <c r="AE169" s="152"/>
      <c r="AF169" s="152">
        <v>0</v>
      </c>
      <c r="AG169" s="152">
        <v>0</v>
      </c>
      <c r="AH169" s="152"/>
      <c r="AI169" s="152"/>
      <c r="AJ169" s="152"/>
      <c r="AK169" s="152">
        <v>0</v>
      </c>
      <c r="AL169" s="152"/>
      <c r="AM169" s="152"/>
      <c r="AN169" s="152"/>
      <c r="AO169" s="152"/>
      <c r="AP169" s="152">
        <v>0</v>
      </c>
      <c r="AQ169" s="152">
        <v>0</v>
      </c>
      <c r="AR169" s="152">
        <v>2</v>
      </c>
      <c r="AS169" s="152"/>
      <c r="AT169" s="152"/>
      <c r="AU169" s="152">
        <v>2</v>
      </c>
      <c r="AV169" s="152">
        <v>1</v>
      </c>
      <c r="AW169" s="152"/>
      <c r="AX169" s="152"/>
      <c r="AY169" s="152"/>
      <c r="AZ169" s="152">
        <v>1</v>
      </c>
      <c r="BA169" s="152">
        <v>3</v>
      </c>
      <c r="BB169" s="152"/>
      <c r="BC169" s="152"/>
      <c r="BD169" s="152">
        <v>0</v>
      </c>
      <c r="BE169" s="152"/>
      <c r="BF169" s="152"/>
      <c r="BG169" s="152"/>
      <c r="BH169" s="152"/>
      <c r="BI169" s="152">
        <v>0</v>
      </c>
      <c r="BJ169" s="152">
        <v>0</v>
      </c>
      <c r="BK169" s="152"/>
      <c r="BL169" s="152"/>
      <c r="BM169" s="152"/>
      <c r="BN169" s="152">
        <v>0</v>
      </c>
      <c r="BO169" s="152">
        <v>0</v>
      </c>
      <c r="BP169" s="152">
        <v>6</v>
      </c>
    </row>
    <row r="170" spans="1:68" x14ac:dyDescent="0.35">
      <c r="A170" s="146" t="s">
        <v>613</v>
      </c>
      <c r="B170" s="146" t="s">
        <v>614</v>
      </c>
      <c r="C170" s="152"/>
      <c r="D170" s="152"/>
      <c r="E170" s="152"/>
      <c r="F170" s="152"/>
      <c r="G170" s="152">
        <v>0</v>
      </c>
      <c r="H170" s="152">
        <v>4</v>
      </c>
      <c r="I170" s="152">
        <v>4</v>
      </c>
      <c r="J170" s="152"/>
      <c r="K170" s="152"/>
      <c r="L170" s="152">
        <v>8</v>
      </c>
      <c r="M170" s="152">
        <v>8</v>
      </c>
      <c r="N170" s="152">
        <v>1</v>
      </c>
      <c r="O170" s="152"/>
      <c r="P170" s="152"/>
      <c r="Q170" s="152">
        <v>1</v>
      </c>
      <c r="R170" s="152"/>
      <c r="S170" s="152">
        <v>1</v>
      </c>
      <c r="T170" s="152"/>
      <c r="U170" s="152"/>
      <c r="V170" s="152">
        <v>1</v>
      </c>
      <c r="W170" s="152">
        <v>2</v>
      </c>
      <c r="X170" s="152"/>
      <c r="Y170" s="152"/>
      <c r="Z170" s="152"/>
      <c r="AA170" s="152">
        <v>0</v>
      </c>
      <c r="AB170" s="152"/>
      <c r="AC170" s="152"/>
      <c r="AD170" s="152"/>
      <c r="AE170" s="152"/>
      <c r="AF170" s="152">
        <v>0</v>
      </c>
      <c r="AG170" s="152">
        <v>0</v>
      </c>
      <c r="AH170" s="152"/>
      <c r="AI170" s="152"/>
      <c r="AJ170" s="152"/>
      <c r="AK170" s="152">
        <v>0</v>
      </c>
      <c r="AL170" s="152">
        <v>1</v>
      </c>
      <c r="AM170" s="152"/>
      <c r="AN170" s="152"/>
      <c r="AO170" s="152"/>
      <c r="AP170" s="152">
        <v>1</v>
      </c>
      <c r="AQ170" s="152">
        <v>1</v>
      </c>
      <c r="AR170" s="152"/>
      <c r="AS170" s="152"/>
      <c r="AT170" s="152"/>
      <c r="AU170" s="152">
        <v>0</v>
      </c>
      <c r="AV170" s="152"/>
      <c r="AW170" s="152">
        <v>1</v>
      </c>
      <c r="AX170" s="152"/>
      <c r="AY170" s="152"/>
      <c r="AZ170" s="152">
        <v>1</v>
      </c>
      <c r="BA170" s="152">
        <v>1</v>
      </c>
      <c r="BB170" s="152">
        <v>1</v>
      </c>
      <c r="BC170" s="152"/>
      <c r="BD170" s="152">
        <v>1</v>
      </c>
      <c r="BE170" s="152"/>
      <c r="BF170" s="152"/>
      <c r="BG170" s="152"/>
      <c r="BH170" s="152"/>
      <c r="BI170" s="152">
        <v>0</v>
      </c>
      <c r="BJ170" s="152">
        <v>1</v>
      </c>
      <c r="BK170" s="152"/>
      <c r="BL170" s="152"/>
      <c r="BM170" s="152"/>
      <c r="BN170" s="152">
        <v>0</v>
      </c>
      <c r="BO170" s="152">
        <v>0</v>
      </c>
      <c r="BP170" s="152">
        <v>13</v>
      </c>
    </row>
    <row r="171" spans="1:68" x14ac:dyDescent="0.35">
      <c r="A171" s="146" t="s">
        <v>615</v>
      </c>
      <c r="B171" s="146" t="s">
        <v>616</v>
      </c>
      <c r="C171" s="152">
        <v>1</v>
      </c>
      <c r="D171" s="152"/>
      <c r="E171" s="152"/>
      <c r="F171" s="152"/>
      <c r="G171" s="152">
        <v>1</v>
      </c>
      <c r="H171" s="152">
        <v>8</v>
      </c>
      <c r="I171" s="152">
        <v>2</v>
      </c>
      <c r="J171" s="152"/>
      <c r="K171" s="152"/>
      <c r="L171" s="152">
        <v>10</v>
      </c>
      <c r="M171" s="152">
        <v>11</v>
      </c>
      <c r="N171" s="152"/>
      <c r="O171" s="152"/>
      <c r="P171" s="152"/>
      <c r="Q171" s="152">
        <v>0</v>
      </c>
      <c r="R171" s="152"/>
      <c r="S171" s="152"/>
      <c r="T171" s="152"/>
      <c r="U171" s="152"/>
      <c r="V171" s="152">
        <v>0</v>
      </c>
      <c r="W171" s="152">
        <v>0</v>
      </c>
      <c r="X171" s="152"/>
      <c r="Y171" s="152"/>
      <c r="Z171" s="152"/>
      <c r="AA171" s="152">
        <v>0</v>
      </c>
      <c r="AB171" s="152"/>
      <c r="AC171" s="152"/>
      <c r="AD171" s="152"/>
      <c r="AE171" s="152"/>
      <c r="AF171" s="152">
        <v>0</v>
      </c>
      <c r="AG171" s="152">
        <v>0</v>
      </c>
      <c r="AH171" s="152"/>
      <c r="AI171" s="152"/>
      <c r="AJ171" s="152"/>
      <c r="AK171" s="152">
        <v>0</v>
      </c>
      <c r="AL171" s="152"/>
      <c r="AM171" s="152"/>
      <c r="AN171" s="152"/>
      <c r="AO171" s="152"/>
      <c r="AP171" s="152">
        <v>0</v>
      </c>
      <c r="AQ171" s="152">
        <v>0</v>
      </c>
      <c r="AR171" s="152">
        <v>2</v>
      </c>
      <c r="AS171" s="152"/>
      <c r="AT171" s="152"/>
      <c r="AU171" s="152">
        <v>2</v>
      </c>
      <c r="AV171" s="152"/>
      <c r="AW171" s="152"/>
      <c r="AX171" s="152"/>
      <c r="AY171" s="152"/>
      <c r="AZ171" s="152">
        <v>0</v>
      </c>
      <c r="BA171" s="152">
        <v>2</v>
      </c>
      <c r="BB171" s="152"/>
      <c r="BC171" s="152"/>
      <c r="BD171" s="152">
        <v>0</v>
      </c>
      <c r="BE171" s="152"/>
      <c r="BF171" s="152"/>
      <c r="BG171" s="152"/>
      <c r="BH171" s="152"/>
      <c r="BI171" s="152">
        <v>0</v>
      </c>
      <c r="BJ171" s="152">
        <v>0</v>
      </c>
      <c r="BK171" s="152"/>
      <c r="BL171" s="152"/>
      <c r="BM171" s="152"/>
      <c r="BN171" s="152">
        <v>0</v>
      </c>
      <c r="BO171" s="152">
        <v>0</v>
      </c>
      <c r="BP171" s="152">
        <v>13</v>
      </c>
    </row>
    <row r="172" spans="1:68" x14ac:dyDescent="0.35">
      <c r="A172" s="146" t="s">
        <v>617</v>
      </c>
      <c r="B172" s="146" t="s">
        <v>618</v>
      </c>
      <c r="C172" s="152">
        <v>5</v>
      </c>
      <c r="D172" s="152"/>
      <c r="E172" s="152"/>
      <c r="F172" s="152"/>
      <c r="G172" s="152">
        <v>5</v>
      </c>
      <c r="H172" s="152">
        <v>5</v>
      </c>
      <c r="I172" s="152"/>
      <c r="J172" s="152"/>
      <c r="K172" s="152"/>
      <c r="L172" s="152">
        <v>5</v>
      </c>
      <c r="M172" s="152">
        <v>10</v>
      </c>
      <c r="N172" s="152"/>
      <c r="O172" s="152"/>
      <c r="P172" s="152"/>
      <c r="Q172" s="152">
        <v>0</v>
      </c>
      <c r="R172" s="152"/>
      <c r="S172" s="152"/>
      <c r="T172" s="152"/>
      <c r="U172" s="152"/>
      <c r="V172" s="152">
        <v>0</v>
      </c>
      <c r="W172" s="152">
        <v>0</v>
      </c>
      <c r="X172" s="152"/>
      <c r="Y172" s="152"/>
      <c r="Z172" s="152"/>
      <c r="AA172" s="152">
        <v>0</v>
      </c>
      <c r="AB172" s="152"/>
      <c r="AC172" s="152"/>
      <c r="AD172" s="152"/>
      <c r="AE172" s="152"/>
      <c r="AF172" s="152">
        <v>0</v>
      </c>
      <c r="AG172" s="152">
        <v>0</v>
      </c>
      <c r="AH172" s="152"/>
      <c r="AI172" s="152"/>
      <c r="AJ172" s="152"/>
      <c r="AK172" s="152">
        <v>0</v>
      </c>
      <c r="AL172" s="152"/>
      <c r="AM172" s="152"/>
      <c r="AN172" s="152"/>
      <c r="AO172" s="152"/>
      <c r="AP172" s="152">
        <v>0</v>
      </c>
      <c r="AQ172" s="152">
        <v>0</v>
      </c>
      <c r="AR172" s="152"/>
      <c r="AS172" s="152"/>
      <c r="AT172" s="152"/>
      <c r="AU172" s="152">
        <v>0</v>
      </c>
      <c r="AV172" s="152"/>
      <c r="AW172" s="152"/>
      <c r="AX172" s="152"/>
      <c r="AY172" s="152"/>
      <c r="AZ172" s="152">
        <v>0</v>
      </c>
      <c r="BA172" s="152">
        <v>0</v>
      </c>
      <c r="BB172" s="152"/>
      <c r="BC172" s="152"/>
      <c r="BD172" s="152">
        <v>0</v>
      </c>
      <c r="BE172" s="152"/>
      <c r="BF172" s="152"/>
      <c r="BG172" s="152"/>
      <c r="BH172" s="152"/>
      <c r="BI172" s="152">
        <v>0</v>
      </c>
      <c r="BJ172" s="152">
        <v>0</v>
      </c>
      <c r="BK172" s="152"/>
      <c r="BL172" s="152"/>
      <c r="BM172" s="152"/>
      <c r="BN172" s="152">
        <v>0</v>
      </c>
      <c r="BO172" s="152">
        <v>0</v>
      </c>
      <c r="BP172" s="152">
        <v>10</v>
      </c>
    </row>
    <row r="173" spans="1:68" x14ac:dyDescent="0.35">
      <c r="A173" s="146" t="s">
        <v>619</v>
      </c>
      <c r="B173" s="146" t="s">
        <v>620</v>
      </c>
      <c r="C173" s="152">
        <v>6</v>
      </c>
      <c r="D173" s="152"/>
      <c r="E173" s="152"/>
      <c r="F173" s="152"/>
      <c r="G173" s="152">
        <v>6</v>
      </c>
      <c r="H173" s="152">
        <v>29</v>
      </c>
      <c r="I173" s="152">
        <v>4</v>
      </c>
      <c r="J173" s="152"/>
      <c r="K173" s="152"/>
      <c r="L173" s="152">
        <v>33</v>
      </c>
      <c r="M173" s="152">
        <v>39</v>
      </c>
      <c r="N173" s="152"/>
      <c r="O173" s="152"/>
      <c r="P173" s="152"/>
      <c r="Q173" s="152">
        <v>0</v>
      </c>
      <c r="R173" s="152">
        <v>1</v>
      </c>
      <c r="S173" s="152"/>
      <c r="T173" s="152"/>
      <c r="U173" s="152"/>
      <c r="V173" s="152">
        <v>1</v>
      </c>
      <c r="W173" s="152">
        <v>1</v>
      </c>
      <c r="X173" s="152"/>
      <c r="Y173" s="152"/>
      <c r="Z173" s="152"/>
      <c r="AA173" s="152">
        <v>0</v>
      </c>
      <c r="AB173" s="152"/>
      <c r="AC173" s="152"/>
      <c r="AD173" s="152"/>
      <c r="AE173" s="152"/>
      <c r="AF173" s="152">
        <v>0</v>
      </c>
      <c r="AG173" s="152">
        <v>0</v>
      </c>
      <c r="AH173" s="152"/>
      <c r="AI173" s="152"/>
      <c r="AJ173" s="152"/>
      <c r="AK173" s="152">
        <v>0</v>
      </c>
      <c r="AL173" s="152"/>
      <c r="AM173" s="152"/>
      <c r="AN173" s="152"/>
      <c r="AO173" s="152"/>
      <c r="AP173" s="152">
        <v>0</v>
      </c>
      <c r="AQ173" s="152">
        <v>0</v>
      </c>
      <c r="AR173" s="152">
        <v>3</v>
      </c>
      <c r="AS173" s="152"/>
      <c r="AT173" s="152"/>
      <c r="AU173" s="152">
        <v>3</v>
      </c>
      <c r="AV173" s="152">
        <v>3</v>
      </c>
      <c r="AW173" s="152">
        <v>1</v>
      </c>
      <c r="AX173" s="152"/>
      <c r="AY173" s="152"/>
      <c r="AZ173" s="152">
        <v>4</v>
      </c>
      <c r="BA173" s="152">
        <v>7</v>
      </c>
      <c r="BB173" s="152"/>
      <c r="BC173" s="152"/>
      <c r="BD173" s="152">
        <v>0</v>
      </c>
      <c r="BE173" s="152"/>
      <c r="BF173" s="152"/>
      <c r="BG173" s="152"/>
      <c r="BH173" s="152"/>
      <c r="BI173" s="152">
        <v>0</v>
      </c>
      <c r="BJ173" s="152">
        <v>0</v>
      </c>
      <c r="BK173" s="152"/>
      <c r="BL173" s="152"/>
      <c r="BM173" s="152"/>
      <c r="BN173" s="152">
        <v>0</v>
      </c>
      <c r="BO173" s="152">
        <v>0</v>
      </c>
      <c r="BP173" s="152">
        <v>47</v>
      </c>
    </row>
    <row r="174" spans="1:68" x14ac:dyDescent="0.35">
      <c r="A174" s="146" t="s">
        <v>621</v>
      </c>
      <c r="B174" s="146" t="s">
        <v>622</v>
      </c>
      <c r="C174" s="152"/>
      <c r="D174" s="152"/>
      <c r="E174" s="152"/>
      <c r="F174" s="152"/>
      <c r="G174" s="152">
        <v>0</v>
      </c>
      <c r="H174" s="152">
        <v>2</v>
      </c>
      <c r="I174" s="152">
        <v>1</v>
      </c>
      <c r="J174" s="152"/>
      <c r="K174" s="152"/>
      <c r="L174" s="152">
        <v>3</v>
      </c>
      <c r="M174" s="152">
        <v>3</v>
      </c>
      <c r="N174" s="152"/>
      <c r="O174" s="152"/>
      <c r="P174" s="152"/>
      <c r="Q174" s="152">
        <v>0</v>
      </c>
      <c r="R174" s="152"/>
      <c r="S174" s="152"/>
      <c r="T174" s="152"/>
      <c r="U174" s="152"/>
      <c r="V174" s="152">
        <v>0</v>
      </c>
      <c r="W174" s="152">
        <v>0</v>
      </c>
      <c r="X174" s="152"/>
      <c r="Y174" s="152"/>
      <c r="Z174" s="152"/>
      <c r="AA174" s="152">
        <v>0</v>
      </c>
      <c r="AB174" s="152"/>
      <c r="AC174" s="152"/>
      <c r="AD174" s="152"/>
      <c r="AE174" s="152"/>
      <c r="AF174" s="152">
        <v>0</v>
      </c>
      <c r="AG174" s="152">
        <v>0</v>
      </c>
      <c r="AH174" s="152"/>
      <c r="AI174" s="152"/>
      <c r="AJ174" s="152"/>
      <c r="AK174" s="152">
        <v>0</v>
      </c>
      <c r="AL174" s="152"/>
      <c r="AM174" s="152"/>
      <c r="AN174" s="152"/>
      <c r="AO174" s="152"/>
      <c r="AP174" s="152">
        <v>0</v>
      </c>
      <c r="AQ174" s="152">
        <v>0</v>
      </c>
      <c r="AR174" s="152"/>
      <c r="AS174" s="152"/>
      <c r="AT174" s="152"/>
      <c r="AU174" s="152">
        <v>0</v>
      </c>
      <c r="AV174" s="152"/>
      <c r="AW174" s="152">
        <v>1</v>
      </c>
      <c r="AX174" s="152"/>
      <c r="AY174" s="152"/>
      <c r="AZ174" s="152">
        <v>1</v>
      </c>
      <c r="BA174" s="152">
        <v>1</v>
      </c>
      <c r="BB174" s="152"/>
      <c r="BC174" s="152"/>
      <c r="BD174" s="152">
        <v>0</v>
      </c>
      <c r="BE174" s="152"/>
      <c r="BF174" s="152"/>
      <c r="BG174" s="152"/>
      <c r="BH174" s="152"/>
      <c r="BI174" s="152">
        <v>0</v>
      </c>
      <c r="BJ174" s="152">
        <v>0</v>
      </c>
      <c r="BK174" s="152"/>
      <c r="BL174" s="152"/>
      <c r="BM174" s="152"/>
      <c r="BN174" s="152">
        <v>0</v>
      </c>
      <c r="BO174" s="152">
        <v>0</v>
      </c>
      <c r="BP174" s="152">
        <v>4</v>
      </c>
    </row>
    <row r="175" spans="1:68" x14ac:dyDescent="0.35">
      <c r="A175" s="146" t="s">
        <v>623</v>
      </c>
      <c r="B175" s="146" t="s">
        <v>1372</v>
      </c>
      <c r="C175" s="152">
        <v>2</v>
      </c>
      <c r="D175" s="152"/>
      <c r="E175" s="152"/>
      <c r="F175" s="152"/>
      <c r="G175" s="152">
        <v>2</v>
      </c>
      <c r="H175" s="152">
        <v>8</v>
      </c>
      <c r="I175" s="152">
        <v>2</v>
      </c>
      <c r="J175" s="152"/>
      <c r="K175" s="152"/>
      <c r="L175" s="152">
        <v>10</v>
      </c>
      <c r="M175" s="152">
        <v>12</v>
      </c>
      <c r="N175" s="152"/>
      <c r="O175" s="152"/>
      <c r="P175" s="152"/>
      <c r="Q175" s="152">
        <v>0</v>
      </c>
      <c r="R175" s="152">
        <v>1</v>
      </c>
      <c r="S175" s="152"/>
      <c r="T175" s="152"/>
      <c r="U175" s="152"/>
      <c r="V175" s="152">
        <v>1</v>
      </c>
      <c r="W175" s="152">
        <v>1</v>
      </c>
      <c r="X175" s="152"/>
      <c r="Y175" s="152"/>
      <c r="Z175" s="152"/>
      <c r="AA175" s="152">
        <v>0</v>
      </c>
      <c r="AB175" s="152">
        <v>1</v>
      </c>
      <c r="AC175" s="152"/>
      <c r="AD175" s="152"/>
      <c r="AE175" s="152"/>
      <c r="AF175" s="152">
        <v>1</v>
      </c>
      <c r="AG175" s="152">
        <v>1</v>
      </c>
      <c r="AH175" s="152"/>
      <c r="AI175" s="152"/>
      <c r="AJ175" s="152"/>
      <c r="AK175" s="152">
        <v>0</v>
      </c>
      <c r="AL175" s="152"/>
      <c r="AM175" s="152"/>
      <c r="AN175" s="152"/>
      <c r="AO175" s="152"/>
      <c r="AP175" s="152">
        <v>0</v>
      </c>
      <c r="AQ175" s="152">
        <v>0</v>
      </c>
      <c r="AR175" s="152">
        <v>4</v>
      </c>
      <c r="AS175" s="152">
        <v>1</v>
      </c>
      <c r="AT175" s="152"/>
      <c r="AU175" s="152">
        <v>5</v>
      </c>
      <c r="AV175" s="152">
        <v>2</v>
      </c>
      <c r="AW175" s="152">
        <v>3</v>
      </c>
      <c r="AX175" s="152">
        <v>1</v>
      </c>
      <c r="AY175" s="152"/>
      <c r="AZ175" s="152">
        <v>6</v>
      </c>
      <c r="BA175" s="152">
        <v>11</v>
      </c>
      <c r="BB175" s="152"/>
      <c r="BC175" s="152"/>
      <c r="BD175" s="152">
        <v>0</v>
      </c>
      <c r="BE175" s="152"/>
      <c r="BF175" s="152"/>
      <c r="BG175" s="152"/>
      <c r="BH175" s="152"/>
      <c r="BI175" s="152">
        <v>0</v>
      </c>
      <c r="BJ175" s="152">
        <v>0</v>
      </c>
      <c r="BK175" s="152"/>
      <c r="BL175" s="152"/>
      <c r="BM175" s="152"/>
      <c r="BN175" s="152">
        <v>0</v>
      </c>
      <c r="BO175" s="152">
        <v>0</v>
      </c>
      <c r="BP175" s="152">
        <v>25</v>
      </c>
    </row>
    <row r="176" spans="1:68" x14ac:dyDescent="0.35">
      <c r="A176" s="146" t="s">
        <v>624</v>
      </c>
      <c r="B176" s="146" t="s">
        <v>625</v>
      </c>
      <c r="C176" s="152">
        <v>37</v>
      </c>
      <c r="D176" s="152">
        <v>2</v>
      </c>
      <c r="E176" s="152"/>
      <c r="F176" s="152"/>
      <c r="G176" s="152">
        <v>39</v>
      </c>
      <c r="H176" s="152">
        <v>23</v>
      </c>
      <c r="I176" s="152">
        <v>17</v>
      </c>
      <c r="J176" s="152">
        <v>1</v>
      </c>
      <c r="K176" s="152">
        <v>1</v>
      </c>
      <c r="L176" s="152">
        <v>42</v>
      </c>
      <c r="M176" s="152">
        <v>81</v>
      </c>
      <c r="N176" s="152"/>
      <c r="O176" s="152"/>
      <c r="P176" s="152"/>
      <c r="Q176" s="152">
        <v>0</v>
      </c>
      <c r="R176" s="152"/>
      <c r="S176" s="152"/>
      <c r="T176" s="152"/>
      <c r="U176" s="152"/>
      <c r="V176" s="152">
        <v>0</v>
      </c>
      <c r="W176" s="152">
        <v>0</v>
      </c>
      <c r="X176" s="152"/>
      <c r="Y176" s="152"/>
      <c r="Z176" s="152"/>
      <c r="AA176" s="152">
        <v>0</v>
      </c>
      <c r="AB176" s="152"/>
      <c r="AC176" s="152"/>
      <c r="AD176" s="152"/>
      <c r="AE176" s="152"/>
      <c r="AF176" s="152">
        <v>0</v>
      </c>
      <c r="AG176" s="152">
        <v>0</v>
      </c>
      <c r="AH176" s="152"/>
      <c r="AI176" s="152"/>
      <c r="AJ176" s="152"/>
      <c r="AK176" s="152">
        <v>0</v>
      </c>
      <c r="AL176" s="152"/>
      <c r="AM176" s="152"/>
      <c r="AN176" s="152"/>
      <c r="AO176" s="152"/>
      <c r="AP176" s="152">
        <v>0</v>
      </c>
      <c r="AQ176" s="152">
        <v>0</v>
      </c>
      <c r="AR176" s="152"/>
      <c r="AS176" s="152"/>
      <c r="AT176" s="152"/>
      <c r="AU176" s="152">
        <v>0</v>
      </c>
      <c r="AV176" s="152">
        <v>2</v>
      </c>
      <c r="AW176" s="152">
        <v>2</v>
      </c>
      <c r="AX176" s="152"/>
      <c r="AY176" s="152"/>
      <c r="AZ176" s="152">
        <v>4</v>
      </c>
      <c r="BA176" s="152">
        <v>4</v>
      </c>
      <c r="BB176" s="152"/>
      <c r="BC176" s="152"/>
      <c r="BD176" s="152">
        <v>0</v>
      </c>
      <c r="BE176" s="152"/>
      <c r="BF176" s="152"/>
      <c r="BG176" s="152"/>
      <c r="BH176" s="152"/>
      <c r="BI176" s="152">
        <v>0</v>
      </c>
      <c r="BJ176" s="152">
        <v>0</v>
      </c>
      <c r="BK176" s="152"/>
      <c r="BL176" s="152"/>
      <c r="BM176" s="152"/>
      <c r="BN176" s="152">
        <v>0</v>
      </c>
      <c r="BO176" s="152">
        <v>0</v>
      </c>
      <c r="BP176" s="152">
        <v>85</v>
      </c>
    </row>
    <row r="177" spans="1:68" x14ac:dyDescent="0.35">
      <c r="A177" s="146" t="s">
        <v>626</v>
      </c>
      <c r="B177" s="146" t="s">
        <v>627</v>
      </c>
      <c r="C177" s="152"/>
      <c r="D177" s="152"/>
      <c r="E177" s="152"/>
      <c r="F177" s="152"/>
      <c r="G177" s="152">
        <v>0</v>
      </c>
      <c r="H177" s="152">
        <v>1</v>
      </c>
      <c r="I177" s="152"/>
      <c r="J177" s="152"/>
      <c r="K177" s="152"/>
      <c r="L177" s="152">
        <v>1</v>
      </c>
      <c r="M177" s="152">
        <v>1</v>
      </c>
      <c r="N177" s="152"/>
      <c r="O177" s="152"/>
      <c r="P177" s="152"/>
      <c r="Q177" s="152">
        <v>0</v>
      </c>
      <c r="R177" s="152"/>
      <c r="S177" s="152"/>
      <c r="T177" s="152"/>
      <c r="U177" s="152"/>
      <c r="V177" s="152">
        <v>0</v>
      </c>
      <c r="W177" s="152">
        <v>0</v>
      </c>
      <c r="X177" s="152"/>
      <c r="Y177" s="152"/>
      <c r="Z177" s="152"/>
      <c r="AA177" s="152">
        <v>0</v>
      </c>
      <c r="AB177" s="152"/>
      <c r="AC177" s="152"/>
      <c r="AD177" s="152"/>
      <c r="AE177" s="152"/>
      <c r="AF177" s="152">
        <v>0</v>
      </c>
      <c r="AG177" s="152">
        <v>0</v>
      </c>
      <c r="AH177" s="152"/>
      <c r="AI177" s="152"/>
      <c r="AJ177" s="152"/>
      <c r="AK177" s="152">
        <v>0</v>
      </c>
      <c r="AL177" s="152"/>
      <c r="AM177" s="152"/>
      <c r="AN177" s="152"/>
      <c r="AO177" s="152"/>
      <c r="AP177" s="152">
        <v>0</v>
      </c>
      <c r="AQ177" s="152">
        <v>0</v>
      </c>
      <c r="AR177" s="152"/>
      <c r="AS177" s="152"/>
      <c r="AT177" s="152"/>
      <c r="AU177" s="152">
        <v>0</v>
      </c>
      <c r="AV177" s="152"/>
      <c r="AW177" s="152"/>
      <c r="AX177" s="152"/>
      <c r="AY177" s="152"/>
      <c r="AZ177" s="152">
        <v>0</v>
      </c>
      <c r="BA177" s="152">
        <v>0</v>
      </c>
      <c r="BB177" s="152">
        <v>1</v>
      </c>
      <c r="BC177" s="152"/>
      <c r="BD177" s="152">
        <v>1</v>
      </c>
      <c r="BE177" s="152"/>
      <c r="BF177" s="152"/>
      <c r="BG177" s="152"/>
      <c r="BH177" s="152"/>
      <c r="BI177" s="152">
        <v>0</v>
      </c>
      <c r="BJ177" s="152">
        <v>1</v>
      </c>
      <c r="BK177" s="152"/>
      <c r="BL177" s="152"/>
      <c r="BM177" s="152"/>
      <c r="BN177" s="152">
        <v>0</v>
      </c>
      <c r="BO177" s="152">
        <v>0</v>
      </c>
      <c r="BP177" s="152">
        <v>2</v>
      </c>
    </row>
    <row r="178" spans="1:68" x14ac:dyDescent="0.35">
      <c r="A178" s="146" t="s">
        <v>628</v>
      </c>
      <c r="B178" s="146" t="s">
        <v>629</v>
      </c>
      <c r="C178" s="152">
        <v>1</v>
      </c>
      <c r="D178" s="152"/>
      <c r="E178" s="152"/>
      <c r="F178" s="152"/>
      <c r="G178" s="152">
        <v>1</v>
      </c>
      <c r="H178" s="152"/>
      <c r="I178" s="152">
        <v>1</v>
      </c>
      <c r="J178" s="152"/>
      <c r="K178" s="152"/>
      <c r="L178" s="152">
        <v>1</v>
      </c>
      <c r="M178" s="152">
        <v>2</v>
      </c>
      <c r="N178" s="152"/>
      <c r="O178" s="152"/>
      <c r="P178" s="152"/>
      <c r="Q178" s="152">
        <v>0</v>
      </c>
      <c r="R178" s="152"/>
      <c r="S178" s="152"/>
      <c r="T178" s="152"/>
      <c r="U178" s="152"/>
      <c r="V178" s="152">
        <v>0</v>
      </c>
      <c r="W178" s="152">
        <v>0</v>
      </c>
      <c r="X178" s="152"/>
      <c r="Y178" s="152"/>
      <c r="Z178" s="152"/>
      <c r="AA178" s="152">
        <v>0</v>
      </c>
      <c r="AB178" s="152"/>
      <c r="AC178" s="152"/>
      <c r="AD178" s="152"/>
      <c r="AE178" s="152"/>
      <c r="AF178" s="152">
        <v>0</v>
      </c>
      <c r="AG178" s="152">
        <v>0</v>
      </c>
      <c r="AH178" s="152"/>
      <c r="AI178" s="152"/>
      <c r="AJ178" s="152"/>
      <c r="AK178" s="152">
        <v>0</v>
      </c>
      <c r="AL178" s="152"/>
      <c r="AM178" s="152"/>
      <c r="AN178" s="152"/>
      <c r="AO178" s="152"/>
      <c r="AP178" s="152">
        <v>0</v>
      </c>
      <c r="AQ178" s="152">
        <v>0</v>
      </c>
      <c r="AR178" s="152"/>
      <c r="AS178" s="152"/>
      <c r="AT178" s="152"/>
      <c r="AU178" s="152">
        <v>0</v>
      </c>
      <c r="AV178" s="152"/>
      <c r="AW178" s="152"/>
      <c r="AX178" s="152"/>
      <c r="AY178" s="152"/>
      <c r="AZ178" s="152">
        <v>0</v>
      </c>
      <c r="BA178" s="152">
        <v>0</v>
      </c>
      <c r="BB178" s="152"/>
      <c r="BC178" s="152"/>
      <c r="BD178" s="152">
        <v>0</v>
      </c>
      <c r="BE178" s="152"/>
      <c r="BF178" s="152"/>
      <c r="BG178" s="152"/>
      <c r="BH178" s="152"/>
      <c r="BI178" s="152">
        <v>0</v>
      </c>
      <c r="BJ178" s="152">
        <v>0</v>
      </c>
      <c r="BK178" s="152"/>
      <c r="BL178" s="152"/>
      <c r="BM178" s="152"/>
      <c r="BN178" s="152">
        <v>0</v>
      </c>
      <c r="BO178" s="152">
        <v>0</v>
      </c>
      <c r="BP178" s="152">
        <v>2</v>
      </c>
    </row>
    <row r="179" spans="1:68" x14ac:dyDescent="0.35">
      <c r="A179" s="146" t="s">
        <v>630</v>
      </c>
      <c r="B179" s="146" t="s">
        <v>631</v>
      </c>
      <c r="C179" s="152"/>
      <c r="D179" s="152"/>
      <c r="E179" s="152"/>
      <c r="F179" s="152"/>
      <c r="G179" s="152">
        <v>0</v>
      </c>
      <c r="H179" s="152">
        <v>4</v>
      </c>
      <c r="I179" s="152"/>
      <c r="J179" s="152"/>
      <c r="K179" s="152"/>
      <c r="L179" s="152">
        <v>4</v>
      </c>
      <c r="M179" s="152">
        <v>4</v>
      </c>
      <c r="N179" s="152"/>
      <c r="O179" s="152"/>
      <c r="P179" s="152"/>
      <c r="Q179" s="152">
        <v>0</v>
      </c>
      <c r="R179" s="152"/>
      <c r="S179" s="152"/>
      <c r="T179" s="152"/>
      <c r="U179" s="152"/>
      <c r="V179" s="152">
        <v>0</v>
      </c>
      <c r="W179" s="152">
        <v>0</v>
      </c>
      <c r="X179" s="152"/>
      <c r="Y179" s="152"/>
      <c r="Z179" s="152"/>
      <c r="AA179" s="152">
        <v>0</v>
      </c>
      <c r="AB179" s="152"/>
      <c r="AC179" s="152"/>
      <c r="AD179" s="152"/>
      <c r="AE179" s="152"/>
      <c r="AF179" s="152">
        <v>0</v>
      </c>
      <c r="AG179" s="152">
        <v>0</v>
      </c>
      <c r="AH179" s="152"/>
      <c r="AI179" s="152"/>
      <c r="AJ179" s="152"/>
      <c r="AK179" s="152">
        <v>0</v>
      </c>
      <c r="AL179" s="152"/>
      <c r="AM179" s="152"/>
      <c r="AN179" s="152"/>
      <c r="AO179" s="152"/>
      <c r="AP179" s="152">
        <v>0</v>
      </c>
      <c r="AQ179" s="152">
        <v>0</v>
      </c>
      <c r="AR179" s="152"/>
      <c r="AS179" s="152"/>
      <c r="AT179" s="152"/>
      <c r="AU179" s="152">
        <v>0</v>
      </c>
      <c r="AV179" s="152"/>
      <c r="AW179" s="152"/>
      <c r="AX179" s="152"/>
      <c r="AY179" s="152"/>
      <c r="AZ179" s="152">
        <v>0</v>
      </c>
      <c r="BA179" s="152">
        <v>0</v>
      </c>
      <c r="BB179" s="152"/>
      <c r="BC179" s="152"/>
      <c r="BD179" s="152">
        <v>0</v>
      </c>
      <c r="BE179" s="152"/>
      <c r="BF179" s="152"/>
      <c r="BG179" s="152"/>
      <c r="BH179" s="152"/>
      <c r="BI179" s="152">
        <v>0</v>
      </c>
      <c r="BJ179" s="152">
        <v>0</v>
      </c>
      <c r="BK179" s="152"/>
      <c r="BL179" s="152"/>
      <c r="BM179" s="152"/>
      <c r="BN179" s="152">
        <v>0</v>
      </c>
      <c r="BO179" s="152">
        <v>0</v>
      </c>
      <c r="BP179" s="152">
        <v>4</v>
      </c>
    </row>
    <row r="180" spans="1:68" x14ac:dyDescent="0.35">
      <c r="A180" s="146" t="s">
        <v>632</v>
      </c>
      <c r="B180" s="146" t="s">
        <v>633</v>
      </c>
      <c r="C180" s="152">
        <v>3</v>
      </c>
      <c r="D180" s="152"/>
      <c r="E180" s="152"/>
      <c r="F180" s="152"/>
      <c r="G180" s="152">
        <v>3</v>
      </c>
      <c r="H180" s="152">
        <v>1</v>
      </c>
      <c r="I180" s="152">
        <v>2</v>
      </c>
      <c r="J180" s="152"/>
      <c r="K180" s="152"/>
      <c r="L180" s="152">
        <v>3</v>
      </c>
      <c r="M180" s="152">
        <v>6</v>
      </c>
      <c r="N180" s="152"/>
      <c r="O180" s="152"/>
      <c r="P180" s="152"/>
      <c r="Q180" s="152">
        <v>0</v>
      </c>
      <c r="R180" s="152"/>
      <c r="S180" s="152"/>
      <c r="T180" s="152"/>
      <c r="U180" s="152"/>
      <c r="V180" s="152">
        <v>0</v>
      </c>
      <c r="W180" s="152">
        <v>0</v>
      </c>
      <c r="X180" s="152"/>
      <c r="Y180" s="152"/>
      <c r="Z180" s="152"/>
      <c r="AA180" s="152">
        <v>0</v>
      </c>
      <c r="AB180" s="152"/>
      <c r="AC180" s="152"/>
      <c r="AD180" s="152"/>
      <c r="AE180" s="152"/>
      <c r="AF180" s="152">
        <v>0</v>
      </c>
      <c r="AG180" s="152">
        <v>0</v>
      </c>
      <c r="AH180" s="152"/>
      <c r="AI180" s="152"/>
      <c r="AJ180" s="152"/>
      <c r="AK180" s="152">
        <v>0</v>
      </c>
      <c r="AL180" s="152"/>
      <c r="AM180" s="152"/>
      <c r="AN180" s="152"/>
      <c r="AO180" s="152"/>
      <c r="AP180" s="152">
        <v>0</v>
      </c>
      <c r="AQ180" s="152">
        <v>0</v>
      </c>
      <c r="AR180" s="152"/>
      <c r="AS180" s="152"/>
      <c r="AT180" s="152"/>
      <c r="AU180" s="152">
        <v>0</v>
      </c>
      <c r="AV180" s="152"/>
      <c r="AW180" s="152"/>
      <c r="AX180" s="152"/>
      <c r="AY180" s="152">
        <v>1</v>
      </c>
      <c r="AZ180" s="152">
        <v>1</v>
      </c>
      <c r="BA180" s="152">
        <v>1</v>
      </c>
      <c r="BB180" s="152"/>
      <c r="BC180" s="152"/>
      <c r="BD180" s="152">
        <v>0</v>
      </c>
      <c r="BE180" s="152"/>
      <c r="BF180" s="152"/>
      <c r="BG180" s="152"/>
      <c r="BH180" s="152"/>
      <c r="BI180" s="152">
        <v>0</v>
      </c>
      <c r="BJ180" s="152">
        <v>0</v>
      </c>
      <c r="BK180" s="152"/>
      <c r="BL180" s="152"/>
      <c r="BM180" s="152"/>
      <c r="BN180" s="152">
        <v>0</v>
      </c>
      <c r="BO180" s="152">
        <v>0</v>
      </c>
      <c r="BP180" s="152">
        <v>7</v>
      </c>
    </row>
    <row r="181" spans="1:68" x14ac:dyDescent="0.35">
      <c r="A181" s="146" t="s">
        <v>634</v>
      </c>
      <c r="B181" s="146" t="s">
        <v>635</v>
      </c>
      <c r="C181" s="152">
        <v>8</v>
      </c>
      <c r="D181" s="152"/>
      <c r="E181" s="152"/>
      <c r="F181" s="152"/>
      <c r="G181" s="152">
        <v>8</v>
      </c>
      <c r="H181" s="152">
        <v>4</v>
      </c>
      <c r="I181" s="152"/>
      <c r="J181" s="152"/>
      <c r="K181" s="152"/>
      <c r="L181" s="152">
        <v>4</v>
      </c>
      <c r="M181" s="152">
        <v>12</v>
      </c>
      <c r="N181" s="152"/>
      <c r="O181" s="152"/>
      <c r="P181" s="152"/>
      <c r="Q181" s="152">
        <v>0</v>
      </c>
      <c r="R181" s="152"/>
      <c r="S181" s="152"/>
      <c r="T181" s="152"/>
      <c r="U181" s="152"/>
      <c r="V181" s="152">
        <v>0</v>
      </c>
      <c r="W181" s="152">
        <v>0</v>
      </c>
      <c r="X181" s="152"/>
      <c r="Y181" s="152"/>
      <c r="Z181" s="152"/>
      <c r="AA181" s="152">
        <v>0</v>
      </c>
      <c r="AB181" s="152"/>
      <c r="AC181" s="152"/>
      <c r="AD181" s="152"/>
      <c r="AE181" s="152"/>
      <c r="AF181" s="152">
        <v>0</v>
      </c>
      <c r="AG181" s="152">
        <v>0</v>
      </c>
      <c r="AH181" s="152"/>
      <c r="AI181" s="152"/>
      <c r="AJ181" s="152"/>
      <c r="AK181" s="152">
        <v>0</v>
      </c>
      <c r="AL181" s="152"/>
      <c r="AM181" s="152"/>
      <c r="AN181" s="152"/>
      <c r="AO181" s="152"/>
      <c r="AP181" s="152">
        <v>0</v>
      </c>
      <c r="AQ181" s="152">
        <v>0</v>
      </c>
      <c r="AR181" s="152">
        <v>2</v>
      </c>
      <c r="AS181" s="152"/>
      <c r="AT181" s="152"/>
      <c r="AU181" s="152">
        <v>2</v>
      </c>
      <c r="AV181" s="152">
        <v>1</v>
      </c>
      <c r="AW181" s="152"/>
      <c r="AX181" s="152"/>
      <c r="AY181" s="152"/>
      <c r="AZ181" s="152">
        <v>1</v>
      </c>
      <c r="BA181" s="152">
        <v>3</v>
      </c>
      <c r="BB181" s="152"/>
      <c r="BC181" s="152"/>
      <c r="BD181" s="152">
        <v>0</v>
      </c>
      <c r="BE181" s="152"/>
      <c r="BF181" s="152"/>
      <c r="BG181" s="152"/>
      <c r="BH181" s="152"/>
      <c r="BI181" s="152">
        <v>0</v>
      </c>
      <c r="BJ181" s="152">
        <v>0</v>
      </c>
      <c r="BK181" s="152"/>
      <c r="BL181" s="152"/>
      <c r="BM181" s="152"/>
      <c r="BN181" s="152">
        <v>0</v>
      </c>
      <c r="BO181" s="152">
        <v>0</v>
      </c>
      <c r="BP181" s="152">
        <v>15</v>
      </c>
    </row>
    <row r="182" spans="1:68" x14ac:dyDescent="0.35">
      <c r="A182" s="146" t="s">
        <v>636</v>
      </c>
      <c r="B182" s="146" t="s">
        <v>637</v>
      </c>
      <c r="C182" s="152"/>
      <c r="D182" s="152"/>
      <c r="E182" s="152"/>
      <c r="F182" s="152"/>
      <c r="G182" s="152">
        <v>0</v>
      </c>
      <c r="H182" s="152">
        <v>2</v>
      </c>
      <c r="I182" s="152">
        <v>1</v>
      </c>
      <c r="J182" s="152"/>
      <c r="K182" s="152"/>
      <c r="L182" s="152">
        <v>3</v>
      </c>
      <c r="M182" s="152">
        <v>3</v>
      </c>
      <c r="N182" s="152"/>
      <c r="O182" s="152"/>
      <c r="P182" s="152"/>
      <c r="Q182" s="152">
        <v>0</v>
      </c>
      <c r="R182" s="152"/>
      <c r="S182" s="152"/>
      <c r="T182" s="152"/>
      <c r="U182" s="152"/>
      <c r="V182" s="152">
        <v>0</v>
      </c>
      <c r="W182" s="152">
        <v>0</v>
      </c>
      <c r="X182" s="152"/>
      <c r="Y182" s="152"/>
      <c r="Z182" s="152"/>
      <c r="AA182" s="152">
        <v>0</v>
      </c>
      <c r="AB182" s="152"/>
      <c r="AC182" s="152"/>
      <c r="AD182" s="152"/>
      <c r="AE182" s="152"/>
      <c r="AF182" s="152">
        <v>0</v>
      </c>
      <c r="AG182" s="152">
        <v>0</v>
      </c>
      <c r="AH182" s="152"/>
      <c r="AI182" s="152"/>
      <c r="AJ182" s="152"/>
      <c r="AK182" s="152">
        <v>0</v>
      </c>
      <c r="AL182" s="152"/>
      <c r="AM182" s="152"/>
      <c r="AN182" s="152"/>
      <c r="AO182" s="152"/>
      <c r="AP182" s="152">
        <v>0</v>
      </c>
      <c r="AQ182" s="152">
        <v>0</v>
      </c>
      <c r="AR182" s="152"/>
      <c r="AS182" s="152"/>
      <c r="AT182" s="152"/>
      <c r="AU182" s="152">
        <v>0</v>
      </c>
      <c r="AV182" s="152"/>
      <c r="AW182" s="152"/>
      <c r="AX182" s="152"/>
      <c r="AY182" s="152"/>
      <c r="AZ182" s="152">
        <v>0</v>
      </c>
      <c r="BA182" s="152">
        <v>0</v>
      </c>
      <c r="BB182" s="152"/>
      <c r="BC182" s="152"/>
      <c r="BD182" s="152">
        <v>0</v>
      </c>
      <c r="BE182" s="152"/>
      <c r="BF182" s="152"/>
      <c r="BG182" s="152"/>
      <c r="BH182" s="152"/>
      <c r="BI182" s="152">
        <v>0</v>
      </c>
      <c r="BJ182" s="152">
        <v>0</v>
      </c>
      <c r="BK182" s="152"/>
      <c r="BL182" s="152"/>
      <c r="BM182" s="152"/>
      <c r="BN182" s="152">
        <v>0</v>
      </c>
      <c r="BO182" s="152">
        <v>0</v>
      </c>
      <c r="BP182" s="152">
        <v>3</v>
      </c>
    </row>
    <row r="183" spans="1:68" x14ac:dyDescent="0.35">
      <c r="A183" s="146" t="s">
        <v>638</v>
      </c>
      <c r="B183" s="146" t="s">
        <v>1227</v>
      </c>
      <c r="C183" s="152">
        <v>291</v>
      </c>
      <c r="D183" s="152">
        <v>7</v>
      </c>
      <c r="E183" s="152"/>
      <c r="F183" s="152"/>
      <c r="G183" s="152">
        <v>298</v>
      </c>
      <c r="H183" s="152">
        <v>194</v>
      </c>
      <c r="I183" s="152">
        <v>40</v>
      </c>
      <c r="J183" s="152">
        <v>2</v>
      </c>
      <c r="K183" s="152"/>
      <c r="L183" s="152">
        <v>236</v>
      </c>
      <c r="M183" s="152">
        <v>534</v>
      </c>
      <c r="N183" s="152">
        <v>26</v>
      </c>
      <c r="O183" s="152"/>
      <c r="P183" s="152"/>
      <c r="Q183" s="152">
        <v>26</v>
      </c>
      <c r="R183" s="152">
        <v>2</v>
      </c>
      <c r="S183" s="152"/>
      <c r="T183" s="152"/>
      <c r="U183" s="152"/>
      <c r="V183" s="152">
        <v>2</v>
      </c>
      <c r="W183" s="152">
        <v>28</v>
      </c>
      <c r="X183" s="152">
        <v>21</v>
      </c>
      <c r="Y183" s="152"/>
      <c r="Z183" s="152"/>
      <c r="AA183" s="152">
        <v>21</v>
      </c>
      <c r="AB183" s="152"/>
      <c r="AC183" s="152"/>
      <c r="AD183" s="152"/>
      <c r="AE183" s="152"/>
      <c r="AF183" s="152">
        <v>0</v>
      </c>
      <c r="AG183" s="152">
        <v>21</v>
      </c>
      <c r="AH183" s="152">
        <v>8</v>
      </c>
      <c r="AI183" s="152"/>
      <c r="AJ183" s="152"/>
      <c r="AK183" s="152">
        <v>8</v>
      </c>
      <c r="AL183" s="152"/>
      <c r="AM183" s="152"/>
      <c r="AN183" s="152"/>
      <c r="AO183" s="152"/>
      <c r="AP183" s="152">
        <v>0</v>
      </c>
      <c r="AQ183" s="152">
        <v>8</v>
      </c>
      <c r="AR183" s="152">
        <v>86</v>
      </c>
      <c r="AS183" s="152">
        <v>1</v>
      </c>
      <c r="AT183" s="152"/>
      <c r="AU183" s="152">
        <v>87</v>
      </c>
      <c r="AV183" s="152">
        <v>19</v>
      </c>
      <c r="AW183" s="152">
        <v>4</v>
      </c>
      <c r="AX183" s="152"/>
      <c r="AY183" s="152"/>
      <c r="AZ183" s="152">
        <v>23</v>
      </c>
      <c r="BA183" s="152">
        <v>110</v>
      </c>
      <c r="BB183" s="152">
        <v>5</v>
      </c>
      <c r="BC183" s="152"/>
      <c r="BD183" s="152">
        <v>5</v>
      </c>
      <c r="BE183" s="152">
        <v>1</v>
      </c>
      <c r="BF183" s="152"/>
      <c r="BG183" s="152"/>
      <c r="BH183" s="152"/>
      <c r="BI183" s="152">
        <v>1</v>
      </c>
      <c r="BJ183" s="152">
        <v>6</v>
      </c>
      <c r="BK183" s="152"/>
      <c r="BL183" s="152"/>
      <c r="BM183" s="152"/>
      <c r="BN183" s="152">
        <v>0</v>
      </c>
      <c r="BO183" s="152">
        <v>0</v>
      </c>
      <c r="BP183" s="152">
        <v>707</v>
      </c>
    </row>
    <row r="184" spans="1:68" x14ac:dyDescent="0.35">
      <c r="A184" s="146" t="s">
        <v>639</v>
      </c>
      <c r="B184" s="146" t="s">
        <v>640</v>
      </c>
      <c r="C184" s="152">
        <v>52</v>
      </c>
      <c r="D184" s="152">
        <v>1</v>
      </c>
      <c r="E184" s="152"/>
      <c r="F184" s="152"/>
      <c r="G184" s="152">
        <v>53</v>
      </c>
      <c r="H184" s="152">
        <v>18</v>
      </c>
      <c r="I184" s="152">
        <v>6</v>
      </c>
      <c r="J184" s="152"/>
      <c r="K184" s="152"/>
      <c r="L184" s="152">
        <v>24</v>
      </c>
      <c r="M184" s="152">
        <v>77</v>
      </c>
      <c r="N184" s="152">
        <v>6</v>
      </c>
      <c r="O184" s="152"/>
      <c r="P184" s="152"/>
      <c r="Q184" s="152">
        <v>6</v>
      </c>
      <c r="R184" s="152"/>
      <c r="S184" s="152"/>
      <c r="T184" s="152"/>
      <c r="U184" s="152"/>
      <c r="V184" s="152">
        <v>0</v>
      </c>
      <c r="W184" s="152">
        <v>6</v>
      </c>
      <c r="X184" s="152">
        <v>3</v>
      </c>
      <c r="Y184" s="152"/>
      <c r="Z184" s="152"/>
      <c r="AA184" s="152">
        <v>3</v>
      </c>
      <c r="AB184" s="152"/>
      <c r="AC184" s="152"/>
      <c r="AD184" s="152"/>
      <c r="AE184" s="152"/>
      <c r="AF184" s="152">
        <v>0</v>
      </c>
      <c r="AG184" s="152">
        <v>3</v>
      </c>
      <c r="AH184" s="152"/>
      <c r="AI184" s="152"/>
      <c r="AJ184" s="152"/>
      <c r="AK184" s="152">
        <v>0</v>
      </c>
      <c r="AL184" s="152"/>
      <c r="AM184" s="152"/>
      <c r="AN184" s="152"/>
      <c r="AO184" s="152"/>
      <c r="AP184" s="152">
        <v>0</v>
      </c>
      <c r="AQ184" s="152">
        <v>0</v>
      </c>
      <c r="AR184" s="152">
        <v>17</v>
      </c>
      <c r="AS184" s="152"/>
      <c r="AT184" s="152"/>
      <c r="AU184" s="152">
        <v>17</v>
      </c>
      <c r="AV184" s="152">
        <v>1</v>
      </c>
      <c r="AW184" s="152">
        <v>1</v>
      </c>
      <c r="AX184" s="152">
        <v>1</v>
      </c>
      <c r="AY184" s="152"/>
      <c r="AZ184" s="152">
        <v>3</v>
      </c>
      <c r="BA184" s="152">
        <v>20</v>
      </c>
      <c r="BB184" s="152">
        <v>1</v>
      </c>
      <c r="BC184" s="152"/>
      <c r="BD184" s="152">
        <v>1</v>
      </c>
      <c r="BE184" s="152"/>
      <c r="BF184" s="152"/>
      <c r="BG184" s="152"/>
      <c r="BH184" s="152"/>
      <c r="BI184" s="152">
        <v>0</v>
      </c>
      <c r="BJ184" s="152">
        <v>1</v>
      </c>
      <c r="BK184" s="152"/>
      <c r="BL184" s="152"/>
      <c r="BM184" s="152"/>
      <c r="BN184" s="152">
        <v>0</v>
      </c>
      <c r="BO184" s="152">
        <v>0</v>
      </c>
      <c r="BP184" s="152">
        <v>107</v>
      </c>
    </row>
    <row r="185" spans="1:68" x14ac:dyDescent="0.35">
      <c r="A185" s="146" t="s">
        <v>1373</v>
      </c>
      <c r="B185" s="146" t="s">
        <v>1374</v>
      </c>
      <c r="C185" s="152">
        <v>154</v>
      </c>
      <c r="D185" s="152">
        <v>1</v>
      </c>
      <c r="E185" s="152"/>
      <c r="F185" s="152"/>
      <c r="G185" s="152">
        <v>155</v>
      </c>
      <c r="H185" s="152">
        <v>44</v>
      </c>
      <c r="I185" s="152">
        <v>8</v>
      </c>
      <c r="J185" s="152">
        <v>2</v>
      </c>
      <c r="K185" s="152"/>
      <c r="L185" s="152">
        <v>54</v>
      </c>
      <c r="M185" s="152">
        <v>209</v>
      </c>
      <c r="N185" s="152">
        <v>10</v>
      </c>
      <c r="O185" s="152"/>
      <c r="P185" s="152"/>
      <c r="Q185" s="152">
        <v>10</v>
      </c>
      <c r="R185" s="152"/>
      <c r="S185" s="152"/>
      <c r="T185" s="152"/>
      <c r="U185" s="152"/>
      <c r="V185" s="152">
        <v>0</v>
      </c>
      <c r="W185" s="152">
        <v>10</v>
      </c>
      <c r="X185" s="152">
        <v>4</v>
      </c>
      <c r="Y185" s="152"/>
      <c r="Z185" s="152"/>
      <c r="AA185" s="152">
        <v>4</v>
      </c>
      <c r="AB185" s="152">
        <v>1</v>
      </c>
      <c r="AC185" s="152"/>
      <c r="AD185" s="152"/>
      <c r="AE185" s="152"/>
      <c r="AF185" s="152">
        <v>1</v>
      </c>
      <c r="AG185" s="152">
        <v>5</v>
      </c>
      <c r="AH185" s="152">
        <v>15</v>
      </c>
      <c r="AI185" s="152"/>
      <c r="AJ185" s="152"/>
      <c r="AK185" s="152">
        <v>15</v>
      </c>
      <c r="AL185" s="152">
        <v>1</v>
      </c>
      <c r="AM185" s="152"/>
      <c r="AN185" s="152"/>
      <c r="AO185" s="152"/>
      <c r="AP185" s="152">
        <v>1</v>
      </c>
      <c r="AQ185" s="152">
        <v>16</v>
      </c>
      <c r="AR185" s="152">
        <v>12</v>
      </c>
      <c r="AS185" s="152">
        <v>1</v>
      </c>
      <c r="AT185" s="152"/>
      <c r="AU185" s="152">
        <v>13</v>
      </c>
      <c r="AV185" s="152">
        <v>4</v>
      </c>
      <c r="AW185" s="152"/>
      <c r="AX185" s="152"/>
      <c r="AY185" s="152"/>
      <c r="AZ185" s="152">
        <v>4</v>
      </c>
      <c r="BA185" s="152">
        <v>17</v>
      </c>
      <c r="BB185" s="152">
        <v>15</v>
      </c>
      <c r="BC185" s="152"/>
      <c r="BD185" s="152">
        <v>15</v>
      </c>
      <c r="BE185" s="152">
        <v>1</v>
      </c>
      <c r="BF185" s="152"/>
      <c r="BG185" s="152"/>
      <c r="BH185" s="152"/>
      <c r="BI185" s="152">
        <v>1</v>
      </c>
      <c r="BJ185" s="152">
        <v>16</v>
      </c>
      <c r="BK185" s="152"/>
      <c r="BL185" s="152"/>
      <c r="BM185" s="152"/>
      <c r="BN185" s="152">
        <v>0</v>
      </c>
      <c r="BO185" s="152">
        <v>0</v>
      </c>
      <c r="BP185" s="152">
        <v>273</v>
      </c>
    </row>
    <row r="186" spans="1:68" x14ac:dyDescent="0.35">
      <c r="A186" s="146" t="s">
        <v>1375</v>
      </c>
      <c r="B186" s="146" t="s">
        <v>1376</v>
      </c>
      <c r="C186" s="152">
        <v>77</v>
      </c>
      <c r="D186" s="152"/>
      <c r="E186" s="152"/>
      <c r="F186" s="152"/>
      <c r="G186" s="152">
        <v>77</v>
      </c>
      <c r="H186" s="152">
        <v>29</v>
      </c>
      <c r="I186" s="152">
        <v>4</v>
      </c>
      <c r="J186" s="152"/>
      <c r="K186" s="152"/>
      <c r="L186" s="152">
        <v>33</v>
      </c>
      <c r="M186" s="152">
        <v>110</v>
      </c>
      <c r="N186" s="152"/>
      <c r="O186" s="152"/>
      <c r="P186" s="152"/>
      <c r="Q186" s="152">
        <v>0</v>
      </c>
      <c r="R186" s="152"/>
      <c r="S186" s="152"/>
      <c r="T186" s="152"/>
      <c r="U186" s="152"/>
      <c r="V186" s="152">
        <v>0</v>
      </c>
      <c r="W186" s="152">
        <v>0</v>
      </c>
      <c r="X186" s="152">
        <v>1</v>
      </c>
      <c r="Y186" s="152"/>
      <c r="Z186" s="152"/>
      <c r="AA186" s="152">
        <v>1</v>
      </c>
      <c r="AB186" s="152"/>
      <c r="AC186" s="152"/>
      <c r="AD186" s="152"/>
      <c r="AE186" s="152"/>
      <c r="AF186" s="152">
        <v>0</v>
      </c>
      <c r="AG186" s="152">
        <v>1</v>
      </c>
      <c r="AH186" s="152">
        <v>4</v>
      </c>
      <c r="AI186" s="152"/>
      <c r="AJ186" s="152"/>
      <c r="AK186" s="152">
        <v>4</v>
      </c>
      <c r="AL186" s="152">
        <v>1</v>
      </c>
      <c r="AM186" s="152"/>
      <c r="AN186" s="152"/>
      <c r="AO186" s="152"/>
      <c r="AP186" s="152">
        <v>1</v>
      </c>
      <c r="AQ186" s="152">
        <v>5</v>
      </c>
      <c r="AR186" s="152">
        <v>16</v>
      </c>
      <c r="AS186" s="152"/>
      <c r="AT186" s="152"/>
      <c r="AU186" s="152">
        <v>16</v>
      </c>
      <c r="AV186" s="152">
        <v>1</v>
      </c>
      <c r="AW186" s="152"/>
      <c r="AX186" s="152"/>
      <c r="AY186" s="152"/>
      <c r="AZ186" s="152">
        <v>1</v>
      </c>
      <c r="BA186" s="152">
        <v>17</v>
      </c>
      <c r="BB186" s="152">
        <v>1</v>
      </c>
      <c r="BC186" s="152"/>
      <c r="BD186" s="152">
        <v>1</v>
      </c>
      <c r="BE186" s="152"/>
      <c r="BF186" s="152"/>
      <c r="BG186" s="152"/>
      <c r="BH186" s="152"/>
      <c r="BI186" s="152">
        <v>0</v>
      </c>
      <c r="BJ186" s="152">
        <v>1</v>
      </c>
      <c r="BK186" s="152"/>
      <c r="BL186" s="152"/>
      <c r="BM186" s="152"/>
      <c r="BN186" s="152">
        <v>0</v>
      </c>
      <c r="BO186" s="152">
        <v>0</v>
      </c>
      <c r="BP186" s="152">
        <v>134</v>
      </c>
    </row>
    <row r="187" spans="1:68" x14ac:dyDescent="0.35">
      <c r="A187" s="146" t="s">
        <v>641</v>
      </c>
      <c r="B187" s="146" t="s">
        <v>642</v>
      </c>
      <c r="C187" s="152">
        <v>8</v>
      </c>
      <c r="D187" s="152"/>
      <c r="E187" s="152"/>
      <c r="F187" s="152"/>
      <c r="G187" s="152">
        <v>8</v>
      </c>
      <c r="H187" s="152">
        <v>1</v>
      </c>
      <c r="I187" s="152"/>
      <c r="J187" s="152"/>
      <c r="K187" s="152"/>
      <c r="L187" s="152">
        <v>1</v>
      </c>
      <c r="M187" s="152">
        <v>9</v>
      </c>
      <c r="N187" s="152"/>
      <c r="O187" s="152"/>
      <c r="P187" s="152"/>
      <c r="Q187" s="152">
        <v>0</v>
      </c>
      <c r="R187" s="152"/>
      <c r="S187" s="152"/>
      <c r="T187" s="152"/>
      <c r="U187" s="152"/>
      <c r="V187" s="152">
        <v>0</v>
      </c>
      <c r="W187" s="152">
        <v>0</v>
      </c>
      <c r="X187" s="152"/>
      <c r="Y187" s="152"/>
      <c r="Z187" s="152"/>
      <c r="AA187" s="152">
        <v>0</v>
      </c>
      <c r="AB187" s="152"/>
      <c r="AC187" s="152"/>
      <c r="AD187" s="152"/>
      <c r="AE187" s="152"/>
      <c r="AF187" s="152">
        <v>0</v>
      </c>
      <c r="AG187" s="152">
        <v>0</v>
      </c>
      <c r="AH187" s="152"/>
      <c r="AI187" s="152"/>
      <c r="AJ187" s="152"/>
      <c r="AK187" s="152">
        <v>0</v>
      </c>
      <c r="AL187" s="152"/>
      <c r="AM187" s="152"/>
      <c r="AN187" s="152"/>
      <c r="AO187" s="152"/>
      <c r="AP187" s="152">
        <v>0</v>
      </c>
      <c r="AQ187" s="152">
        <v>0</v>
      </c>
      <c r="AR187" s="152"/>
      <c r="AS187" s="152"/>
      <c r="AT187" s="152"/>
      <c r="AU187" s="152">
        <v>0</v>
      </c>
      <c r="AV187" s="152"/>
      <c r="AW187" s="152"/>
      <c r="AX187" s="152"/>
      <c r="AY187" s="152"/>
      <c r="AZ187" s="152">
        <v>0</v>
      </c>
      <c r="BA187" s="152">
        <v>0</v>
      </c>
      <c r="BB187" s="152"/>
      <c r="BC187" s="152"/>
      <c r="BD187" s="152">
        <v>0</v>
      </c>
      <c r="BE187" s="152"/>
      <c r="BF187" s="152"/>
      <c r="BG187" s="152"/>
      <c r="BH187" s="152"/>
      <c r="BI187" s="152">
        <v>0</v>
      </c>
      <c r="BJ187" s="152">
        <v>0</v>
      </c>
      <c r="BK187" s="152"/>
      <c r="BL187" s="152"/>
      <c r="BM187" s="152"/>
      <c r="BN187" s="152">
        <v>0</v>
      </c>
      <c r="BO187" s="152">
        <v>0</v>
      </c>
      <c r="BP187" s="152">
        <v>9</v>
      </c>
    </row>
    <row r="188" spans="1:68" x14ac:dyDescent="0.35">
      <c r="A188" s="146" t="s">
        <v>643</v>
      </c>
      <c r="B188" s="146" t="s">
        <v>644</v>
      </c>
      <c r="C188" s="152">
        <v>10</v>
      </c>
      <c r="D188" s="152"/>
      <c r="E188" s="152"/>
      <c r="F188" s="152"/>
      <c r="G188" s="152">
        <v>10</v>
      </c>
      <c r="H188" s="152">
        <v>16</v>
      </c>
      <c r="I188" s="152">
        <v>1</v>
      </c>
      <c r="J188" s="152"/>
      <c r="K188" s="152"/>
      <c r="L188" s="152">
        <v>17</v>
      </c>
      <c r="M188" s="152">
        <v>27</v>
      </c>
      <c r="N188" s="152">
        <v>1</v>
      </c>
      <c r="O188" s="152"/>
      <c r="P188" s="152"/>
      <c r="Q188" s="152">
        <v>1</v>
      </c>
      <c r="R188" s="152"/>
      <c r="S188" s="152"/>
      <c r="T188" s="152"/>
      <c r="U188" s="152"/>
      <c r="V188" s="152">
        <v>0</v>
      </c>
      <c r="W188" s="152">
        <v>1</v>
      </c>
      <c r="X188" s="152"/>
      <c r="Y188" s="152"/>
      <c r="Z188" s="152"/>
      <c r="AA188" s="152">
        <v>0</v>
      </c>
      <c r="AB188" s="152"/>
      <c r="AC188" s="152"/>
      <c r="AD188" s="152"/>
      <c r="AE188" s="152"/>
      <c r="AF188" s="152">
        <v>0</v>
      </c>
      <c r="AG188" s="152">
        <v>0</v>
      </c>
      <c r="AH188" s="152"/>
      <c r="AI188" s="152"/>
      <c r="AJ188" s="152"/>
      <c r="AK188" s="152">
        <v>0</v>
      </c>
      <c r="AL188" s="152"/>
      <c r="AM188" s="152"/>
      <c r="AN188" s="152"/>
      <c r="AO188" s="152"/>
      <c r="AP188" s="152">
        <v>0</v>
      </c>
      <c r="AQ188" s="152">
        <v>0</v>
      </c>
      <c r="AR188" s="152">
        <v>3</v>
      </c>
      <c r="AS188" s="152"/>
      <c r="AT188" s="152"/>
      <c r="AU188" s="152">
        <v>3</v>
      </c>
      <c r="AV188" s="152">
        <v>1</v>
      </c>
      <c r="AW188" s="152"/>
      <c r="AX188" s="152"/>
      <c r="AY188" s="152"/>
      <c r="AZ188" s="152">
        <v>1</v>
      </c>
      <c r="BA188" s="152">
        <v>4</v>
      </c>
      <c r="BB188" s="152"/>
      <c r="BC188" s="152"/>
      <c r="BD188" s="152">
        <v>0</v>
      </c>
      <c r="BE188" s="152"/>
      <c r="BF188" s="152"/>
      <c r="BG188" s="152"/>
      <c r="BH188" s="152"/>
      <c r="BI188" s="152">
        <v>0</v>
      </c>
      <c r="BJ188" s="152">
        <v>0</v>
      </c>
      <c r="BK188" s="152"/>
      <c r="BL188" s="152"/>
      <c r="BM188" s="152"/>
      <c r="BN188" s="152">
        <v>0</v>
      </c>
      <c r="BO188" s="152">
        <v>0</v>
      </c>
      <c r="BP188" s="152">
        <v>32</v>
      </c>
    </row>
    <row r="189" spans="1:68" x14ac:dyDescent="0.35">
      <c r="A189" s="146" t="s">
        <v>645</v>
      </c>
      <c r="B189" s="146" t="s">
        <v>646</v>
      </c>
      <c r="C189" s="152">
        <v>19</v>
      </c>
      <c r="D189" s="152">
        <v>1</v>
      </c>
      <c r="E189" s="152"/>
      <c r="F189" s="152"/>
      <c r="G189" s="152">
        <v>20</v>
      </c>
      <c r="H189" s="152">
        <v>11</v>
      </c>
      <c r="I189" s="152">
        <v>1</v>
      </c>
      <c r="J189" s="152"/>
      <c r="K189" s="152"/>
      <c r="L189" s="152">
        <v>12</v>
      </c>
      <c r="M189" s="152">
        <v>32</v>
      </c>
      <c r="N189" s="152"/>
      <c r="O189" s="152"/>
      <c r="P189" s="152"/>
      <c r="Q189" s="152">
        <v>0</v>
      </c>
      <c r="R189" s="152"/>
      <c r="S189" s="152"/>
      <c r="T189" s="152"/>
      <c r="U189" s="152"/>
      <c r="V189" s="152">
        <v>0</v>
      </c>
      <c r="W189" s="152">
        <v>0</v>
      </c>
      <c r="X189" s="152"/>
      <c r="Y189" s="152"/>
      <c r="Z189" s="152"/>
      <c r="AA189" s="152">
        <v>0</v>
      </c>
      <c r="AB189" s="152"/>
      <c r="AC189" s="152"/>
      <c r="AD189" s="152"/>
      <c r="AE189" s="152"/>
      <c r="AF189" s="152">
        <v>0</v>
      </c>
      <c r="AG189" s="152">
        <v>0</v>
      </c>
      <c r="AH189" s="152"/>
      <c r="AI189" s="152"/>
      <c r="AJ189" s="152"/>
      <c r="AK189" s="152">
        <v>0</v>
      </c>
      <c r="AL189" s="152"/>
      <c r="AM189" s="152"/>
      <c r="AN189" s="152"/>
      <c r="AO189" s="152"/>
      <c r="AP189" s="152">
        <v>0</v>
      </c>
      <c r="AQ189" s="152">
        <v>0</v>
      </c>
      <c r="AR189" s="152">
        <v>1</v>
      </c>
      <c r="AS189" s="152"/>
      <c r="AT189" s="152"/>
      <c r="AU189" s="152">
        <v>1</v>
      </c>
      <c r="AV189" s="152"/>
      <c r="AW189" s="152"/>
      <c r="AX189" s="152"/>
      <c r="AY189" s="152"/>
      <c r="AZ189" s="152">
        <v>0</v>
      </c>
      <c r="BA189" s="152">
        <v>1</v>
      </c>
      <c r="BB189" s="152"/>
      <c r="BC189" s="152"/>
      <c r="BD189" s="152">
        <v>0</v>
      </c>
      <c r="BE189" s="152">
        <v>1</v>
      </c>
      <c r="BF189" s="152"/>
      <c r="BG189" s="152"/>
      <c r="BH189" s="152"/>
      <c r="BI189" s="152">
        <v>1</v>
      </c>
      <c r="BJ189" s="152">
        <v>1</v>
      </c>
      <c r="BK189" s="152"/>
      <c r="BL189" s="152"/>
      <c r="BM189" s="152"/>
      <c r="BN189" s="152">
        <v>0</v>
      </c>
      <c r="BO189" s="152">
        <v>0</v>
      </c>
      <c r="BP189" s="152">
        <v>34</v>
      </c>
    </row>
    <row r="190" spans="1:68" x14ac:dyDescent="0.35">
      <c r="A190" s="146" t="s">
        <v>647</v>
      </c>
      <c r="B190" s="146" t="s">
        <v>648</v>
      </c>
      <c r="C190" s="152">
        <v>122</v>
      </c>
      <c r="D190" s="152">
        <v>2</v>
      </c>
      <c r="E190" s="152"/>
      <c r="F190" s="152"/>
      <c r="G190" s="152">
        <v>124</v>
      </c>
      <c r="H190" s="152">
        <v>64</v>
      </c>
      <c r="I190" s="152">
        <v>14</v>
      </c>
      <c r="J190" s="152">
        <v>1</v>
      </c>
      <c r="K190" s="152"/>
      <c r="L190" s="152">
        <v>79</v>
      </c>
      <c r="M190" s="152">
        <v>203</v>
      </c>
      <c r="N190" s="152">
        <v>6</v>
      </c>
      <c r="O190" s="152"/>
      <c r="P190" s="152"/>
      <c r="Q190" s="152">
        <v>6</v>
      </c>
      <c r="R190" s="152"/>
      <c r="S190" s="152"/>
      <c r="T190" s="152"/>
      <c r="U190" s="152"/>
      <c r="V190" s="152">
        <v>0</v>
      </c>
      <c r="W190" s="152">
        <v>6</v>
      </c>
      <c r="X190" s="152">
        <v>2</v>
      </c>
      <c r="Y190" s="152"/>
      <c r="Z190" s="152"/>
      <c r="AA190" s="152">
        <v>2</v>
      </c>
      <c r="AB190" s="152"/>
      <c r="AC190" s="152"/>
      <c r="AD190" s="152"/>
      <c r="AE190" s="152"/>
      <c r="AF190" s="152">
        <v>0</v>
      </c>
      <c r="AG190" s="152">
        <v>2</v>
      </c>
      <c r="AH190" s="152">
        <v>1</v>
      </c>
      <c r="AI190" s="152"/>
      <c r="AJ190" s="152"/>
      <c r="AK190" s="152">
        <v>1</v>
      </c>
      <c r="AL190" s="152"/>
      <c r="AM190" s="152"/>
      <c r="AN190" s="152"/>
      <c r="AO190" s="152"/>
      <c r="AP190" s="152">
        <v>0</v>
      </c>
      <c r="AQ190" s="152">
        <v>1</v>
      </c>
      <c r="AR190" s="152">
        <v>25</v>
      </c>
      <c r="AS190" s="152"/>
      <c r="AT190" s="152"/>
      <c r="AU190" s="152">
        <v>25</v>
      </c>
      <c r="AV190" s="152">
        <v>2</v>
      </c>
      <c r="AW190" s="152"/>
      <c r="AX190" s="152"/>
      <c r="AY190" s="152"/>
      <c r="AZ190" s="152">
        <v>2</v>
      </c>
      <c r="BA190" s="152">
        <v>27</v>
      </c>
      <c r="BB190" s="152">
        <v>5</v>
      </c>
      <c r="BC190" s="152"/>
      <c r="BD190" s="152">
        <v>5</v>
      </c>
      <c r="BE190" s="152"/>
      <c r="BF190" s="152"/>
      <c r="BG190" s="152"/>
      <c r="BH190" s="152"/>
      <c r="BI190" s="152">
        <v>0</v>
      </c>
      <c r="BJ190" s="152">
        <v>5</v>
      </c>
      <c r="BK190" s="152"/>
      <c r="BL190" s="152"/>
      <c r="BM190" s="152"/>
      <c r="BN190" s="152">
        <v>0</v>
      </c>
      <c r="BO190" s="152">
        <v>0</v>
      </c>
      <c r="BP190" s="152">
        <v>244</v>
      </c>
    </row>
    <row r="191" spans="1:68" x14ac:dyDescent="0.35">
      <c r="A191" s="146" t="s">
        <v>649</v>
      </c>
      <c r="B191" s="146" t="s">
        <v>650</v>
      </c>
      <c r="C191" s="152">
        <v>125</v>
      </c>
      <c r="D191" s="152">
        <v>5</v>
      </c>
      <c r="E191" s="152"/>
      <c r="F191" s="152"/>
      <c r="G191" s="152">
        <v>130</v>
      </c>
      <c r="H191" s="152">
        <v>78</v>
      </c>
      <c r="I191" s="152">
        <v>30</v>
      </c>
      <c r="J191" s="152">
        <v>10</v>
      </c>
      <c r="K191" s="152">
        <v>1</v>
      </c>
      <c r="L191" s="152">
        <v>119</v>
      </c>
      <c r="M191" s="152">
        <v>249</v>
      </c>
      <c r="N191" s="152">
        <v>6</v>
      </c>
      <c r="O191" s="152"/>
      <c r="P191" s="152"/>
      <c r="Q191" s="152">
        <v>6</v>
      </c>
      <c r="R191" s="152">
        <v>1</v>
      </c>
      <c r="S191" s="152"/>
      <c r="T191" s="152"/>
      <c r="U191" s="152">
        <v>1</v>
      </c>
      <c r="V191" s="152">
        <v>2</v>
      </c>
      <c r="W191" s="152">
        <v>8</v>
      </c>
      <c r="X191" s="152">
        <v>6</v>
      </c>
      <c r="Y191" s="152"/>
      <c r="Z191" s="152"/>
      <c r="AA191" s="152">
        <v>6</v>
      </c>
      <c r="AB191" s="152"/>
      <c r="AC191" s="152"/>
      <c r="AD191" s="152">
        <v>1</v>
      </c>
      <c r="AE191" s="152"/>
      <c r="AF191" s="152">
        <v>1</v>
      </c>
      <c r="AG191" s="152">
        <v>7</v>
      </c>
      <c r="AH191" s="152"/>
      <c r="AI191" s="152"/>
      <c r="AJ191" s="152"/>
      <c r="AK191" s="152">
        <v>0</v>
      </c>
      <c r="AL191" s="152"/>
      <c r="AM191" s="152"/>
      <c r="AN191" s="152"/>
      <c r="AO191" s="152"/>
      <c r="AP191" s="152">
        <v>0</v>
      </c>
      <c r="AQ191" s="152">
        <v>0</v>
      </c>
      <c r="AR191" s="152">
        <v>18</v>
      </c>
      <c r="AS191" s="152">
        <v>1</v>
      </c>
      <c r="AT191" s="152"/>
      <c r="AU191" s="152">
        <v>19</v>
      </c>
      <c r="AV191" s="152">
        <v>5</v>
      </c>
      <c r="AW191" s="152">
        <v>8</v>
      </c>
      <c r="AX191" s="152">
        <v>2</v>
      </c>
      <c r="AY191" s="152"/>
      <c r="AZ191" s="152">
        <v>15</v>
      </c>
      <c r="BA191" s="152">
        <v>34</v>
      </c>
      <c r="BB191" s="152">
        <v>1</v>
      </c>
      <c r="BC191" s="152"/>
      <c r="BD191" s="152">
        <v>1</v>
      </c>
      <c r="BE191" s="152">
        <v>1</v>
      </c>
      <c r="BF191" s="152"/>
      <c r="BG191" s="152"/>
      <c r="BH191" s="152"/>
      <c r="BI191" s="152">
        <v>1</v>
      </c>
      <c r="BJ191" s="152">
        <v>2</v>
      </c>
      <c r="BK191" s="152"/>
      <c r="BL191" s="152"/>
      <c r="BM191" s="152"/>
      <c r="BN191" s="152">
        <v>0</v>
      </c>
      <c r="BO191" s="152">
        <v>0</v>
      </c>
      <c r="BP191" s="152">
        <v>300</v>
      </c>
    </row>
    <row r="192" spans="1:68" x14ac:dyDescent="0.35">
      <c r="A192" s="146" t="s">
        <v>651</v>
      </c>
      <c r="B192" s="146" t="s">
        <v>652</v>
      </c>
      <c r="C192" s="152">
        <v>65</v>
      </c>
      <c r="D192" s="152"/>
      <c r="E192" s="152"/>
      <c r="F192" s="152"/>
      <c r="G192" s="152">
        <v>65</v>
      </c>
      <c r="H192" s="152">
        <v>47</v>
      </c>
      <c r="I192" s="152">
        <v>4</v>
      </c>
      <c r="J192" s="152"/>
      <c r="K192" s="152"/>
      <c r="L192" s="152">
        <v>51</v>
      </c>
      <c r="M192" s="152">
        <v>116</v>
      </c>
      <c r="N192" s="152">
        <v>13</v>
      </c>
      <c r="O192" s="152"/>
      <c r="P192" s="152"/>
      <c r="Q192" s="152">
        <v>13</v>
      </c>
      <c r="R192" s="152">
        <v>1</v>
      </c>
      <c r="S192" s="152"/>
      <c r="T192" s="152"/>
      <c r="U192" s="152"/>
      <c r="V192" s="152">
        <v>1</v>
      </c>
      <c r="W192" s="152">
        <v>14</v>
      </c>
      <c r="X192" s="152">
        <v>20</v>
      </c>
      <c r="Y192" s="152"/>
      <c r="Z192" s="152"/>
      <c r="AA192" s="152">
        <v>20</v>
      </c>
      <c r="AB192" s="152">
        <v>2</v>
      </c>
      <c r="AC192" s="152"/>
      <c r="AD192" s="152"/>
      <c r="AE192" s="152"/>
      <c r="AF192" s="152">
        <v>2</v>
      </c>
      <c r="AG192" s="152">
        <v>22</v>
      </c>
      <c r="AH192" s="152">
        <v>12</v>
      </c>
      <c r="AI192" s="152"/>
      <c r="AJ192" s="152"/>
      <c r="AK192" s="152">
        <v>12</v>
      </c>
      <c r="AL192" s="152">
        <v>2</v>
      </c>
      <c r="AM192" s="152"/>
      <c r="AN192" s="152"/>
      <c r="AO192" s="152"/>
      <c r="AP192" s="152">
        <v>2</v>
      </c>
      <c r="AQ192" s="152">
        <v>14</v>
      </c>
      <c r="AR192" s="152">
        <v>21</v>
      </c>
      <c r="AS192" s="152">
        <v>1</v>
      </c>
      <c r="AT192" s="152"/>
      <c r="AU192" s="152">
        <v>22</v>
      </c>
      <c r="AV192" s="152">
        <v>10</v>
      </c>
      <c r="AW192" s="152"/>
      <c r="AX192" s="152"/>
      <c r="AY192" s="152"/>
      <c r="AZ192" s="152">
        <v>10</v>
      </c>
      <c r="BA192" s="152">
        <v>32</v>
      </c>
      <c r="BB192" s="152">
        <v>7</v>
      </c>
      <c r="BC192" s="152"/>
      <c r="BD192" s="152">
        <v>7</v>
      </c>
      <c r="BE192" s="152"/>
      <c r="BF192" s="152"/>
      <c r="BG192" s="152"/>
      <c r="BH192" s="152"/>
      <c r="BI192" s="152">
        <v>0</v>
      </c>
      <c r="BJ192" s="152">
        <v>7</v>
      </c>
      <c r="BK192" s="152"/>
      <c r="BL192" s="152"/>
      <c r="BM192" s="152"/>
      <c r="BN192" s="152">
        <v>0</v>
      </c>
      <c r="BO192" s="152">
        <v>0</v>
      </c>
      <c r="BP192" s="152">
        <v>205</v>
      </c>
    </row>
    <row r="193" spans="1:68" x14ac:dyDescent="0.35">
      <c r="A193" s="146" t="s">
        <v>653</v>
      </c>
      <c r="B193" s="146" t="s">
        <v>654</v>
      </c>
      <c r="C193" s="152">
        <v>209</v>
      </c>
      <c r="D193" s="152">
        <v>1</v>
      </c>
      <c r="E193" s="152"/>
      <c r="F193" s="152"/>
      <c r="G193" s="152">
        <v>210</v>
      </c>
      <c r="H193" s="152">
        <v>294</v>
      </c>
      <c r="I193" s="152">
        <v>55</v>
      </c>
      <c r="J193" s="152">
        <v>1</v>
      </c>
      <c r="K193" s="152"/>
      <c r="L193" s="152">
        <v>350</v>
      </c>
      <c r="M193" s="152">
        <v>560</v>
      </c>
      <c r="N193" s="152">
        <v>17</v>
      </c>
      <c r="O193" s="152"/>
      <c r="P193" s="152"/>
      <c r="Q193" s="152">
        <v>17</v>
      </c>
      <c r="R193" s="152">
        <v>4</v>
      </c>
      <c r="S193" s="152"/>
      <c r="T193" s="152"/>
      <c r="U193" s="152"/>
      <c r="V193" s="152">
        <v>4</v>
      </c>
      <c r="W193" s="152">
        <v>21</v>
      </c>
      <c r="X193" s="152">
        <v>17</v>
      </c>
      <c r="Y193" s="152"/>
      <c r="Z193" s="152"/>
      <c r="AA193" s="152">
        <v>17</v>
      </c>
      <c r="AB193" s="152">
        <v>3</v>
      </c>
      <c r="AC193" s="152">
        <v>1</v>
      </c>
      <c r="AD193" s="152"/>
      <c r="AE193" s="152"/>
      <c r="AF193" s="152">
        <v>4</v>
      </c>
      <c r="AG193" s="152">
        <v>21</v>
      </c>
      <c r="AH193" s="152">
        <v>34</v>
      </c>
      <c r="AI193" s="152"/>
      <c r="AJ193" s="152"/>
      <c r="AK193" s="152">
        <v>34</v>
      </c>
      <c r="AL193" s="152">
        <v>10</v>
      </c>
      <c r="AM193" s="152">
        <v>2</v>
      </c>
      <c r="AN193" s="152"/>
      <c r="AO193" s="152"/>
      <c r="AP193" s="152">
        <v>12</v>
      </c>
      <c r="AQ193" s="152">
        <v>46</v>
      </c>
      <c r="AR193" s="152">
        <v>50</v>
      </c>
      <c r="AS193" s="152"/>
      <c r="AT193" s="152"/>
      <c r="AU193" s="152">
        <v>50</v>
      </c>
      <c r="AV193" s="152">
        <v>50</v>
      </c>
      <c r="AW193" s="152">
        <v>4</v>
      </c>
      <c r="AX193" s="152">
        <v>1</v>
      </c>
      <c r="AY193" s="152"/>
      <c r="AZ193" s="152">
        <v>55</v>
      </c>
      <c r="BA193" s="152">
        <v>105</v>
      </c>
      <c r="BB193" s="152">
        <v>8</v>
      </c>
      <c r="BC193" s="152"/>
      <c r="BD193" s="152">
        <v>8</v>
      </c>
      <c r="BE193" s="152"/>
      <c r="BF193" s="152"/>
      <c r="BG193" s="152"/>
      <c r="BH193" s="152"/>
      <c r="BI193" s="152">
        <v>0</v>
      </c>
      <c r="BJ193" s="152">
        <v>8</v>
      </c>
      <c r="BK193" s="152"/>
      <c r="BL193" s="152"/>
      <c r="BM193" s="152"/>
      <c r="BN193" s="152">
        <v>0</v>
      </c>
      <c r="BO193" s="152">
        <v>0</v>
      </c>
      <c r="BP193" s="152">
        <v>761</v>
      </c>
    </row>
    <row r="194" spans="1:68" x14ac:dyDescent="0.35">
      <c r="A194" s="146" t="s">
        <v>655</v>
      </c>
      <c r="B194" s="146" t="s">
        <v>656</v>
      </c>
      <c r="C194" s="152">
        <v>37</v>
      </c>
      <c r="D194" s="152"/>
      <c r="E194" s="152"/>
      <c r="F194" s="152"/>
      <c r="G194" s="152">
        <v>37</v>
      </c>
      <c r="H194" s="152">
        <v>42</v>
      </c>
      <c r="I194" s="152">
        <v>6</v>
      </c>
      <c r="J194" s="152"/>
      <c r="K194" s="152"/>
      <c r="L194" s="152">
        <v>48</v>
      </c>
      <c r="M194" s="152">
        <v>85</v>
      </c>
      <c r="N194" s="152">
        <v>2</v>
      </c>
      <c r="O194" s="152"/>
      <c r="P194" s="152"/>
      <c r="Q194" s="152">
        <v>2</v>
      </c>
      <c r="R194" s="152"/>
      <c r="S194" s="152"/>
      <c r="T194" s="152"/>
      <c r="U194" s="152"/>
      <c r="V194" s="152">
        <v>0</v>
      </c>
      <c r="W194" s="152">
        <v>2</v>
      </c>
      <c r="X194" s="152">
        <v>2</v>
      </c>
      <c r="Y194" s="152"/>
      <c r="Z194" s="152"/>
      <c r="AA194" s="152">
        <v>2</v>
      </c>
      <c r="AB194" s="152"/>
      <c r="AC194" s="152"/>
      <c r="AD194" s="152"/>
      <c r="AE194" s="152"/>
      <c r="AF194" s="152">
        <v>0</v>
      </c>
      <c r="AG194" s="152">
        <v>2</v>
      </c>
      <c r="AH194" s="152"/>
      <c r="AI194" s="152"/>
      <c r="AJ194" s="152"/>
      <c r="AK194" s="152">
        <v>0</v>
      </c>
      <c r="AL194" s="152"/>
      <c r="AM194" s="152"/>
      <c r="AN194" s="152"/>
      <c r="AO194" s="152"/>
      <c r="AP194" s="152">
        <v>0</v>
      </c>
      <c r="AQ194" s="152">
        <v>0</v>
      </c>
      <c r="AR194" s="152">
        <v>6</v>
      </c>
      <c r="AS194" s="152"/>
      <c r="AT194" s="152"/>
      <c r="AU194" s="152">
        <v>6</v>
      </c>
      <c r="AV194" s="152">
        <v>5</v>
      </c>
      <c r="AW194" s="152"/>
      <c r="AX194" s="152"/>
      <c r="AY194" s="152"/>
      <c r="AZ194" s="152">
        <v>5</v>
      </c>
      <c r="BA194" s="152">
        <v>11</v>
      </c>
      <c r="BB194" s="152"/>
      <c r="BC194" s="152"/>
      <c r="BD194" s="152">
        <v>0</v>
      </c>
      <c r="BE194" s="152"/>
      <c r="BF194" s="152"/>
      <c r="BG194" s="152"/>
      <c r="BH194" s="152"/>
      <c r="BI194" s="152">
        <v>0</v>
      </c>
      <c r="BJ194" s="152">
        <v>0</v>
      </c>
      <c r="BK194" s="152"/>
      <c r="BL194" s="152"/>
      <c r="BM194" s="152"/>
      <c r="BN194" s="152">
        <v>0</v>
      </c>
      <c r="BO194" s="152">
        <v>0</v>
      </c>
      <c r="BP194" s="152">
        <v>100</v>
      </c>
    </row>
    <row r="195" spans="1:68" x14ac:dyDescent="0.35">
      <c r="A195" s="146" t="s">
        <v>657</v>
      </c>
      <c r="B195" s="146" t="s">
        <v>658</v>
      </c>
      <c r="C195" s="152">
        <v>58</v>
      </c>
      <c r="D195" s="152"/>
      <c r="E195" s="152"/>
      <c r="F195" s="152"/>
      <c r="G195" s="152">
        <v>58</v>
      </c>
      <c r="H195" s="152">
        <v>58</v>
      </c>
      <c r="I195" s="152">
        <v>6</v>
      </c>
      <c r="J195" s="152">
        <v>1</v>
      </c>
      <c r="K195" s="152"/>
      <c r="L195" s="152">
        <v>65</v>
      </c>
      <c r="M195" s="152">
        <v>123</v>
      </c>
      <c r="N195" s="152">
        <v>11</v>
      </c>
      <c r="O195" s="152"/>
      <c r="P195" s="152"/>
      <c r="Q195" s="152">
        <v>11</v>
      </c>
      <c r="R195" s="152"/>
      <c r="S195" s="152"/>
      <c r="T195" s="152"/>
      <c r="U195" s="152"/>
      <c r="V195" s="152">
        <v>0</v>
      </c>
      <c r="W195" s="152">
        <v>11</v>
      </c>
      <c r="X195" s="152">
        <v>3</v>
      </c>
      <c r="Y195" s="152"/>
      <c r="Z195" s="152"/>
      <c r="AA195" s="152">
        <v>3</v>
      </c>
      <c r="AB195" s="152"/>
      <c r="AC195" s="152"/>
      <c r="AD195" s="152"/>
      <c r="AE195" s="152"/>
      <c r="AF195" s="152">
        <v>0</v>
      </c>
      <c r="AG195" s="152">
        <v>3</v>
      </c>
      <c r="AH195" s="152">
        <v>3</v>
      </c>
      <c r="AI195" s="152"/>
      <c r="AJ195" s="152"/>
      <c r="AK195" s="152">
        <v>3</v>
      </c>
      <c r="AL195" s="152"/>
      <c r="AM195" s="152"/>
      <c r="AN195" s="152"/>
      <c r="AO195" s="152"/>
      <c r="AP195" s="152">
        <v>0</v>
      </c>
      <c r="AQ195" s="152">
        <v>3</v>
      </c>
      <c r="AR195" s="152">
        <v>8</v>
      </c>
      <c r="AS195" s="152"/>
      <c r="AT195" s="152"/>
      <c r="AU195" s="152">
        <v>8</v>
      </c>
      <c r="AV195" s="152">
        <v>6</v>
      </c>
      <c r="AW195" s="152"/>
      <c r="AX195" s="152"/>
      <c r="AY195" s="152"/>
      <c r="AZ195" s="152">
        <v>6</v>
      </c>
      <c r="BA195" s="152">
        <v>14</v>
      </c>
      <c r="BB195" s="152"/>
      <c r="BC195" s="152"/>
      <c r="BD195" s="152">
        <v>0</v>
      </c>
      <c r="BE195" s="152">
        <v>1</v>
      </c>
      <c r="BF195" s="152"/>
      <c r="BG195" s="152"/>
      <c r="BH195" s="152"/>
      <c r="BI195" s="152">
        <v>1</v>
      </c>
      <c r="BJ195" s="152">
        <v>1</v>
      </c>
      <c r="BK195" s="152"/>
      <c r="BL195" s="152"/>
      <c r="BM195" s="152"/>
      <c r="BN195" s="152">
        <v>0</v>
      </c>
      <c r="BO195" s="152">
        <v>0</v>
      </c>
      <c r="BP195" s="152">
        <v>155</v>
      </c>
    </row>
    <row r="196" spans="1:68" x14ac:dyDescent="0.35">
      <c r="A196" s="146" t="s">
        <v>659</v>
      </c>
      <c r="B196" s="146" t="s">
        <v>660</v>
      </c>
      <c r="C196" s="152">
        <v>6</v>
      </c>
      <c r="D196" s="152">
        <v>1</v>
      </c>
      <c r="E196" s="152"/>
      <c r="F196" s="152"/>
      <c r="G196" s="152">
        <v>7</v>
      </c>
      <c r="H196" s="152">
        <v>9</v>
      </c>
      <c r="I196" s="152">
        <v>7</v>
      </c>
      <c r="J196" s="152">
        <v>3</v>
      </c>
      <c r="K196" s="152"/>
      <c r="L196" s="152">
        <v>19</v>
      </c>
      <c r="M196" s="152">
        <v>26</v>
      </c>
      <c r="N196" s="152"/>
      <c r="O196" s="152"/>
      <c r="P196" s="152"/>
      <c r="Q196" s="152">
        <v>0</v>
      </c>
      <c r="R196" s="152"/>
      <c r="S196" s="152"/>
      <c r="T196" s="152"/>
      <c r="U196" s="152"/>
      <c r="V196" s="152">
        <v>0</v>
      </c>
      <c r="W196" s="152">
        <v>0</v>
      </c>
      <c r="X196" s="152"/>
      <c r="Y196" s="152"/>
      <c r="Z196" s="152"/>
      <c r="AA196" s="152">
        <v>0</v>
      </c>
      <c r="AB196" s="152"/>
      <c r="AC196" s="152"/>
      <c r="AD196" s="152"/>
      <c r="AE196" s="152"/>
      <c r="AF196" s="152">
        <v>0</v>
      </c>
      <c r="AG196" s="152">
        <v>0</v>
      </c>
      <c r="AH196" s="152">
        <v>1</v>
      </c>
      <c r="AI196" s="152"/>
      <c r="AJ196" s="152"/>
      <c r="AK196" s="152">
        <v>1</v>
      </c>
      <c r="AL196" s="152"/>
      <c r="AM196" s="152"/>
      <c r="AN196" s="152"/>
      <c r="AO196" s="152"/>
      <c r="AP196" s="152">
        <v>0</v>
      </c>
      <c r="AQ196" s="152">
        <v>1</v>
      </c>
      <c r="AR196" s="152">
        <v>2</v>
      </c>
      <c r="AS196" s="152"/>
      <c r="AT196" s="152"/>
      <c r="AU196" s="152">
        <v>2</v>
      </c>
      <c r="AV196" s="152"/>
      <c r="AW196" s="152"/>
      <c r="AX196" s="152"/>
      <c r="AY196" s="152"/>
      <c r="AZ196" s="152">
        <v>0</v>
      </c>
      <c r="BA196" s="152">
        <v>2</v>
      </c>
      <c r="BB196" s="152"/>
      <c r="BC196" s="152"/>
      <c r="BD196" s="152">
        <v>0</v>
      </c>
      <c r="BE196" s="152"/>
      <c r="BF196" s="152"/>
      <c r="BG196" s="152"/>
      <c r="BH196" s="152"/>
      <c r="BI196" s="152">
        <v>0</v>
      </c>
      <c r="BJ196" s="152">
        <v>0</v>
      </c>
      <c r="BK196" s="152"/>
      <c r="BL196" s="152"/>
      <c r="BM196" s="152"/>
      <c r="BN196" s="152">
        <v>0</v>
      </c>
      <c r="BO196" s="152">
        <v>0</v>
      </c>
      <c r="BP196" s="152">
        <v>29</v>
      </c>
    </row>
    <row r="197" spans="1:68" x14ac:dyDescent="0.35">
      <c r="A197" s="146" t="s">
        <v>661</v>
      </c>
      <c r="B197" s="146" t="s">
        <v>662</v>
      </c>
      <c r="C197" s="152">
        <v>24</v>
      </c>
      <c r="D197" s="152"/>
      <c r="E197" s="152"/>
      <c r="F197" s="152"/>
      <c r="G197" s="152">
        <v>24</v>
      </c>
      <c r="H197" s="152">
        <v>36</v>
      </c>
      <c r="I197" s="152">
        <v>3</v>
      </c>
      <c r="J197" s="152">
        <v>1</v>
      </c>
      <c r="K197" s="152"/>
      <c r="L197" s="152">
        <v>40</v>
      </c>
      <c r="M197" s="152">
        <v>64</v>
      </c>
      <c r="N197" s="152">
        <v>5</v>
      </c>
      <c r="O197" s="152"/>
      <c r="P197" s="152"/>
      <c r="Q197" s="152">
        <v>5</v>
      </c>
      <c r="R197" s="152"/>
      <c r="S197" s="152"/>
      <c r="T197" s="152"/>
      <c r="U197" s="152"/>
      <c r="V197" s="152">
        <v>0</v>
      </c>
      <c r="W197" s="152">
        <v>5</v>
      </c>
      <c r="X197" s="152"/>
      <c r="Y197" s="152"/>
      <c r="Z197" s="152"/>
      <c r="AA197" s="152">
        <v>0</v>
      </c>
      <c r="AB197" s="152"/>
      <c r="AC197" s="152"/>
      <c r="AD197" s="152"/>
      <c r="AE197" s="152"/>
      <c r="AF197" s="152">
        <v>0</v>
      </c>
      <c r="AG197" s="152">
        <v>0</v>
      </c>
      <c r="AH197" s="152">
        <v>5</v>
      </c>
      <c r="AI197" s="152"/>
      <c r="AJ197" s="152"/>
      <c r="AK197" s="152">
        <v>5</v>
      </c>
      <c r="AL197" s="152"/>
      <c r="AM197" s="152"/>
      <c r="AN197" s="152"/>
      <c r="AO197" s="152"/>
      <c r="AP197" s="152">
        <v>0</v>
      </c>
      <c r="AQ197" s="152">
        <v>5</v>
      </c>
      <c r="AR197" s="152">
        <v>7</v>
      </c>
      <c r="AS197" s="152"/>
      <c r="AT197" s="152"/>
      <c r="AU197" s="152">
        <v>7</v>
      </c>
      <c r="AV197" s="152">
        <v>9</v>
      </c>
      <c r="AW197" s="152">
        <v>1</v>
      </c>
      <c r="AX197" s="152"/>
      <c r="AY197" s="152"/>
      <c r="AZ197" s="152">
        <v>10</v>
      </c>
      <c r="BA197" s="152">
        <v>17</v>
      </c>
      <c r="BB197" s="152">
        <v>1</v>
      </c>
      <c r="BC197" s="152"/>
      <c r="BD197" s="152">
        <v>1</v>
      </c>
      <c r="BE197" s="152"/>
      <c r="BF197" s="152"/>
      <c r="BG197" s="152"/>
      <c r="BH197" s="152"/>
      <c r="BI197" s="152">
        <v>0</v>
      </c>
      <c r="BJ197" s="152">
        <v>1</v>
      </c>
      <c r="BK197" s="152"/>
      <c r="BL197" s="152"/>
      <c r="BM197" s="152"/>
      <c r="BN197" s="152">
        <v>0</v>
      </c>
      <c r="BO197" s="152">
        <v>0</v>
      </c>
      <c r="BP197" s="152">
        <v>92</v>
      </c>
    </row>
    <row r="198" spans="1:68" x14ac:dyDescent="0.35">
      <c r="A198" s="146" t="s">
        <v>663</v>
      </c>
      <c r="B198" s="146" t="s">
        <v>1228</v>
      </c>
      <c r="C198" s="152">
        <v>10</v>
      </c>
      <c r="D198" s="152"/>
      <c r="E198" s="152"/>
      <c r="F198" s="152"/>
      <c r="G198" s="152">
        <v>10</v>
      </c>
      <c r="H198" s="152">
        <v>31</v>
      </c>
      <c r="I198" s="152">
        <v>8</v>
      </c>
      <c r="J198" s="152">
        <v>1</v>
      </c>
      <c r="K198" s="152"/>
      <c r="L198" s="152">
        <v>40</v>
      </c>
      <c r="M198" s="152">
        <v>50</v>
      </c>
      <c r="N198" s="152">
        <v>1</v>
      </c>
      <c r="O198" s="152"/>
      <c r="P198" s="152"/>
      <c r="Q198" s="152">
        <v>1</v>
      </c>
      <c r="R198" s="152"/>
      <c r="S198" s="152"/>
      <c r="T198" s="152"/>
      <c r="U198" s="152"/>
      <c r="V198" s="152">
        <v>0</v>
      </c>
      <c r="W198" s="152">
        <v>1</v>
      </c>
      <c r="X198" s="152">
        <v>4</v>
      </c>
      <c r="Y198" s="152"/>
      <c r="Z198" s="152"/>
      <c r="AA198" s="152">
        <v>4</v>
      </c>
      <c r="AB198" s="152">
        <v>4</v>
      </c>
      <c r="AC198" s="152"/>
      <c r="AD198" s="152"/>
      <c r="AE198" s="152"/>
      <c r="AF198" s="152">
        <v>4</v>
      </c>
      <c r="AG198" s="152">
        <v>8</v>
      </c>
      <c r="AH198" s="152">
        <v>1</v>
      </c>
      <c r="AI198" s="152"/>
      <c r="AJ198" s="152"/>
      <c r="AK198" s="152">
        <v>1</v>
      </c>
      <c r="AL198" s="152"/>
      <c r="AM198" s="152"/>
      <c r="AN198" s="152"/>
      <c r="AO198" s="152"/>
      <c r="AP198" s="152">
        <v>0</v>
      </c>
      <c r="AQ198" s="152">
        <v>1</v>
      </c>
      <c r="AR198" s="152">
        <v>2</v>
      </c>
      <c r="AS198" s="152"/>
      <c r="AT198" s="152"/>
      <c r="AU198" s="152">
        <v>2</v>
      </c>
      <c r="AV198" s="152">
        <v>4</v>
      </c>
      <c r="AW198" s="152">
        <v>1</v>
      </c>
      <c r="AX198" s="152"/>
      <c r="AY198" s="152"/>
      <c r="AZ198" s="152">
        <v>5</v>
      </c>
      <c r="BA198" s="152">
        <v>7</v>
      </c>
      <c r="BB198" s="152"/>
      <c r="BC198" s="152"/>
      <c r="BD198" s="152">
        <v>0</v>
      </c>
      <c r="BE198" s="152"/>
      <c r="BF198" s="152"/>
      <c r="BG198" s="152"/>
      <c r="BH198" s="152"/>
      <c r="BI198" s="152">
        <v>0</v>
      </c>
      <c r="BJ198" s="152">
        <v>0</v>
      </c>
      <c r="BK198" s="152"/>
      <c r="BL198" s="152"/>
      <c r="BM198" s="152"/>
      <c r="BN198" s="152">
        <v>0</v>
      </c>
      <c r="BO198" s="152">
        <v>0</v>
      </c>
      <c r="BP198" s="152">
        <v>67</v>
      </c>
    </row>
    <row r="199" spans="1:68" x14ac:dyDescent="0.35">
      <c r="A199" s="146" t="s">
        <v>664</v>
      </c>
      <c r="B199" s="146" t="s">
        <v>665</v>
      </c>
      <c r="C199" s="152">
        <v>1</v>
      </c>
      <c r="D199" s="152"/>
      <c r="E199" s="152"/>
      <c r="F199" s="152"/>
      <c r="G199" s="152">
        <v>1</v>
      </c>
      <c r="H199" s="152">
        <v>152</v>
      </c>
      <c r="I199" s="152">
        <v>25</v>
      </c>
      <c r="J199" s="152">
        <v>17</v>
      </c>
      <c r="K199" s="152">
        <v>22</v>
      </c>
      <c r="L199" s="152">
        <v>216</v>
      </c>
      <c r="M199" s="152">
        <v>217</v>
      </c>
      <c r="N199" s="152"/>
      <c r="O199" s="152"/>
      <c r="P199" s="152"/>
      <c r="Q199" s="152">
        <v>0</v>
      </c>
      <c r="R199" s="152"/>
      <c r="S199" s="152"/>
      <c r="T199" s="152">
        <v>1</v>
      </c>
      <c r="U199" s="152"/>
      <c r="V199" s="152">
        <v>1</v>
      </c>
      <c r="W199" s="152">
        <v>1</v>
      </c>
      <c r="X199" s="152"/>
      <c r="Y199" s="152"/>
      <c r="Z199" s="152"/>
      <c r="AA199" s="152">
        <v>0</v>
      </c>
      <c r="AB199" s="152">
        <v>1</v>
      </c>
      <c r="AC199" s="152">
        <v>1</v>
      </c>
      <c r="AD199" s="152">
        <v>1</v>
      </c>
      <c r="AE199" s="152"/>
      <c r="AF199" s="152">
        <v>3</v>
      </c>
      <c r="AG199" s="152">
        <v>3</v>
      </c>
      <c r="AH199" s="152"/>
      <c r="AI199" s="152"/>
      <c r="AJ199" s="152"/>
      <c r="AK199" s="152">
        <v>0</v>
      </c>
      <c r="AL199" s="152"/>
      <c r="AM199" s="152"/>
      <c r="AN199" s="152"/>
      <c r="AO199" s="152"/>
      <c r="AP199" s="152">
        <v>0</v>
      </c>
      <c r="AQ199" s="152">
        <v>0</v>
      </c>
      <c r="AR199" s="152"/>
      <c r="AS199" s="152"/>
      <c r="AT199" s="152"/>
      <c r="AU199" s="152">
        <v>0</v>
      </c>
      <c r="AV199" s="152">
        <v>2</v>
      </c>
      <c r="AW199" s="152"/>
      <c r="AX199" s="152"/>
      <c r="AY199" s="152"/>
      <c r="AZ199" s="152">
        <v>2</v>
      </c>
      <c r="BA199" s="152">
        <v>2</v>
      </c>
      <c r="BB199" s="152"/>
      <c r="BC199" s="152"/>
      <c r="BD199" s="152">
        <v>0</v>
      </c>
      <c r="BE199" s="152"/>
      <c r="BF199" s="152"/>
      <c r="BG199" s="152">
        <v>1</v>
      </c>
      <c r="BH199" s="152">
        <v>1</v>
      </c>
      <c r="BI199" s="152">
        <v>2</v>
      </c>
      <c r="BJ199" s="152">
        <v>2</v>
      </c>
      <c r="BK199" s="152"/>
      <c r="BL199" s="152"/>
      <c r="BM199" s="152"/>
      <c r="BN199" s="152">
        <v>0</v>
      </c>
      <c r="BO199" s="152">
        <v>0</v>
      </c>
      <c r="BP199" s="152">
        <v>225</v>
      </c>
    </row>
    <row r="200" spans="1:68" x14ac:dyDescent="0.35">
      <c r="A200" s="146" t="s">
        <v>666</v>
      </c>
      <c r="B200" s="146" t="s">
        <v>667</v>
      </c>
      <c r="C200" s="152">
        <v>1</v>
      </c>
      <c r="D200" s="152"/>
      <c r="E200" s="152"/>
      <c r="F200" s="152"/>
      <c r="G200" s="152">
        <v>1</v>
      </c>
      <c r="H200" s="152">
        <v>4</v>
      </c>
      <c r="I200" s="152"/>
      <c r="J200" s="152">
        <v>3</v>
      </c>
      <c r="K200" s="152">
        <v>3</v>
      </c>
      <c r="L200" s="152">
        <v>10</v>
      </c>
      <c r="M200" s="152">
        <v>11</v>
      </c>
      <c r="N200" s="152"/>
      <c r="O200" s="152"/>
      <c r="P200" s="152"/>
      <c r="Q200" s="152">
        <v>0</v>
      </c>
      <c r="R200" s="152"/>
      <c r="S200" s="152"/>
      <c r="T200" s="152"/>
      <c r="U200" s="152"/>
      <c r="V200" s="152">
        <v>0</v>
      </c>
      <c r="W200" s="152">
        <v>0</v>
      </c>
      <c r="X200" s="152"/>
      <c r="Y200" s="152"/>
      <c r="Z200" s="152"/>
      <c r="AA200" s="152">
        <v>0</v>
      </c>
      <c r="AB200" s="152"/>
      <c r="AC200" s="152"/>
      <c r="AD200" s="152"/>
      <c r="AE200" s="152"/>
      <c r="AF200" s="152">
        <v>0</v>
      </c>
      <c r="AG200" s="152">
        <v>0</v>
      </c>
      <c r="AH200" s="152"/>
      <c r="AI200" s="152"/>
      <c r="AJ200" s="152"/>
      <c r="AK200" s="152">
        <v>0</v>
      </c>
      <c r="AL200" s="152"/>
      <c r="AM200" s="152"/>
      <c r="AN200" s="152"/>
      <c r="AO200" s="152"/>
      <c r="AP200" s="152">
        <v>0</v>
      </c>
      <c r="AQ200" s="152">
        <v>0</v>
      </c>
      <c r="AR200" s="152"/>
      <c r="AS200" s="152"/>
      <c r="AT200" s="152"/>
      <c r="AU200" s="152">
        <v>0</v>
      </c>
      <c r="AV200" s="152"/>
      <c r="AW200" s="152">
        <v>2</v>
      </c>
      <c r="AX200" s="152"/>
      <c r="AY200" s="152"/>
      <c r="AZ200" s="152">
        <v>2</v>
      </c>
      <c r="BA200" s="152">
        <v>2</v>
      </c>
      <c r="BB200" s="152"/>
      <c r="BC200" s="152"/>
      <c r="BD200" s="152">
        <v>0</v>
      </c>
      <c r="BE200" s="152"/>
      <c r="BF200" s="152"/>
      <c r="BG200" s="152"/>
      <c r="BH200" s="152"/>
      <c r="BI200" s="152">
        <v>0</v>
      </c>
      <c r="BJ200" s="152">
        <v>0</v>
      </c>
      <c r="BK200" s="152"/>
      <c r="BL200" s="152"/>
      <c r="BM200" s="152"/>
      <c r="BN200" s="152">
        <v>0</v>
      </c>
      <c r="BO200" s="152">
        <v>0</v>
      </c>
      <c r="BP200" s="152">
        <v>13</v>
      </c>
    </row>
    <row r="201" spans="1:68" x14ac:dyDescent="0.35">
      <c r="A201" s="146" t="s">
        <v>668</v>
      </c>
      <c r="B201" s="146" t="s">
        <v>669</v>
      </c>
      <c r="C201" s="152"/>
      <c r="D201" s="152"/>
      <c r="E201" s="152"/>
      <c r="F201" s="152"/>
      <c r="G201" s="152">
        <v>0</v>
      </c>
      <c r="H201" s="152">
        <v>2</v>
      </c>
      <c r="I201" s="152"/>
      <c r="J201" s="152"/>
      <c r="K201" s="152">
        <v>1</v>
      </c>
      <c r="L201" s="152">
        <v>3</v>
      </c>
      <c r="M201" s="152">
        <v>3</v>
      </c>
      <c r="N201" s="152"/>
      <c r="O201" s="152"/>
      <c r="P201" s="152"/>
      <c r="Q201" s="152">
        <v>0</v>
      </c>
      <c r="R201" s="152"/>
      <c r="S201" s="152"/>
      <c r="T201" s="152"/>
      <c r="U201" s="152"/>
      <c r="V201" s="152">
        <v>0</v>
      </c>
      <c r="W201" s="152">
        <v>0</v>
      </c>
      <c r="X201" s="152"/>
      <c r="Y201" s="152"/>
      <c r="Z201" s="152"/>
      <c r="AA201" s="152">
        <v>0</v>
      </c>
      <c r="AB201" s="152"/>
      <c r="AC201" s="152"/>
      <c r="AD201" s="152"/>
      <c r="AE201" s="152"/>
      <c r="AF201" s="152">
        <v>0</v>
      </c>
      <c r="AG201" s="152">
        <v>0</v>
      </c>
      <c r="AH201" s="152"/>
      <c r="AI201" s="152"/>
      <c r="AJ201" s="152"/>
      <c r="AK201" s="152">
        <v>0</v>
      </c>
      <c r="AL201" s="152"/>
      <c r="AM201" s="152"/>
      <c r="AN201" s="152"/>
      <c r="AO201" s="152"/>
      <c r="AP201" s="152">
        <v>0</v>
      </c>
      <c r="AQ201" s="152">
        <v>0</v>
      </c>
      <c r="AR201" s="152"/>
      <c r="AS201" s="152"/>
      <c r="AT201" s="152"/>
      <c r="AU201" s="152">
        <v>0</v>
      </c>
      <c r="AV201" s="152"/>
      <c r="AW201" s="152"/>
      <c r="AX201" s="152"/>
      <c r="AY201" s="152"/>
      <c r="AZ201" s="152">
        <v>0</v>
      </c>
      <c r="BA201" s="152">
        <v>0</v>
      </c>
      <c r="BB201" s="152"/>
      <c r="BC201" s="152"/>
      <c r="BD201" s="152">
        <v>0</v>
      </c>
      <c r="BE201" s="152"/>
      <c r="BF201" s="152"/>
      <c r="BG201" s="152"/>
      <c r="BH201" s="152"/>
      <c r="BI201" s="152">
        <v>0</v>
      </c>
      <c r="BJ201" s="152">
        <v>0</v>
      </c>
      <c r="BK201" s="152"/>
      <c r="BL201" s="152"/>
      <c r="BM201" s="152"/>
      <c r="BN201" s="152">
        <v>0</v>
      </c>
      <c r="BO201" s="152">
        <v>0</v>
      </c>
      <c r="BP201" s="152">
        <v>3</v>
      </c>
    </row>
    <row r="202" spans="1:68" x14ac:dyDescent="0.35">
      <c r="A202" s="146" t="s">
        <v>670</v>
      </c>
      <c r="B202" s="146" t="s">
        <v>671</v>
      </c>
      <c r="C202" s="152"/>
      <c r="D202" s="152"/>
      <c r="E202" s="152"/>
      <c r="F202" s="152"/>
      <c r="G202" s="152">
        <v>0</v>
      </c>
      <c r="H202" s="152">
        <v>16</v>
      </c>
      <c r="I202" s="152">
        <v>5</v>
      </c>
      <c r="J202" s="152">
        <v>5</v>
      </c>
      <c r="K202" s="152">
        <v>2</v>
      </c>
      <c r="L202" s="152">
        <v>28</v>
      </c>
      <c r="M202" s="152">
        <v>28</v>
      </c>
      <c r="N202" s="152"/>
      <c r="O202" s="152"/>
      <c r="P202" s="152"/>
      <c r="Q202" s="152">
        <v>0</v>
      </c>
      <c r="R202" s="152"/>
      <c r="S202" s="152"/>
      <c r="T202" s="152"/>
      <c r="U202" s="152"/>
      <c r="V202" s="152">
        <v>0</v>
      </c>
      <c r="W202" s="152">
        <v>0</v>
      </c>
      <c r="X202" s="152">
        <v>1</v>
      </c>
      <c r="Y202" s="152"/>
      <c r="Z202" s="152"/>
      <c r="AA202" s="152">
        <v>1</v>
      </c>
      <c r="AB202" s="152"/>
      <c r="AC202" s="152"/>
      <c r="AD202" s="152"/>
      <c r="AE202" s="152"/>
      <c r="AF202" s="152">
        <v>0</v>
      </c>
      <c r="AG202" s="152">
        <v>1</v>
      </c>
      <c r="AH202" s="152"/>
      <c r="AI202" s="152"/>
      <c r="AJ202" s="152"/>
      <c r="AK202" s="152">
        <v>0</v>
      </c>
      <c r="AL202" s="152"/>
      <c r="AM202" s="152"/>
      <c r="AN202" s="152"/>
      <c r="AO202" s="152"/>
      <c r="AP202" s="152">
        <v>0</v>
      </c>
      <c r="AQ202" s="152">
        <v>0</v>
      </c>
      <c r="AR202" s="152"/>
      <c r="AS202" s="152"/>
      <c r="AT202" s="152"/>
      <c r="AU202" s="152">
        <v>0</v>
      </c>
      <c r="AV202" s="152"/>
      <c r="AW202" s="152"/>
      <c r="AX202" s="152"/>
      <c r="AY202" s="152"/>
      <c r="AZ202" s="152">
        <v>0</v>
      </c>
      <c r="BA202" s="152">
        <v>0</v>
      </c>
      <c r="BB202" s="152"/>
      <c r="BC202" s="152"/>
      <c r="BD202" s="152">
        <v>0</v>
      </c>
      <c r="BE202" s="152"/>
      <c r="BF202" s="152">
        <v>1</v>
      </c>
      <c r="BG202" s="152">
        <v>1</v>
      </c>
      <c r="BH202" s="152"/>
      <c r="BI202" s="152">
        <v>2</v>
      </c>
      <c r="BJ202" s="152">
        <v>2</v>
      </c>
      <c r="BK202" s="152"/>
      <c r="BL202" s="152"/>
      <c r="BM202" s="152"/>
      <c r="BN202" s="152">
        <v>0</v>
      </c>
      <c r="BO202" s="152">
        <v>0</v>
      </c>
      <c r="BP202" s="152">
        <v>31</v>
      </c>
    </row>
    <row r="203" spans="1:68" x14ac:dyDescent="0.35">
      <c r="A203" s="146" t="s">
        <v>672</v>
      </c>
      <c r="B203" s="146" t="s">
        <v>1377</v>
      </c>
      <c r="C203" s="152">
        <v>4</v>
      </c>
      <c r="D203" s="152"/>
      <c r="E203" s="152"/>
      <c r="F203" s="152"/>
      <c r="G203" s="152">
        <v>4</v>
      </c>
      <c r="H203" s="152">
        <v>1</v>
      </c>
      <c r="I203" s="152">
        <v>1</v>
      </c>
      <c r="J203" s="152"/>
      <c r="K203" s="152"/>
      <c r="L203" s="152">
        <v>2</v>
      </c>
      <c r="M203" s="152">
        <v>6</v>
      </c>
      <c r="N203" s="152">
        <v>1</v>
      </c>
      <c r="O203" s="152"/>
      <c r="P203" s="152"/>
      <c r="Q203" s="152">
        <v>1</v>
      </c>
      <c r="R203" s="152"/>
      <c r="S203" s="152">
        <v>1</v>
      </c>
      <c r="T203" s="152"/>
      <c r="U203" s="152"/>
      <c r="V203" s="152">
        <v>1</v>
      </c>
      <c r="W203" s="152">
        <v>2</v>
      </c>
      <c r="X203" s="152"/>
      <c r="Y203" s="152"/>
      <c r="Z203" s="152"/>
      <c r="AA203" s="152">
        <v>0</v>
      </c>
      <c r="AB203" s="152"/>
      <c r="AC203" s="152"/>
      <c r="AD203" s="152"/>
      <c r="AE203" s="152"/>
      <c r="AF203" s="152">
        <v>0</v>
      </c>
      <c r="AG203" s="152">
        <v>0</v>
      </c>
      <c r="AH203" s="152"/>
      <c r="AI203" s="152"/>
      <c r="AJ203" s="152"/>
      <c r="AK203" s="152">
        <v>0</v>
      </c>
      <c r="AL203" s="152"/>
      <c r="AM203" s="152"/>
      <c r="AN203" s="152"/>
      <c r="AO203" s="152"/>
      <c r="AP203" s="152">
        <v>0</v>
      </c>
      <c r="AQ203" s="152">
        <v>0</v>
      </c>
      <c r="AR203" s="152">
        <v>2</v>
      </c>
      <c r="AS203" s="152"/>
      <c r="AT203" s="152"/>
      <c r="AU203" s="152">
        <v>2</v>
      </c>
      <c r="AV203" s="152"/>
      <c r="AW203" s="152"/>
      <c r="AX203" s="152"/>
      <c r="AY203" s="152"/>
      <c r="AZ203" s="152">
        <v>0</v>
      </c>
      <c r="BA203" s="152">
        <v>2</v>
      </c>
      <c r="BB203" s="152"/>
      <c r="BC203" s="152"/>
      <c r="BD203" s="152">
        <v>0</v>
      </c>
      <c r="BE203" s="152"/>
      <c r="BF203" s="152"/>
      <c r="BG203" s="152"/>
      <c r="BH203" s="152"/>
      <c r="BI203" s="152">
        <v>0</v>
      </c>
      <c r="BJ203" s="152">
        <v>0</v>
      </c>
      <c r="BK203" s="152"/>
      <c r="BL203" s="152"/>
      <c r="BM203" s="152"/>
      <c r="BN203" s="152">
        <v>0</v>
      </c>
      <c r="BO203" s="152">
        <v>0</v>
      </c>
      <c r="BP203" s="152">
        <v>10</v>
      </c>
    </row>
    <row r="204" spans="1:68" x14ac:dyDescent="0.35">
      <c r="A204" s="146" t="s">
        <v>673</v>
      </c>
      <c r="B204" s="146" t="s">
        <v>674</v>
      </c>
      <c r="C204" s="152">
        <v>2</v>
      </c>
      <c r="D204" s="152"/>
      <c r="E204" s="152"/>
      <c r="F204" s="152"/>
      <c r="G204" s="152">
        <v>2</v>
      </c>
      <c r="H204" s="152">
        <v>5</v>
      </c>
      <c r="I204" s="152"/>
      <c r="J204" s="152"/>
      <c r="K204" s="152"/>
      <c r="L204" s="152">
        <v>5</v>
      </c>
      <c r="M204" s="152">
        <v>7</v>
      </c>
      <c r="N204" s="152"/>
      <c r="O204" s="152"/>
      <c r="P204" s="152"/>
      <c r="Q204" s="152">
        <v>0</v>
      </c>
      <c r="R204" s="152"/>
      <c r="S204" s="152"/>
      <c r="T204" s="152"/>
      <c r="U204" s="152"/>
      <c r="V204" s="152">
        <v>0</v>
      </c>
      <c r="W204" s="152">
        <v>0</v>
      </c>
      <c r="X204" s="152"/>
      <c r="Y204" s="152"/>
      <c r="Z204" s="152"/>
      <c r="AA204" s="152">
        <v>0</v>
      </c>
      <c r="AB204" s="152"/>
      <c r="AC204" s="152"/>
      <c r="AD204" s="152"/>
      <c r="AE204" s="152"/>
      <c r="AF204" s="152">
        <v>0</v>
      </c>
      <c r="AG204" s="152">
        <v>0</v>
      </c>
      <c r="AH204" s="152"/>
      <c r="AI204" s="152"/>
      <c r="AJ204" s="152"/>
      <c r="AK204" s="152">
        <v>0</v>
      </c>
      <c r="AL204" s="152"/>
      <c r="AM204" s="152"/>
      <c r="AN204" s="152"/>
      <c r="AO204" s="152"/>
      <c r="AP204" s="152">
        <v>0</v>
      </c>
      <c r="AQ204" s="152">
        <v>0</v>
      </c>
      <c r="AR204" s="152"/>
      <c r="AS204" s="152"/>
      <c r="AT204" s="152"/>
      <c r="AU204" s="152">
        <v>0</v>
      </c>
      <c r="AV204" s="152"/>
      <c r="AW204" s="152"/>
      <c r="AX204" s="152"/>
      <c r="AY204" s="152"/>
      <c r="AZ204" s="152">
        <v>0</v>
      </c>
      <c r="BA204" s="152">
        <v>0</v>
      </c>
      <c r="BB204" s="152"/>
      <c r="BC204" s="152"/>
      <c r="BD204" s="152">
        <v>0</v>
      </c>
      <c r="BE204" s="152"/>
      <c r="BF204" s="152"/>
      <c r="BG204" s="152"/>
      <c r="BH204" s="152"/>
      <c r="BI204" s="152">
        <v>0</v>
      </c>
      <c r="BJ204" s="152">
        <v>0</v>
      </c>
      <c r="BK204" s="152"/>
      <c r="BL204" s="152"/>
      <c r="BM204" s="152"/>
      <c r="BN204" s="152">
        <v>0</v>
      </c>
      <c r="BO204" s="152">
        <v>0</v>
      </c>
      <c r="BP204" s="152">
        <v>7</v>
      </c>
    </row>
    <row r="205" spans="1:68" x14ac:dyDescent="0.35">
      <c r="A205" s="146" t="s">
        <v>675</v>
      </c>
      <c r="B205" s="146" t="s">
        <v>154</v>
      </c>
      <c r="C205" s="152">
        <v>4</v>
      </c>
      <c r="D205" s="152"/>
      <c r="E205" s="152"/>
      <c r="F205" s="152"/>
      <c r="G205" s="152">
        <v>4</v>
      </c>
      <c r="H205" s="152">
        <v>17</v>
      </c>
      <c r="I205" s="152">
        <v>11</v>
      </c>
      <c r="J205" s="152">
        <v>1</v>
      </c>
      <c r="K205" s="152"/>
      <c r="L205" s="152">
        <v>29</v>
      </c>
      <c r="M205" s="152">
        <v>33</v>
      </c>
      <c r="N205" s="152"/>
      <c r="O205" s="152"/>
      <c r="P205" s="152"/>
      <c r="Q205" s="152">
        <v>0</v>
      </c>
      <c r="R205" s="152">
        <v>4</v>
      </c>
      <c r="S205" s="152">
        <v>6</v>
      </c>
      <c r="T205" s="152"/>
      <c r="U205" s="152"/>
      <c r="V205" s="152">
        <v>10</v>
      </c>
      <c r="W205" s="152">
        <v>10</v>
      </c>
      <c r="X205" s="152"/>
      <c r="Y205" s="152"/>
      <c r="Z205" s="152"/>
      <c r="AA205" s="152">
        <v>0</v>
      </c>
      <c r="AB205" s="152">
        <v>2</v>
      </c>
      <c r="AC205" s="152">
        <v>7</v>
      </c>
      <c r="AD205" s="152">
        <v>1</v>
      </c>
      <c r="AE205" s="152"/>
      <c r="AF205" s="152">
        <v>10</v>
      </c>
      <c r="AG205" s="152">
        <v>10</v>
      </c>
      <c r="AH205" s="152">
        <v>6</v>
      </c>
      <c r="AI205" s="152"/>
      <c r="AJ205" s="152"/>
      <c r="AK205" s="152">
        <v>6</v>
      </c>
      <c r="AL205" s="152">
        <v>1</v>
      </c>
      <c r="AM205" s="152"/>
      <c r="AN205" s="152"/>
      <c r="AO205" s="152"/>
      <c r="AP205" s="152">
        <v>1</v>
      </c>
      <c r="AQ205" s="152">
        <v>7</v>
      </c>
      <c r="AR205" s="152">
        <v>1</v>
      </c>
      <c r="AS205" s="152"/>
      <c r="AT205" s="152"/>
      <c r="AU205" s="152">
        <v>1</v>
      </c>
      <c r="AV205" s="152">
        <v>3</v>
      </c>
      <c r="AW205" s="152"/>
      <c r="AX205" s="152"/>
      <c r="AY205" s="152"/>
      <c r="AZ205" s="152">
        <v>3</v>
      </c>
      <c r="BA205" s="152">
        <v>4</v>
      </c>
      <c r="BB205" s="152">
        <v>2</v>
      </c>
      <c r="BC205" s="152"/>
      <c r="BD205" s="152">
        <v>2</v>
      </c>
      <c r="BE205" s="152">
        <v>3</v>
      </c>
      <c r="BF205" s="152">
        <v>2</v>
      </c>
      <c r="BG205" s="152"/>
      <c r="BH205" s="152"/>
      <c r="BI205" s="152">
        <v>5</v>
      </c>
      <c r="BJ205" s="152">
        <v>7</v>
      </c>
      <c r="BK205" s="152"/>
      <c r="BL205" s="152"/>
      <c r="BM205" s="152"/>
      <c r="BN205" s="152">
        <v>0</v>
      </c>
      <c r="BO205" s="152">
        <v>0</v>
      </c>
      <c r="BP205" s="152">
        <v>71</v>
      </c>
    </row>
    <row r="206" spans="1:68" x14ac:dyDescent="0.35">
      <c r="A206" s="146" t="s">
        <v>676</v>
      </c>
      <c r="B206" s="146" t="s">
        <v>156</v>
      </c>
      <c r="C206" s="152">
        <v>3</v>
      </c>
      <c r="D206" s="152"/>
      <c r="E206" s="152"/>
      <c r="F206" s="152"/>
      <c r="G206" s="152">
        <v>3</v>
      </c>
      <c r="H206" s="152">
        <v>13</v>
      </c>
      <c r="I206" s="152">
        <v>4</v>
      </c>
      <c r="J206" s="152"/>
      <c r="K206" s="152">
        <v>1</v>
      </c>
      <c r="L206" s="152">
        <v>18</v>
      </c>
      <c r="M206" s="152">
        <v>21</v>
      </c>
      <c r="N206" s="152">
        <v>1</v>
      </c>
      <c r="O206" s="152"/>
      <c r="P206" s="152"/>
      <c r="Q206" s="152">
        <v>1</v>
      </c>
      <c r="R206" s="152"/>
      <c r="S206" s="152"/>
      <c r="T206" s="152"/>
      <c r="U206" s="152"/>
      <c r="V206" s="152">
        <v>0</v>
      </c>
      <c r="W206" s="152">
        <v>1</v>
      </c>
      <c r="X206" s="152"/>
      <c r="Y206" s="152"/>
      <c r="Z206" s="152"/>
      <c r="AA206" s="152">
        <v>0</v>
      </c>
      <c r="AB206" s="152">
        <v>1</v>
      </c>
      <c r="AC206" s="152"/>
      <c r="AD206" s="152"/>
      <c r="AE206" s="152"/>
      <c r="AF206" s="152">
        <v>1</v>
      </c>
      <c r="AG206" s="152">
        <v>1</v>
      </c>
      <c r="AH206" s="152">
        <v>2</v>
      </c>
      <c r="AI206" s="152"/>
      <c r="AJ206" s="152"/>
      <c r="AK206" s="152">
        <v>2</v>
      </c>
      <c r="AL206" s="152"/>
      <c r="AM206" s="152"/>
      <c r="AN206" s="152"/>
      <c r="AO206" s="152"/>
      <c r="AP206" s="152">
        <v>0</v>
      </c>
      <c r="AQ206" s="152">
        <v>2</v>
      </c>
      <c r="AR206" s="152">
        <v>2</v>
      </c>
      <c r="AS206" s="152"/>
      <c r="AT206" s="152"/>
      <c r="AU206" s="152">
        <v>2</v>
      </c>
      <c r="AV206" s="152">
        <v>3</v>
      </c>
      <c r="AW206" s="152">
        <v>1</v>
      </c>
      <c r="AX206" s="152"/>
      <c r="AY206" s="152"/>
      <c r="AZ206" s="152">
        <v>4</v>
      </c>
      <c r="BA206" s="152">
        <v>6</v>
      </c>
      <c r="BB206" s="152">
        <v>1</v>
      </c>
      <c r="BC206" s="152"/>
      <c r="BD206" s="152">
        <v>1</v>
      </c>
      <c r="BE206" s="152">
        <v>1</v>
      </c>
      <c r="BF206" s="152">
        <v>1</v>
      </c>
      <c r="BG206" s="152"/>
      <c r="BH206" s="152"/>
      <c r="BI206" s="152">
        <v>2</v>
      </c>
      <c r="BJ206" s="152">
        <v>3</v>
      </c>
      <c r="BK206" s="152"/>
      <c r="BL206" s="152"/>
      <c r="BM206" s="152"/>
      <c r="BN206" s="152">
        <v>0</v>
      </c>
      <c r="BO206" s="152">
        <v>0</v>
      </c>
      <c r="BP206" s="152">
        <v>34</v>
      </c>
    </row>
    <row r="207" spans="1:68" x14ac:dyDescent="0.35">
      <c r="A207" s="146" t="s">
        <v>677</v>
      </c>
      <c r="B207" s="146" t="s">
        <v>678</v>
      </c>
      <c r="C207" s="152">
        <v>26</v>
      </c>
      <c r="D207" s="152"/>
      <c r="E207" s="152">
        <v>1</v>
      </c>
      <c r="F207" s="152"/>
      <c r="G207" s="152">
        <v>27</v>
      </c>
      <c r="H207" s="152">
        <v>16</v>
      </c>
      <c r="I207" s="152">
        <v>5</v>
      </c>
      <c r="J207" s="152"/>
      <c r="K207" s="152">
        <v>1</v>
      </c>
      <c r="L207" s="152">
        <v>22</v>
      </c>
      <c r="M207" s="152">
        <v>49</v>
      </c>
      <c r="N207" s="152">
        <v>4</v>
      </c>
      <c r="O207" s="152"/>
      <c r="P207" s="152"/>
      <c r="Q207" s="152">
        <v>4</v>
      </c>
      <c r="R207" s="152">
        <v>2</v>
      </c>
      <c r="S207" s="152">
        <v>4</v>
      </c>
      <c r="T207" s="152">
        <v>1</v>
      </c>
      <c r="U207" s="152"/>
      <c r="V207" s="152">
        <v>7</v>
      </c>
      <c r="W207" s="152">
        <v>11</v>
      </c>
      <c r="X207" s="152">
        <v>2</v>
      </c>
      <c r="Y207" s="152"/>
      <c r="Z207" s="152"/>
      <c r="AA207" s="152">
        <v>2</v>
      </c>
      <c r="AB207" s="152">
        <v>1</v>
      </c>
      <c r="AC207" s="152"/>
      <c r="AD207" s="152"/>
      <c r="AE207" s="152"/>
      <c r="AF207" s="152">
        <v>1</v>
      </c>
      <c r="AG207" s="152">
        <v>3</v>
      </c>
      <c r="AH207" s="152"/>
      <c r="AI207" s="152"/>
      <c r="AJ207" s="152"/>
      <c r="AK207" s="152">
        <v>0</v>
      </c>
      <c r="AL207" s="152">
        <v>1</v>
      </c>
      <c r="AM207" s="152"/>
      <c r="AN207" s="152"/>
      <c r="AO207" s="152"/>
      <c r="AP207" s="152">
        <v>1</v>
      </c>
      <c r="AQ207" s="152">
        <v>1</v>
      </c>
      <c r="AR207" s="152">
        <v>4</v>
      </c>
      <c r="AS207" s="152"/>
      <c r="AT207" s="152"/>
      <c r="AU207" s="152">
        <v>4</v>
      </c>
      <c r="AV207" s="152">
        <v>5</v>
      </c>
      <c r="AW207" s="152">
        <v>4</v>
      </c>
      <c r="AX207" s="152">
        <v>1</v>
      </c>
      <c r="AY207" s="152"/>
      <c r="AZ207" s="152">
        <v>10</v>
      </c>
      <c r="BA207" s="152">
        <v>14</v>
      </c>
      <c r="BB207" s="152">
        <v>3</v>
      </c>
      <c r="BC207" s="152"/>
      <c r="BD207" s="152">
        <v>3</v>
      </c>
      <c r="BE207" s="152">
        <v>1</v>
      </c>
      <c r="BF207" s="152">
        <v>1</v>
      </c>
      <c r="BG207" s="152"/>
      <c r="BH207" s="152"/>
      <c r="BI207" s="152">
        <v>2</v>
      </c>
      <c r="BJ207" s="152">
        <v>5</v>
      </c>
      <c r="BK207" s="152"/>
      <c r="BL207" s="152"/>
      <c r="BM207" s="152"/>
      <c r="BN207" s="152">
        <v>0</v>
      </c>
      <c r="BO207" s="152">
        <v>0</v>
      </c>
      <c r="BP207" s="152">
        <v>83</v>
      </c>
    </row>
    <row r="208" spans="1:68" x14ac:dyDescent="0.35">
      <c r="A208" s="146" t="s">
        <v>679</v>
      </c>
      <c r="B208" s="146" t="s">
        <v>680</v>
      </c>
      <c r="C208" s="152">
        <v>1</v>
      </c>
      <c r="D208" s="152"/>
      <c r="E208" s="152"/>
      <c r="F208" s="152"/>
      <c r="G208" s="152">
        <v>1</v>
      </c>
      <c r="H208" s="152">
        <v>1</v>
      </c>
      <c r="I208" s="152">
        <v>1</v>
      </c>
      <c r="J208" s="152"/>
      <c r="K208" s="152"/>
      <c r="L208" s="152">
        <v>2</v>
      </c>
      <c r="M208" s="152">
        <v>3</v>
      </c>
      <c r="N208" s="152"/>
      <c r="O208" s="152"/>
      <c r="P208" s="152"/>
      <c r="Q208" s="152">
        <v>0</v>
      </c>
      <c r="R208" s="152"/>
      <c r="S208" s="152"/>
      <c r="T208" s="152"/>
      <c r="U208" s="152"/>
      <c r="V208" s="152">
        <v>0</v>
      </c>
      <c r="W208" s="152">
        <v>0</v>
      </c>
      <c r="X208" s="152"/>
      <c r="Y208" s="152"/>
      <c r="Z208" s="152"/>
      <c r="AA208" s="152">
        <v>0</v>
      </c>
      <c r="AB208" s="152"/>
      <c r="AC208" s="152"/>
      <c r="AD208" s="152"/>
      <c r="AE208" s="152"/>
      <c r="AF208" s="152">
        <v>0</v>
      </c>
      <c r="AG208" s="152">
        <v>0</v>
      </c>
      <c r="AH208" s="152"/>
      <c r="AI208" s="152"/>
      <c r="AJ208" s="152"/>
      <c r="AK208" s="152">
        <v>0</v>
      </c>
      <c r="AL208" s="152"/>
      <c r="AM208" s="152"/>
      <c r="AN208" s="152"/>
      <c r="AO208" s="152"/>
      <c r="AP208" s="152">
        <v>0</v>
      </c>
      <c r="AQ208" s="152">
        <v>0</v>
      </c>
      <c r="AR208" s="152"/>
      <c r="AS208" s="152"/>
      <c r="AT208" s="152"/>
      <c r="AU208" s="152">
        <v>0</v>
      </c>
      <c r="AV208" s="152"/>
      <c r="AW208" s="152"/>
      <c r="AX208" s="152"/>
      <c r="AY208" s="152"/>
      <c r="AZ208" s="152">
        <v>0</v>
      </c>
      <c r="BA208" s="152">
        <v>0</v>
      </c>
      <c r="BB208" s="152"/>
      <c r="BC208" s="152"/>
      <c r="BD208" s="152">
        <v>0</v>
      </c>
      <c r="BE208" s="152"/>
      <c r="BF208" s="152"/>
      <c r="BG208" s="152"/>
      <c r="BH208" s="152"/>
      <c r="BI208" s="152">
        <v>0</v>
      </c>
      <c r="BJ208" s="152">
        <v>0</v>
      </c>
      <c r="BK208" s="152"/>
      <c r="BL208" s="152"/>
      <c r="BM208" s="152"/>
      <c r="BN208" s="152">
        <v>0</v>
      </c>
      <c r="BO208" s="152">
        <v>0</v>
      </c>
      <c r="BP208" s="152">
        <v>3</v>
      </c>
    </row>
    <row r="209" spans="1:68" x14ac:dyDescent="0.35">
      <c r="A209" s="146" t="s">
        <v>681</v>
      </c>
      <c r="B209" s="146" t="s">
        <v>682</v>
      </c>
      <c r="C209" s="152">
        <v>2</v>
      </c>
      <c r="D209" s="152"/>
      <c r="E209" s="152"/>
      <c r="F209" s="152"/>
      <c r="G209" s="152">
        <v>2</v>
      </c>
      <c r="H209" s="152">
        <v>11</v>
      </c>
      <c r="I209" s="152">
        <v>1</v>
      </c>
      <c r="J209" s="152">
        <v>2</v>
      </c>
      <c r="K209" s="152"/>
      <c r="L209" s="152">
        <v>14</v>
      </c>
      <c r="M209" s="152">
        <v>16</v>
      </c>
      <c r="N209" s="152"/>
      <c r="O209" s="152"/>
      <c r="P209" s="152"/>
      <c r="Q209" s="152">
        <v>0</v>
      </c>
      <c r="R209" s="152">
        <v>1</v>
      </c>
      <c r="S209" s="152">
        <v>1</v>
      </c>
      <c r="T209" s="152"/>
      <c r="U209" s="152"/>
      <c r="V209" s="152">
        <v>2</v>
      </c>
      <c r="W209" s="152">
        <v>2</v>
      </c>
      <c r="X209" s="152">
        <v>1</v>
      </c>
      <c r="Y209" s="152"/>
      <c r="Z209" s="152"/>
      <c r="AA209" s="152">
        <v>1</v>
      </c>
      <c r="AB209" s="152"/>
      <c r="AC209" s="152"/>
      <c r="AD209" s="152"/>
      <c r="AE209" s="152"/>
      <c r="AF209" s="152">
        <v>0</v>
      </c>
      <c r="AG209" s="152">
        <v>1</v>
      </c>
      <c r="AH209" s="152"/>
      <c r="AI209" s="152"/>
      <c r="AJ209" s="152"/>
      <c r="AK209" s="152">
        <v>0</v>
      </c>
      <c r="AL209" s="152"/>
      <c r="AM209" s="152"/>
      <c r="AN209" s="152">
        <v>1</v>
      </c>
      <c r="AO209" s="152"/>
      <c r="AP209" s="152">
        <v>1</v>
      </c>
      <c r="AQ209" s="152">
        <v>1</v>
      </c>
      <c r="AR209" s="152"/>
      <c r="AS209" s="152"/>
      <c r="AT209" s="152"/>
      <c r="AU209" s="152">
        <v>0</v>
      </c>
      <c r="AV209" s="152"/>
      <c r="AW209" s="152"/>
      <c r="AX209" s="152"/>
      <c r="AY209" s="152"/>
      <c r="AZ209" s="152">
        <v>0</v>
      </c>
      <c r="BA209" s="152">
        <v>0</v>
      </c>
      <c r="BB209" s="152">
        <v>1</v>
      </c>
      <c r="BC209" s="152"/>
      <c r="BD209" s="152">
        <v>1</v>
      </c>
      <c r="BE209" s="152">
        <v>2</v>
      </c>
      <c r="BF209" s="152"/>
      <c r="BG209" s="152"/>
      <c r="BH209" s="152"/>
      <c r="BI209" s="152">
        <v>2</v>
      </c>
      <c r="BJ209" s="152">
        <v>3</v>
      </c>
      <c r="BK209" s="152"/>
      <c r="BL209" s="152"/>
      <c r="BM209" s="152"/>
      <c r="BN209" s="152">
        <v>0</v>
      </c>
      <c r="BO209" s="152">
        <v>0</v>
      </c>
      <c r="BP209" s="152">
        <v>23</v>
      </c>
    </row>
    <row r="210" spans="1:68" x14ac:dyDescent="0.35">
      <c r="A210" s="146" t="s">
        <v>683</v>
      </c>
      <c r="B210" s="146" t="s">
        <v>684</v>
      </c>
      <c r="C210" s="152"/>
      <c r="D210" s="152"/>
      <c r="E210" s="152"/>
      <c r="F210" s="152"/>
      <c r="G210" s="152">
        <v>0</v>
      </c>
      <c r="H210" s="152">
        <v>5</v>
      </c>
      <c r="I210" s="152"/>
      <c r="J210" s="152">
        <v>1</v>
      </c>
      <c r="K210" s="152"/>
      <c r="L210" s="152">
        <v>6</v>
      </c>
      <c r="M210" s="152">
        <v>6</v>
      </c>
      <c r="N210" s="152"/>
      <c r="O210" s="152"/>
      <c r="P210" s="152"/>
      <c r="Q210" s="152">
        <v>0</v>
      </c>
      <c r="R210" s="152"/>
      <c r="S210" s="152"/>
      <c r="T210" s="152"/>
      <c r="U210" s="152"/>
      <c r="V210" s="152">
        <v>0</v>
      </c>
      <c r="W210" s="152">
        <v>0</v>
      </c>
      <c r="X210" s="152"/>
      <c r="Y210" s="152"/>
      <c r="Z210" s="152"/>
      <c r="AA210" s="152">
        <v>0</v>
      </c>
      <c r="AB210" s="152"/>
      <c r="AC210" s="152"/>
      <c r="AD210" s="152"/>
      <c r="AE210" s="152"/>
      <c r="AF210" s="152">
        <v>0</v>
      </c>
      <c r="AG210" s="152">
        <v>0</v>
      </c>
      <c r="AH210" s="152"/>
      <c r="AI210" s="152"/>
      <c r="AJ210" s="152"/>
      <c r="AK210" s="152">
        <v>0</v>
      </c>
      <c r="AL210" s="152"/>
      <c r="AM210" s="152"/>
      <c r="AN210" s="152"/>
      <c r="AO210" s="152"/>
      <c r="AP210" s="152">
        <v>0</v>
      </c>
      <c r="AQ210" s="152">
        <v>0</v>
      </c>
      <c r="AR210" s="152"/>
      <c r="AS210" s="152"/>
      <c r="AT210" s="152"/>
      <c r="AU210" s="152">
        <v>0</v>
      </c>
      <c r="AV210" s="152">
        <v>1</v>
      </c>
      <c r="AW210" s="152"/>
      <c r="AX210" s="152">
        <v>1</v>
      </c>
      <c r="AY210" s="152"/>
      <c r="AZ210" s="152">
        <v>2</v>
      </c>
      <c r="BA210" s="152">
        <v>2</v>
      </c>
      <c r="BB210" s="152"/>
      <c r="BC210" s="152"/>
      <c r="BD210" s="152">
        <v>0</v>
      </c>
      <c r="BE210" s="152"/>
      <c r="BF210" s="152"/>
      <c r="BG210" s="152"/>
      <c r="BH210" s="152"/>
      <c r="BI210" s="152">
        <v>0</v>
      </c>
      <c r="BJ210" s="152">
        <v>0</v>
      </c>
      <c r="BK210" s="152"/>
      <c r="BL210" s="152"/>
      <c r="BM210" s="152"/>
      <c r="BN210" s="152">
        <v>0</v>
      </c>
      <c r="BO210" s="152">
        <v>0</v>
      </c>
      <c r="BP210" s="152">
        <v>8</v>
      </c>
    </row>
    <row r="211" spans="1:68" x14ac:dyDescent="0.35">
      <c r="A211" s="146" t="s">
        <v>685</v>
      </c>
      <c r="B211" s="146" t="s">
        <v>686</v>
      </c>
      <c r="C211" s="152">
        <v>181</v>
      </c>
      <c r="D211" s="152"/>
      <c r="E211" s="152"/>
      <c r="F211" s="152"/>
      <c r="G211" s="152">
        <v>181</v>
      </c>
      <c r="H211" s="152">
        <v>41</v>
      </c>
      <c r="I211" s="152">
        <v>2</v>
      </c>
      <c r="J211" s="152"/>
      <c r="K211" s="152"/>
      <c r="L211" s="152">
        <v>43</v>
      </c>
      <c r="M211" s="152">
        <v>224</v>
      </c>
      <c r="N211" s="152">
        <v>9</v>
      </c>
      <c r="O211" s="152"/>
      <c r="P211" s="152"/>
      <c r="Q211" s="152">
        <v>9</v>
      </c>
      <c r="R211" s="152">
        <v>2</v>
      </c>
      <c r="S211" s="152"/>
      <c r="T211" s="152"/>
      <c r="U211" s="152"/>
      <c r="V211" s="152">
        <v>2</v>
      </c>
      <c r="W211" s="152">
        <v>11</v>
      </c>
      <c r="X211" s="152">
        <v>7</v>
      </c>
      <c r="Y211" s="152"/>
      <c r="Z211" s="152"/>
      <c r="AA211" s="152">
        <v>7</v>
      </c>
      <c r="AB211" s="152"/>
      <c r="AC211" s="152"/>
      <c r="AD211" s="152"/>
      <c r="AE211" s="152"/>
      <c r="AF211" s="152">
        <v>0</v>
      </c>
      <c r="AG211" s="152">
        <v>7</v>
      </c>
      <c r="AH211" s="152">
        <v>4</v>
      </c>
      <c r="AI211" s="152"/>
      <c r="AJ211" s="152"/>
      <c r="AK211" s="152">
        <v>4</v>
      </c>
      <c r="AL211" s="152">
        <v>1</v>
      </c>
      <c r="AM211" s="152"/>
      <c r="AN211" s="152"/>
      <c r="AO211" s="152"/>
      <c r="AP211" s="152">
        <v>1</v>
      </c>
      <c r="AQ211" s="152">
        <v>5</v>
      </c>
      <c r="AR211" s="152">
        <v>53</v>
      </c>
      <c r="AS211" s="152">
        <v>2</v>
      </c>
      <c r="AT211" s="152"/>
      <c r="AU211" s="152">
        <v>55</v>
      </c>
      <c r="AV211" s="152">
        <v>22</v>
      </c>
      <c r="AW211" s="152">
        <v>1</v>
      </c>
      <c r="AX211" s="152"/>
      <c r="AY211" s="152"/>
      <c r="AZ211" s="152">
        <v>23</v>
      </c>
      <c r="BA211" s="152">
        <v>78</v>
      </c>
      <c r="BB211" s="152">
        <v>11</v>
      </c>
      <c r="BC211" s="152"/>
      <c r="BD211" s="152">
        <v>11</v>
      </c>
      <c r="BE211" s="152">
        <v>2</v>
      </c>
      <c r="BF211" s="152"/>
      <c r="BG211" s="152"/>
      <c r="BH211" s="152"/>
      <c r="BI211" s="152">
        <v>2</v>
      </c>
      <c r="BJ211" s="152">
        <v>13</v>
      </c>
      <c r="BK211" s="152"/>
      <c r="BL211" s="152"/>
      <c r="BM211" s="152"/>
      <c r="BN211" s="152">
        <v>0</v>
      </c>
      <c r="BO211" s="152">
        <v>0</v>
      </c>
      <c r="BP211" s="152">
        <v>338</v>
      </c>
    </row>
    <row r="212" spans="1:68" x14ac:dyDescent="0.35">
      <c r="A212" s="146" t="s">
        <v>687</v>
      </c>
      <c r="B212" s="146" t="s">
        <v>160</v>
      </c>
      <c r="C212" s="152">
        <v>1</v>
      </c>
      <c r="D212" s="152"/>
      <c r="E212" s="152"/>
      <c r="F212" s="152"/>
      <c r="G212" s="152">
        <v>1</v>
      </c>
      <c r="H212" s="152">
        <v>24</v>
      </c>
      <c r="I212" s="152">
        <v>1</v>
      </c>
      <c r="J212" s="152"/>
      <c r="K212" s="152"/>
      <c r="L212" s="152">
        <v>25</v>
      </c>
      <c r="M212" s="152">
        <v>26</v>
      </c>
      <c r="N212" s="152">
        <v>2</v>
      </c>
      <c r="O212" s="152"/>
      <c r="P212" s="152"/>
      <c r="Q212" s="152">
        <v>2</v>
      </c>
      <c r="R212" s="152">
        <v>1</v>
      </c>
      <c r="S212" s="152">
        <v>1</v>
      </c>
      <c r="T212" s="152"/>
      <c r="U212" s="152"/>
      <c r="V212" s="152">
        <v>2</v>
      </c>
      <c r="W212" s="152">
        <v>4</v>
      </c>
      <c r="X212" s="152"/>
      <c r="Y212" s="152"/>
      <c r="Z212" s="152"/>
      <c r="AA212" s="152">
        <v>0</v>
      </c>
      <c r="AB212" s="152">
        <v>1</v>
      </c>
      <c r="AC212" s="152">
        <v>1</v>
      </c>
      <c r="AD212" s="152"/>
      <c r="AE212" s="152"/>
      <c r="AF212" s="152">
        <v>2</v>
      </c>
      <c r="AG212" s="152">
        <v>2</v>
      </c>
      <c r="AH212" s="152">
        <v>1</v>
      </c>
      <c r="AI212" s="152"/>
      <c r="AJ212" s="152"/>
      <c r="AK212" s="152">
        <v>1</v>
      </c>
      <c r="AL212" s="152">
        <v>1</v>
      </c>
      <c r="AM212" s="152">
        <v>1</v>
      </c>
      <c r="AN212" s="152"/>
      <c r="AO212" s="152"/>
      <c r="AP212" s="152">
        <v>2</v>
      </c>
      <c r="AQ212" s="152">
        <v>3</v>
      </c>
      <c r="AR212" s="152"/>
      <c r="AS212" s="152"/>
      <c r="AT212" s="152"/>
      <c r="AU212" s="152">
        <v>0</v>
      </c>
      <c r="AV212" s="152">
        <v>3</v>
      </c>
      <c r="AW212" s="152"/>
      <c r="AX212" s="152"/>
      <c r="AY212" s="152"/>
      <c r="AZ212" s="152">
        <v>3</v>
      </c>
      <c r="BA212" s="152">
        <v>3</v>
      </c>
      <c r="BB212" s="152">
        <v>1</v>
      </c>
      <c r="BC212" s="152"/>
      <c r="BD212" s="152">
        <v>1</v>
      </c>
      <c r="BE212" s="152">
        <v>1</v>
      </c>
      <c r="BF212" s="152">
        <v>1</v>
      </c>
      <c r="BG212" s="152"/>
      <c r="BH212" s="152"/>
      <c r="BI212" s="152">
        <v>2</v>
      </c>
      <c r="BJ212" s="152">
        <v>3</v>
      </c>
      <c r="BK212" s="152"/>
      <c r="BL212" s="152"/>
      <c r="BM212" s="152"/>
      <c r="BN212" s="152">
        <v>0</v>
      </c>
      <c r="BO212" s="152">
        <v>0</v>
      </c>
      <c r="BP212" s="152">
        <v>41</v>
      </c>
    </row>
    <row r="213" spans="1:68" x14ac:dyDescent="0.35">
      <c r="A213" s="146" t="s">
        <v>688</v>
      </c>
      <c r="B213" s="146" t="s">
        <v>689</v>
      </c>
      <c r="C213" s="152">
        <v>235</v>
      </c>
      <c r="D213" s="152">
        <v>2</v>
      </c>
      <c r="E213" s="152">
        <v>2</v>
      </c>
      <c r="F213" s="152"/>
      <c r="G213" s="152">
        <v>239</v>
      </c>
      <c r="H213" s="152">
        <v>1062</v>
      </c>
      <c r="I213" s="152">
        <v>263</v>
      </c>
      <c r="J213" s="152">
        <v>137</v>
      </c>
      <c r="K213" s="152">
        <v>62</v>
      </c>
      <c r="L213" s="152">
        <v>1524</v>
      </c>
      <c r="M213" s="152">
        <v>1763</v>
      </c>
      <c r="N213" s="152">
        <v>22</v>
      </c>
      <c r="O213" s="152"/>
      <c r="P213" s="152"/>
      <c r="Q213" s="152">
        <v>22</v>
      </c>
      <c r="R213" s="152">
        <v>23</v>
      </c>
      <c r="S213" s="152">
        <v>2</v>
      </c>
      <c r="T213" s="152">
        <v>1</v>
      </c>
      <c r="U213" s="152"/>
      <c r="V213" s="152">
        <v>26</v>
      </c>
      <c r="W213" s="152">
        <v>48</v>
      </c>
      <c r="X213" s="152">
        <v>8</v>
      </c>
      <c r="Y213" s="152"/>
      <c r="Z213" s="152"/>
      <c r="AA213" s="152">
        <v>8</v>
      </c>
      <c r="AB213" s="152">
        <v>22</v>
      </c>
      <c r="AC213" s="152">
        <v>3</v>
      </c>
      <c r="AD213" s="152">
        <v>2</v>
      </c>
      <c r="AE213" s="152"/>
      <c r="AF213" s="152">
        <v>27</v>
      </c>
      <c r="AG213" s="152">
        <v>35</v>
      </c>
      <c r="AH213" s="152">
        <v>7</v>
      </c>
      <c r="AI213" s="152">
        <v>1</v>
      </c>
      <c r="AJ213" s="152"/>
      <c r="AK213" s="152">
        <v>8</v>
      </c>
      <c r="AL213" s="152">
        <v>7</v>
      </c>
      <c r="AM213" s="152"/>
      <c r="AN213" s="152"/>
      <c r="AO213" s="152"/>
      <c r="AP213" s="152">
        <v>7</v>
      </c>
      <c r="AQ213" s="152">
        <v>15</v>
      </c>
      <c r="AR213" s="152">
        <v>75</v>
      </c>
      <c r="AS213" s="152"/>
      <c r="AT213" s="152"/>
      <c r="AU213" s="152">
        <v>75</v>
      </c>
      <c r="AV213" s="152">
        <v>141</v>
      </c>
      <c r="AW213" s="152">
        <v>13</v>
      </c>
      <c r="AX213" s="152">
        <v>4</v>
      </c>
      <c r="AY213" s="152"/>
      <c r="AZ213" s="152">
        <v>158</v>
      </c>
      <c r="BA213" s="152">
        <v>233</v>
      </c>
      <c r="BB213" s="152">
        <v>14</v>
      </c>
      <c r="BC213" s="152"/>
      <c r="BD213" s="152">
        <v>14</v>
      </c>
      <c r="BE213" s="152">
        <v>18</v>
      </c>
      <c r="BF213" s="152">
        <v>3</v>
      </c>
      <c r="BG213" s="152">
        <v>1</v>
      </c>
      <c r="BH213" s="152"/>
      <c r="BI213" s="152">
        <v>22</v>
      </c>
      <c r="BJ213" s="152">
        <v>36</v>
      </c>
      <c r="BK213" s="152"/>
      <c r="BL213" s="152"/>
      <c r="BM213" s="152"/>
      <c r="BN213" s="152">
        <v>0</v>
      </c>
      <c r="BO213" s="152">
        <v>0</v>
      </c>
      <c r="BP213" s="152">
        <v>2130</v>
      </c>
    </row>
    <row r="214" spans="1:68" x14ac:dyDescent="0.35">
      <c r="A214" s="146" t="s">
        <v>690</v>
      </c>
      <c r="B214" s="146" t="s">
        <v>691</v>
      </c>
      <c r="C214" s="152">
        <v>15</v>
      </c>
      <c r="D214" s="152"/>
      <c r="E214" s="152">
        <v>1</v>
      </c>
      <c r="F214" s="152"/>
      <c r="G214" s="152">
        <v>16</v>
      </c>
      <c r="H214" s="152">
        <v>149</v>
      </c>
      <c r="I214" s="152">
        <v>54</v>
      </c>
      <c r="J214" s="152">
        <v>24</v>
      </c>
      <c r="K214" s="152">
        <v>5</v>
      </c>
      <c r="L214" s="152">
        <v>232</v>
      </c>
      <c r="M214" s="152">
        <v>248</v>
      </c>
      <c r="N214" s="152"/>
      <c r="O214" s="152"/>
      <c r="P214" s="152"/>
      <c r="Q214" s="152">
        <v>0</v>
      </c>
      <c r="R214" s="152">
        <v>4</v>
      </c>
      <c r="S214" s="152">
        <v>2</v>
      </c>
      <c r="T214" s="152"/>
      <c r="U214" s="152"/>
      <c r="V214" s="152">
        <v>6</v>
      </c>
      <c r="W214" s="152">
        <v>6</v>
      </c>
      <c r="X214" s="152">
        <v>2</v>
      </c>
      <c r="Y214" s="152"/>
      <c r="Z214" s="152"/>
      <c r="AA214" s="152">
        <v>2</v>
      </c>
      <c r="AB214" s="152">
        <v>6</v>
      </c>
      <c r="AC214" s="152"/>
      <c r="AD214" s="152"/>
      <c r="AE214" s="152"/>
      <c r="AF214" s="152">
        <v>6</v>
      </c>
      <c r="AG214" s="152">
        <v>8</v>
      </c>
      <c r="AH214" s="152">
        <v>1</v>
      </c>
      <c r="AI214" s="152"/>
      <c r="AJ214" s="152"/>
      <c r="AK214" s="152">
        <v>1</v>
      </c>
      <c r="AL214" s="152">
        <v>4</v>
      </c>
      <c r="AM214" s="152"/>
      <c r="AN214" s="152"/>
      <c r="AO214" s="152"/>
      <c r="AP214" s="152">
        <v>4</v>
      </c>
      <c r="AQ214" s="152">
        <v>5</v>
      </c>
      <c r="AR214" s="152">
        <v>9</v>
      </c>
      <c r="AS214" s="152"/>
      <c r="AT214" s="152"/>
      <c r="AU214" s="152">
        <v>9</v>
      </c>
      <c r="AV214" s="152">
        <v>22</v>
      </c>
      <c r="AW214" s="152">
        <v>4</v>
      </c>
      <c r="AX214" s="152">
        <v>1</v>
      </c>
      <c r="AY214" s="152"/>
      <c r="AZ214" s="152">
        <v>27</v>
      </c>
      <c r="BA214" s="152">
        <v>36</v>
      </c>
      <c r="BB214" s="152">
        <v>1</v>
      </c>
      <c r="BC214" s="152"/>
      <c r="BD214" s="152">
        <v>1</v>
      </c>
      <c r="BE214" s="152">
        <v>4</v>
      </c>
      <c r="BF214" s="152"/>
      <c r="BG214" s="152"/>
      <c r="BH214" s="152"/>
      <c r="BI214" s="152">
        <v>4</v>
      </c>
      <c r="BJ214" s="152">
        <v>5</v>
      </c>
      <c r="BK214" s="152"/>
      <c r="BL214" s="152"/>
      <c r="BM214" s="152"/>
      <c r="BN214" s="152">
        <v>0</v>
      </c>
      <c r="BO214" s="152">
        <v>0</v>
      </c>
      <c r="BP214" s="152">
        <v>308</v>
      </c>
    </row>
    <row r="215" spans="1:68" x14ac:dyDescent="0.35">
      <c r="A215" s="146" t="s">
        <v>692</v>
      </c>
      <c r="B215" s="146" t="s">
        <v>693</v>
      </c>
      <c r="C215" s="152">
        <v>5</v>
      </c>
      <c r="D215" s="152"/>
      <c r="E215" s="152"/>
      <c r="F215" s="152"/>
      <c r="G215" s="152">
        <v>5</v>
      </c>
      <c r="H215" s="152">
        <v>46</v>
      </c>
      <c r="I215" s="152">
        <v>30</v>
      </c>
      <c r="J215" s="152">
        <v>12</v>
      </c>
      <c r="K215" s="152">
        <v>17</v>
      </c>
      <c r="L215" s="152">
        <v>105</v>
      </c>
      <c r="M215" s="152">
        <v>110</v>
      </c>
      <c r="N215" s="152">
        <v>1</v>
      </c>
      <c r="O215" s="152"/>
      <c r="P215" s="152"/>
      <c r="Q215" s="152">
        <v>1</v>
      </c>
      <c r="R215" s="152"/>
      <c r="S215" s="152"/>
      <c r="T215" s="152"/>
      <c r="U215" s="152"/>
      <c r="V215" s="152">
        <v>0</v>
      </c>
      <c r="W215" s="152">
        <v>1</v>
      </c>
      <c r="X215" s="152"/>
      <c r="Y215" s="152"/>
      <c r="Z215" s="152"/>
      <c r="AA215" s="152">
        <v>0</v>
      </c>
      <c r="AB215" s="152">
        <v>2</v>
      </c>
      <c r="AC215" s="152"/>
      <c r="AD215" s="152"/>
      <c r="AE215" s="152"/>
      <c r="AF215" s="152">
        <v>2</v>
      </c>
      <c r="AG215" s="152">
        <v>2</v>
      </c>
      <c r="AH215" s="152">
        <v>1</v>
      </c>
      <c r="AI215" s="152"/>
      <c r="AJ215" s="152"/>
      <c r="AK215" s="152">
        <v>1</v>
      </c>
      <c r="AL215" s="152"/>
      <c r="AM215" s="152">
        <v>1</v>
      </c>
      <c r="AN215" s="152"/>
      <c r="AO215" s="152"/>
      <c r="AP215" s="152">
        <v>1</v>
      </c>
      <c r="AQ215" s="152">
        <v>2</v>
      </c>
      <c r="AR215" s="152">
        <v>4</v>
      </c>
      <c r="AS215" s="152"/>
      <c r="AT215" s="152"/>
      <c r="AU215" s="152">
        <v>4</v>
      </c>
      <c r="AV215" s="152">
        <v>11</v>
      </c>
      <c r="AW215" s="152">
        <v>2</v>
      </c>
      <c r="AX215" s="152"/>
      <c r="AY215" s="152">
        <v>1</v>
      </c>
      <c r="AZ215" s="152">
        <v>14</v>
      </c>
      <c r="BA215" s="152">
        <v>18</v>
      </c>
      <c r="BB215" s="152">
        <v>1</v>
      </c>
      <c r="BC215" s="152"/>
      <c r="BD215" s="152">
        <v>1</v>
      </c>
      <c r="BE215" s="152">
        <v>1</v>
      </c>
      <c r="BF215" s="152"/>
      <c r="BG215" s="152"/>
      <c r="BH215" s="152"/>
      <c r="BI215" s="152">
        <v>1</v>
      </c>
      <c r="BJ215" s="152">
        <v>2</v>
      </c>
      <c r="BK215" s="152"/>
      <c r="BL215" s="152"/>
      <c r="BM215" s="152"/>
      <c r="BN215" s="152">
        <v>0</v>
      </c>
      <c r="BO215" s="152">
        <v>0</v>
      </c>
      <c r="BP215" s="152">
        <v>135</v>
      </c>
    </row>
    <row r="216" spans="1:68" x14ac:dyDescent="0.35">
      <c r="A216" s="146" t="s">
        <v>694</v>
      </c>
      <c r="B216" s="146" t="s">
        <v>695</v>
      </c>
      <c r="C216" s="152">
        <v>5</v>
      </c>
      <c r="D216" s="152">
        <v>1</v>
      </c>
      <c r="E216" s="152">
        <v>1</v>
      </c>
      <c r="F216" s="152"/>
      <c r="G216" s="152">
        <v>7</v>
      </c>
      <c r="H216" s="152">
        <v>50</v>
      </c>
      <c r="I216" s="152">
        <v>19</v>
      </c>
      <c r="J216" s="152">
        <v>6</v>
      </c>
      <c r="K216" s="152">
        <v>4</v>
      </c>
      <c r="L216" s="152">
        <v>79</v>
      </c>
      <c r="M216" s="152">
        <v>86</v>
      </c>
      <c r="N216" s="152"/>
      <c r="O216" s="152"/>
      <c r="P216" s="152"/>
      <c r="Q216" s="152">
        <v>0</v>
      </c>
      <c r="R216" s="152">
        <v>1</v>
      </c>
      <c r="S216" s="152"/>
      <c r="T216" s="152"/>
      <c r="U216" s="152"/>
      <c r="V216" s="152">
        <v>1</v>
      </c>
      <c r="W216" s="152">
        <v>1</v>
      </c>
      <c r="X216" s="152">
        <v>1</v>
      </c>
      <c r="Y216" s="152"/>
      <c r="Z216" s="152"/>
      <c r="AA216" s="152">
        <v>1</v>
      </c>
      <c r="AB216" s="152">
        <v>3</v>
      </c>
      <c r="AC216" s="152"/>
      <c r="AD216" s="152"/>
      <c r="AE216" s="152"/>
      <c r="AF216" s="152">
        <v>3</v>
      </c>
      <c r="AG216" s="152">
        <v>4</v>
      </c>
      <c r="AH216" s="152">
        <v>2</v>
      </c>
      <c r="AI216" s="152"/>
      <c r="AJ216" s="152"/>
      <c r="AK216" s="152">
        <v>2</v>
      </c>
      <c r="AL216" s="152">
        <v>1</v>
      </c>
      <c r="AM216" s="152">
        <v>1</v>
      </c>
      <c r="AN216" s="152"/>
      <c r="AO216" s="152"/>
      <c r="AP216" s="152">
        <v>2</v>
      </c>
      <c r="AQ216" s="152">
        <v>4</v>
      </c>
      <c r="AR216" s="152">
        <v>1</v>
      </c>
      <c r="AS216" s="152"/>
      <c r="AT216" s="152"/>
      <c r="AU216" s="152">
        <v>1</v>
      </c>
      <c r="AV216" s="152">
        <v>5</v>
      </c>
      <c r="AW216" s="152">
        <v>2</v>
      </c>
      <c r="AX216" s="152"/>
      <c r="AY216" s="152"/>
      <c r="AZ216" s="152">
        <v>7</v>
      </c>
      <c r="BA216" s="152">
        <v>8</v>
      </c>
      <c r="BB216" s="152"/>
      <c r="BC216" s="152"/>
      <c r="BD216" s="152">
        <v>0</v>
      </c>
      <c r="BE216" s="152">
        <v>1</v>
      </c>
      <c r="BF216" s="152"/>
      <c r="BG216" s="152"/>
      <c r="BH216" s="152"/>
      <c r="BI216" s="152">
        <v>1</v>
      </c>
      <c r="BJ216" s="152">
        <v>1</v>
      </c>
      <c r="BK216" s="152"/>
      <c r="BL216" s="152"/>
      <c r="BM216" s="152"/>
      <c r="BN216" s="152">
        <v>0</v>
      </c>
      <c r="BO216" s="152">
        <v>0</v>
      </c>
      <c r="BP216" s="152">
        <v>104</v>
      </c>
    </row>
    <row r="217" spans="1:68" x14ac:dyDescent="0.35">
      <c r="A217" s="146" t="s">
        <v>696</v>
      </c>
      <c r="B217" s="146" t="s">
        <v>697</v>
      </c>
      <c r="C217" s="152">
        <v>86</v>
      </c>
      <c r="D217" s="152">
        <v>11</v>
      </c>
      <c r="E217" s="152">
        <v>1</v>
      </c>
      <c r="F217" s="152"/>
      <c r="G217" s="152">
        <v>98</v>
      </c>
      <c r="H217" s="152">
        <v>857</v>
      </c>
      <c r="I217" s="152">
        <v>328</v>
      </c>
      <c r="J217" s="152">
        <v>74</v>
      </c>
      <c r="K217" s="152">
        <v>14</v>
      </c>
      <c r="L217" s="152">
        <v>1273</v>
      </c>
      <c r="M217" s="152">
        <v>1371</v>
      </c>
      <c r="N217" s="152">
        <v>11</v>
      </c>
      <c r="O217" s="152"/>
      <c r="P217" s="152"/>
      <c r="Q217" s="152">
        <v>11</v>
      </c>
      <c r="R217" s="152">
        <v>17</v>
      </c>
      <c r="S217" s="152">
        <v>3</v>
      </c>
      <c r="T217" s="152"/>
      <c r="U217" s="152"/>
      <c r="V217" s="152">
        <v>20</v>
      </c>
      <c r="W217" s="152">
        <v>31</v>
      </c>
      <c r="X217" s="152">
        <v>4</v>
      </c>
      <c r="Y217" s="152"/>
      <c r="Z217" s="152"/>
      <c r="AA217" s="152">
        <v>4</v>
      </c>
      <c r="AB217" s="152">
        <v>12</v>
      </c>
      <c r="AC217" s="152">
        <v>5</v>
      </c>
      <c r="AD217" s="152"/>
      <c r="AE217" s="152"/>
      <c r="AF217" s="152">
        <v>17</v>
      </c>
      <c r="AG217" s="152">
        <v>21</v>
      </c>
      <c r="AH217" s="152">
        <v>5</v>
      </c>
      <c r="AI217" s="152">
        <v>1</v>
      </c>
      <c r="AJ217" s="152"/>
      <c r="AK217" s="152">
        <v>6</v>
      </c>
      <c r="AL217" s="152">
        <v>27</v>
      </c>
      <c r="AM217" s="152">
        <v>10</v>
      </c>
      <c r="AN217" s="152">
        <v>1</v>
      </c>
      <c r="AO217" s="152"/>
      <c r="AP217" s="152">
        <v>38</v>
      </c>
      <c r="AQ217" s="152">
        <v>44</v>
      </c>
      <c r="AR217" s="152">
        <v>25</v>
      </c>
      <c r="AS217" s="152"/>
      <c r="AT217" s="152"/>
      <c r="AU217" s="152">
        <v>25</v>
      </c>
      <c r="AV217" s="152">
        <v>121</v>
      </c>
      <c r="AW217" s="152">
        <v>25</v>
      </c>
      <c r="AX217" s="152">
        <v>2</v>
      </c>
      <c r="AY217" s="152">
        <v>2</v>
      </c>
      <c r="AZ217" s="152">
        <v>150</v>
      </c>
      <c r="BA217" s="152">
        <v>175</v>
      </c>
      <c r="BB217" s="152">
        <v>7</v>
      </c>
      <c r="BC217" s="152"/>
      <c r="BD217" s="152">
        <v>7</v>
      </c>
      <c r="BE217" s="152">
        <v>22</v>
      </c>
      <c r="BF217" s="152">
        <v>3</v>
      </c>
      <c r="BG217" s="152"/>
      <c r="BH217" s="152"/>
      <c r="BI217" s="152">
        <v>25</v>
      </c>
      <c r="BJ217" s="152">
        <v>32</v>
      </c>
      <c r="BK217" s="152"/>
      <c r="BL217" s="152"/>
      <c r="BM217" s="152"/>
      <c r="BN217" s="152">
        <v>0</v>
      </c>
      <c r="BO217" s="152">
        <v>0</v>
      </c>
      <c r="BP217" s="152">
        <v>1674</v>
      </c>
    </row>
    <row r="218" spans="1:68" x14ac:dyDescent="0.35">
      <c r="A218" s="146" t="s">
        <v>698</v>
      </c>
      <c r="B218" s="146" t="s">
        <v>699</v>
      </c>
      <c r="C218" s="152">
        <v>3</v>
      </c>
      <c r="D218" s="152"/>
      <c r="E218" s="152"/>
      <c r="F218" s="152"/>
      <c r="G218" s="152">
        <v>3</v>
      </c>
      <c r="H218" s="152">
        <v>16</v>
      </c>
      <c r="I218" s="152">
        <v>1</v>
      </c>
      <c r="J218" s="152">
        <v>1</v>
      </c>
      <c r="K218" s="152"/>
      <c r="L218" s="152">
        <v>18</v>
      </c>
      <c r="M218" s="152">
        <v>21</v>
      </c>
      <c r="N218" s="152"/>
      <c r="O218" s="152"/>
      <c r="P218" s="152"/>
      <c r="Q218" s="152">
        <v>0</v>
      </c>
      <c r="R218" s="152"/>
      <c r="S218" s="152"/>
      <c r="T218" s="152"/>
      <c r="U218" s="152"/>
      <c r="V218" s="152">
        <v>0</v>
      </c>
      <c r="W218" s="152">
        <v>0</v>
      </c>
      <c r="X218" s="152"/>
      <c r="Y218" s="152"/>
      <c r="Z218" s="152"/>
      <c r="AA218" s="152">
        <v>0</v>
      </c>
      <c r="AB218" s="152"/>
      <c r="AC218" s="152"/>
      <c r="AD218" s="152"/>
      <c r="AE218" s="152"/>
      <c r="AF218" s="152">
        <v>0</v>
      </c>
      <c r="AG218" s="152">
        <v>0</v>
      </c>
      <c r="AH218" s="152"/>
      <c r="AI218" s="152"/>
      <c r="AJ218" s="152"/>
      <c r="AK218" s="152">
        <v>0</v>
      </c>
      <c r="AL218" s="152"/>
      <c r="AM218" s="152"/>
      <c r="AN218" s="152"/>
      <c r="AO218" s="152"/>
      <c r="AP218" s="152">
        <v>0</v>
      </c>
      <c r="AQ218" s="152">
        <v>0</v>
      </c>
      <c r="AR218" s="152"/>
      <c r="AS218" s="152"/>
      <c r="AT218" s="152"/>
      <c r="AU218" s="152">
        <v>0</v>
      </c>
      <c r="AV218" s="152">
        <v>3</v>
      </c>
      <c r="AW218" s="152"/>
      <c r="AX218" s="152"/>
      <c r="AY218" s="152"/>
      <c r="AZ218" s="152">
        <v>3</v>
      </c>
      <c r="BA218" s="152">
        <v>3</v>
      </c>
      <c r="BB218" s="152">
        <v>1</v>
      </c>
      <c r="BC218" s="152"/>
      <c r="BD218" s="152">
        <v>1</v>
      </c>
      <c r="BE218" s="152"/>
      <c r="BF218" s="152"/>
      <c r="BG218" s="152"/>
      <c r="BH218" s="152"/>
      <c r="BI218" s="152">
        <v>0</v>
      </c>
      <c r="BJ218" s="152">
        <v>1</v>
      </c>
      <c r="BK218" s="152"/>
      <c r="BL218" s="152"/>
      <c r="BM218" s="152"/>
      <c r="BN218" s="152">
        <v>0</v>
      </c>
      <c r="BO218" s="152">
        <v>0</v>
      </c>
      <c r="BP218" s="152">
        <v>25</v>
      </c>
    </row>
    <row r="219" spans="1:68" x14ac:dyDescent="0.35">
      <c r="A219" s="146" t="s">
        <v>700</v>
      </c>
      <c r="B219" s="146" t="s">
        <v>701</v>
      </c>
      <c r="C219" s="152">
        <v>14</v>
      </c>
      <c r="D219" s="152"/>
      <c r="E219" s="152">
        <v>1</v>
      </c>
      <c r="F219" s="152"/>
      <c r="G219" s="152">
        <v>15</v>
      </c>
      <c r="H219" s="152">
        <v>63</v>
      </c>
      <c r="I219" s="152">
        <v>25</v>
      </c>
      <c r="J219" s="152">
        <v>6</v>
      </c>
      <c r="K219" s="152">
        <v>1</v>
      </c>
      <c r="L219" s="152">
        <v>95</v>
      </c>
      <c r="M219" s="152">
        <v>110</v>
      </c>
      <c r="N219" s="152">
        <v>1</v>
      </c>
      <c r="O219" s="152"/>
      <c r="P219" s="152"/>
      <c r="Q219" s="152">
        <v>1</v>
      </c>
      <c r="R219" s="152">
        <v>4</v>
      </c>
      <c r="S219" s="152"/>
      <c r="T219" s="152"/>
      <c r="U219" s="152"/>
      <c r="V219" s="152">
        <v>4</v>
      </c>
      <c r="W219" s="152">
        <v>5</v>
      </c>
      <c r="X219" s="152">
        <v>1</v>
      </c>
      <c r="Y219" s="152"/>
      <c r="Z219" s="152"/>
      <c r="AA219" s="152">
        <v>1</v>
      </c>
      <c r="AB219" s="152">
        <v>1</v>
      </c>
      <c r="AC219" s="152"/>
      <c r="AD219" s="152"/>
      <c r="AE219" s="152"/>
      <c r="AF219" s="152">
        <v>1</v>
      </c>
      <c r="AG219" s="152">
        <v>2</v>
      </c>
      <c r="AH219" s="152"/>
      <c r="AI219" s="152"/>
      <c r="AJ219" s="152"/>
      <c r="AK219" s="152">
        <v>0</v>
      </c>
      <c r="AL219" s="152">
        <v>8</v>
      </c>
      <c r="AM219" s="152">
        <v>3</v>
      </c>
      <c r="AN219" s="152"/>
      <c r="AO219" s="152"/>
      <c r="AP219" s="152">
        <v>11</v>
      </c>
      <c r="AQ219" s="152">
        <v>11</v>
      </c>
      <c r="AR219" s="152">
        <v>6</v>
      </c>
      <c r="AS219" s="152"/>
      <c r="AT219" s="152"/>
      <c r="AU219" s="152">
        <v>6</v>
      </c>
      <c r="AV219" s="152">
        <v>10</v>
      </c>
      <c r="AW219" s="152">
        <v>8</v>
      </c>
      <c r="AX219" s="152"/>
      <c r="AY219" s="152"/>
      <c r="AZ219" s="152">
        <v>18</v>
      </c>
      <c r="BA219" s="152">
        <v>24</v>
      </c>
      <c r="BB219" s="152"/>
      <c r="BC219" s="152"/>
      <c r="BD219" s="152">
        <v>0</v>
      </c>
      <c r="BE219" s="152"/>
      <c r="BF219" s="152"/>
      <c r="BG219" s="152"/>
      <c r="BH219" s="152"/>
      <c r="BI219" s="152">
        <v>0</v>
      </c>
      <c r="BJ219" s="152">
        <v>0</v>
      </c>
      <c r="BK219" s="152"/>
      <c r="BL219" s="152"/>
      <c r="BM219" s="152"/>
      <c r="BN219" s="152">
        <v>0</v>
      </c>
      <c r="BO219" s="152">
        <v>0</v>
      </c>
      <c r="BP219" s="152">
        <v>152</v>
      </c>
    </row>
    <row r="220" spans="1:68" x14ac:dyDescent="0.35">
      <c r="A220" s="146" t="s">
        <v>702</v>
      </c>
      <c r="B220" s="146" t="s">
        <v>703</v>
      </c>
      <c r="C220" s="152">
        <v>164</v>
      </c>
      <c r="D220" s="152">
        <v>1</v>
      </c>
      <c r="E220" s="152"/>
      <c r="F220" s="152"/>
      <c r="G220" s="152">
        <v>165</v>
      </c>
      <c r="H220" s="152">
        <v>400</v>
      </c>
      <c r="I220" s="152">
        <v>66</v>
      </c>
      <c r="J220" s="152">
        <v>9</v>
      </c>
      <c r="K220" s="152">
        <v>5</v>
      </c>
      <c r="L220" s="152">
        <v>480</v>
      </c>
      <c r="M220" s="152">
        <v>645</v>
      </c>
      <c r="N220" s="152">
        <v>9</v>
      </c>
      <c r="O220" s="152"/>
      <c r="P220" s="152"/>
      <c r="Q220" s="152">
        <v>9</v>
      </c>
      <c r="R220" s="152">
        <v>1</v>
      </c>
      <c r="S220" s="152">
        <v>1</v>
      </c>
      <c r="T220" s="152"/>
      <c r="U220" s="152"/>
      <c r="V220" s="152">
        <v>2</v>
      </c>
      <c r="W220" s="152">
        <v>11</v>
      </c>
      <c r="X220" s="152">
        <v>3</v>
      </c>
      <c r="Y220" s="152"/>
      <c r="Z220" s="152"/>
      <c r="AA220" s="152">
        <v>3</v>
      </c>
      <c r="AB220" s="152">
        <v>5</v>
      </c>
      <c r="AC220" s="152">
        <v>3</v>
      </c>
      <c r="AD220" s="152"/>
      <c r="AE220" s="152"/>
      <c r="AF220" s="152">
        <v>8</v>
      </c>
      <c r="AG220" s="152">
        <v>11</v>
      </c>
      <c r="AH220" s="152">
        <v>11</v>
      </c>
      <c r="AI220" s="152"/>
      <c r="AJ220" s="152"/>
      <c r="AK220" s="152">
        <v>11</v>
      </c>
      <c r="AL220" s="152">
        <v>7</v>
      </c>
      <c r="AM220" s="152">
        <v>2</v>
      </c>
      <c r="AN220" s="152"/>
      <c r="AO220" s="152"/>
      <c r="AP220" s="152">
        <v>9</v>
      </c>
      <c r="AQ220" s="152">
        <v>20</v>
      </c>
      <c r="AR220" s="152">
        <v>40</v>
      </c>
      <c r="AS220" s="152"/>
      <c r="AT220" s="152"/>
      <c r="AU220" s="152">
        <v>40</v>
      </c>
      <c r="AV220" s="152">
        <v>88</v>
      </c>
      <c r="AW220" s="152">
        <v>5</v>
      </c>
      <c r="AX220" s="152"/>
      <c r="AY220" s="152"/>
      <c r="AZ220" s="152">
        <v>93</v>
      </c>
      <c r="BA220" s="152">
        <v>133</v>
      </c>
      <c r="BB220" s="152">
        <v>11</v>
      </c>
      <c r="BC220" s="152"/>
      <c r="BD220" s="152">
        <v>11</v>
      </c>
      <c r="BE220" s="152"/>
      <c r="BF220" s="152"/>
      <c r="BG220" s="152"/>
      <c r="BH220" s="152"/>
      <c r="BI220" s="152">
        <v>0</v>
      </c>
      <c r="BJ220" s="152">
        <v>11</v>
      </c>
      <c r="BK220" s="152"/>
      <c r="BL220" s="152"/>
      <c r="BM220" s="152"/>
      <c r="BN220" s="152">
        <v>0</v>
      </c>
      <c r="BO220" s="152">
        <v>0</v>
      </c>
      <c r="BP220" s="152">
        <v>831</v>
      </c>
    </row>
    <row r="221" spans="1:68" x14ac:dyDescent="0.35">
      <c r="A221" s="146" t="s">
        <v>704</v>
      </c>
      <c r="B221" s="146" t="s">
        <v>705</v>
      </c>
      <c r="C221" s="152">
        <v>86</v>
      </c>
      <c r="D221" s="152">
        <v>1</v>
      </c>
      <c r="E221" s="152"/>
      <c r="F221" s="152"/>
      <c r="G221" s="152">
        <v>87</v>
      </c>
      <c r="H221" s="152">
        <v>212</v>
      </c>
      <c r="I221" s="152">
        <v>27</v>
      </c>
      <c r="J221" s="152">
        <v>1</v>
      </c>
      <c r="K221" s="152">
        <v>1</v>
      </c>
      <c r="L221" s="152">
        <v>241</v>
      </c>
      <c r="M221" s="152">
        <v>328</v>
      </c>
      <c r="N221" s="152">
        <v>2</v>
      </c>
      <c r="O221" s="152"/>
      <c r="P221" s="152"/>
      <c r="Q221" s="152">
        <v>2</v>
      </c>
      <c r="R221" s="152"/>
      <c r="S221" s="152"/>
      <c r="T221" s="152"/>
      <c r="U221" s="152"/>
      <c r="V221" s="152">
        <v>0</v>
      </c>
      <c r="W221" s="152">
        <v>2</v>
      </c>
      <c r="X221" s="152">
        <v>2</v>
      </c>
      <c r="Y221" s="152"/>
      <c r="Z221" s="152"/>
      <c r="AA221" s="152">
        <v>2</v>
      </c>
      <c r="AB221" s="152"/>
      <c r="AC221" s="152"/>
      <c r="AD221" s="152"/>
      <c r="AE221" s="152"/>
      <c r="AF221" s="152">
        <v>0</v>
      </c>
      <c r="AG221" s="152">
        <v>2</v>
      </c>
      <c r="AH221" s="152">
        <v>4</v>
      </c>
      <c r="AI221" s="152"/>
      <c r="AJ221" s="152"/>
      <c r="AK221" s="152">
        <v>4</v>
      </c>
      <c r="AL221" s="152"/>
      <c r="AM221" s="152"/>
      <c r="AN221" s="152"/>
      <c r="AO221" s="152"/>
      <c r="AP221" s="152">
        <v>0</v>
      </c>
      <c r="AQ221" s="152">
        <v>4</v>
      </c>
      <c r="AR221" s="152">
        <v>26</v>
      </c>
      <c r="AS221" s="152"/>
      <c r="AT221" s="152"/>
      <c r="AU221" s="152">
        <v>26</v>
      </c>
      <c r="AV221" s="152">
        <v>39</v>
      </c>
      <c r="AW221" s="152">
        <v>3</v>
      </c>
      <c r="AX221" s="152"/>
      <c r="AY221" s="152"/>
      <c r="AZ221" s="152">
        <v>42</v>
      </c>
      <c r="BA221" s="152">
        <v>68</v>
      </c>
      <c r="BB221" s="152">
        <v>5</v>
      </c>
      <c r="BC221" s="152"/>
      <c r="BD221" s="152">
        <v>5</v>
      </c>
      <c r="BE221" s="152"/>
      <c r="BF221" s="152"/>
      <c r="BG221" s="152"/>
      <c r="BH221" s="152"/>
      <c r="BI221" s="152">
        <v>0</v>
      </c>
      <c r="BJ221" s="152">
        <v>5</v>
      </c>
      <c r="BK221" s="152"/>
      <c r="BL221" s="152"/>
      <c r="BM221" s="152"/>
      <c r="BN221" s="152">
        <v>0</v>
      </c>
      <c r="BO221" s="152">
        <v>0</v>
      </c>
      <c r="BP221" s="152">
        <v>409</v>
      </c>
    </row>
    <row r="222" spans="1:68" x14ac:dyDescent="0.35">
      <c r="A222" s="146" t="s">
        <v>706</v>
      </c>
      <c r="B222" s="146" t="s">
        <v>707</v>
      </c>
      <c r="C222" s="152">
        <v>40</v>
      </c>
      <c r="D222" s="152"/>
      <c r="E222" s="152"/>
      <c r="F222" s="152"/>
      <c r="G222" s="152">
        <v>40</v>
      </c>
      <c r="H222" s="152">
        <v>89</v>
      </c>
      <c r="I222" s="152">
        <v>14</v>
      </c>
      <c r="J222" s="152">
        <v>1</v>
      </c>
      <c r="K222" s="152"/>
      <c r="L222" s="152">
        <v>104</v>
      </c>
      <c r="M222" s="152">
        <v>144</v>
      </c>
      <c r="N222" s="152">
        <v>2</v>
      </c>
      <c r="O222" s="152"/>
      <c r="P222" s="152"/>
      <c r="Q222" s="152">
        <v>2</v>
      </c>
      <c r="R222" s="152"/>
      <c r="S222" s="152"/>
      <c r="T222" s="152"/>
      <c r="U222" s="152"/>
      <c r="V222" s="152">
        <v>0</v>
      </c>
      <c r="W222" s="152">
        <v>2</v>
      </c>
      <c r="X222" s="152">
        <v>1</v>
      </c>
      <c r="Y222" s="152"/>
      <c r="Z222" s="152"/>
      <c r="AA222" s="152">
        <v>1</v>
      </c>
      <c r="AB222" s="152"/>
      <c r="AC222" s="152"/>
      <c r="AD222" s="152"/>
      <c r="AE222" s="152"/>
      <c r="AF222" s="152">
        <v>0</v>
      </c>
      <c r="AG222" s="152">
        <v>1</v>
      </c>
      <c r="AH222" s="152"/>
      <c r="AI222" s="152"/>
      <c r="AJ222" s="152"/>
      <c r="AK222" s="152">
        <v>0</v>
      </c>
      <c r="AL222" s="152"/>
      <c r="AM222" s="152"/>
      <c r="AN222" s="152"/>
      <c r="AO222" s="152"/>
      <c r="AP222" s="152">
        <v>0</v>
      </c>
      <c r="AQ222" s="152">
        <v>0</v>
      </c>
      <c r="AR222" s="152">
        <v>6</v>
      </c>
      <c r="AS222" s="152"/>
      <c r="AT222" s="152"/>
      <c r="AU222" s="152">
        <v>6</v>
      </c>
      <c r="AV222" s="152">
        <v>15</v>
      </c>
      <c r="AW222" s="152"/>
      <c r="AX222" s="152"/>
      <c r="AY222" s="152"/>
      <c r="AZ222" s="152">
        <v>15</v>
      </c>
      <c r="BA222" s="152">
        <v>21</v>
      </c>
      <c r="BB222" s="152">
        <v>2</v>
      </c>
      <c r="BC222" s="152"/>
      <c r="BD222" s="152">
        <v>2</v>
      </c>
      <c r="BE222" s="152"/>
      <c r="BF222" s="152"/>
      <c r="BG222" s="152"/>
      <c r="BH222" s="152"/>
      <c r="BI222" s="152">
        <v>0</v>
      </c>
      <c r="BJ222" s="152">
        <v>2</v>
      </c>
      <c r="BK222" s="152"/>
      <c r="BL222" s="152"/>
      <c r="BM222" s="152"/>
      <c r="BN222" s="152">
        <v>0</v>
      </c>
      <c r="BO222" s="152">
        <v>0</v>
      </c>
      <c r="BP222" s="152">
        <v>170</v>
      </c>
    </row>
    <row r="223" spans="1:68" x14ac:dyDescent="0.35">
      <c r="A223" s="146" t="s">
        <v>708</v>
      </c>
      <c r="B223" s="146" t="s">
        <v>709</v>
      </c>
      <c r="C223" s="152">
        <v>386</v>
      </c>
      <c r="D223" s="152">
        <v>2</v>
      </c>
      <c r="E223" s="152"/>
      <c r="F223" s="152"/>
      <c r="G223" s="152">
        <v>388</v>
      </c>
      <c r="H223" s="152">
        <v>728</v>
      </c>
      <c r="I223" s="152">
        <v>74</v>
      </c>
      <c r="J223" s="152">
        <v>2</v>
      </c>
      <c r="K223" s="152"/>
      <c r="L223" s="152">
        <v>804</v>
      </c>
      <c r="M223" s="152">
        <v>1192</v>
      </c>
      <c r="N223" s="152">
        <v>7</v>
      </c>
      <c r="O223" s="152"/>
      <c r="P223" s="152"/>
      <c r="Q223" s="152">
        <v>7</v>
      </c>
      <c r="R223" s="152">
        <v>7</v>
      </c>
      <c r="S223" s="152"/>
      <c r="T223" s="152"/>
      <c r="U223" s="152"/>
      <c r="V223" s="152">
        <v>7</v>
      </c>
      <c r="W223" s="152">
        <v>14</v>
      </c>
      <c r="X223" s="152">
        <v>5</v>
      </c>
      <c r="Y223" s="152"/>
      <c r="Z223" s="152"/>
      <c r="AA223" s="152">
        <v>5</v>
      </c>
      <c r="AB223" s="152">
        <v>2</v>
      </c>
      <c r="AC223" s="152"/>
      <c r="AD223" s="152"/>
      <c r="AE223" s="152"/>
      <c r="AF223" s="152">
        <v>2</v>
      </c>
      <c r="AG223" s="152">
        <v>7</v>
      </c>
      <c r="AH223" s="152">
        <v>2</v>
      </c>
      <c r="AI223" s="152"/>
      <c r="AJ223" s="152"/>
      <c r="AK223" s="152">
        <v>2</v>
      </c>
      <c r="AL223" s="152">
        <v>2</v>
      </c>
      <c r="AM223" s="152">
        <v>1</v>
      </c>
      <c r="AN223" s="152"/>
      <c r="AO223" s="152"/>
      <c r="AP223" s="152">
        <v>3</v>
      </c>
      <c r="AQ223" s="152">
        <v>5</v>
      </c>
      <c r="AR223" s="152">
        <v>88</v>
      </c>
      <c r="AS223" s="152"/>
      <c r="AT223" s="152"/>
      <c r="AU223" s="152">
        <v>88</v>
      </c>
      <c r="AV223" s="152">
        <v>121</v>
      </c>
      <c r="AW223" s="152">
        <v>8</v>
      </c>
      <c r="AX223" s="152"/>
      <c r="AY223" s="152"/>
      <c r="AZ223" s="152">
        <v>129</v>
      </c>
      <c r="BA223" s="152">
        <v>217</v>
      </c>
      <c r="BB223" s="152">
        <v>2</v>
      </c>
      <c r="BC223" s="152"/>
      <c r="BD223" s="152">
        <v>2</v>
      </c>
      <c r="BE223" s="152">
        <v>3</v>
      </c>
      <c r="BF223" s="152"/>
      <c r="BG223" s="152"/>
      <c r="BH223" s="152"/>
      <c r="BI223" s="152">
        <v>3</v>
      </c>
      <c r="BJ223" s="152">
        <v>5</v>
      </c>
      <c r="BK223" s="152"/>
      <c r="BL223" s="152"/>
      <c r="BM223" s="152"/>
      <c r="BN223" s="152">
        <v>0</v>
      </c>
      <c r="BO223" s="152">
        <v>0</v>
      </c>
      <c r="BP223" s="152">
        <v>1440</v>
      </c>
    </row>
    <row r="224" spans="1:68" x14ac:dyDescent="0.35">
      <c r="A224" s="146" t="s">
        <v>710</v>
      </c>
      <c r="B224" s="146" t="s">
        <v>711</v>
      </c>
      <c r="C224" s="152">
        <v>80</v>
      </c>
      <c r="D224" s="152">
        <v>3</v>
      </c>
      <c r="E224" s="152"/>
      <c r="F224" s="152"/>
      <c r="G224" s="152">
        <v>83</v>
      </c>
      <c r="H224" s="152">
        <v>359</v>
      </c>
      <c r="I224" s="152">
        <v>80</v>
      </c>
      <c r="J224" s="152">
        <v>21</v>
      </c>
      <c r="K224" s="152">
        <v>3</v>
      </c>
      <c r="L224" s="152">
        <v>463</v>
      </c>
      <c r="M224" s="152">
        <v>546</v>
      </c>
      <c r="N224" s="152">
        <v>2</v>
      </c>
      <c r="O224" s="152"/>
      <c r="P224" s="152"/>
      <c r="Q224" s="152">
        <v>2</v>
      </c>
      <c r="R224" s="152">
        <v>4</v>
      </c>
      <c r="S224" s="152"/>
      <c r="T224" s="152"/>
      <c r="U224" s="152"/>
      <c r="V224" s="152">
        <v>4</v>
      </c>
      <c r="W224" s="152">
        <v>6</v>
      </c>
      <c r="X224" s="152">
        <v>3</v>
      </c>
      <c r="Y224" s="152"/>
      <c r="Z224" s="152"/>
      <c r="AA224" s="152">
        <v>3</v>
      </c>
      <c r="AB224" s="152">
        <v>7</v>
      </c>
      <c r="AC224" s="152">
        <v>3</v>
      </c>
      <c r="AD224" s="152"/>
      <c r="AE224" s="152"/>
      <c r="AF224" s="152">
        <v>10</v>
      </c>
      <c r="AG224" s="152">
        <v>13</v>
      </c>
      <c r="AH224" s="152">
        <v>4</v>
      </c>
      <c r="AI224" s="152"/>
      <c r="AJ224" s="152"/>
      <c r="AK224" s="152">
        <v>4</v>
      </c>
      <c r="AL224" s="152">
        <v>3</v>
      </c>
      <c r="AM224" s="152"/>
      <c r="AN224" s="152"/>
      <c r="AO224" s="152"/>
      <c r="AP224" s="152">
        <v>3</v>
      </c>
      <c r="AQ224" s="152">
        <v>7</v>
      </c>
      <c r="AR224" s="152">
        <v>16</v>
      </c>
      <c r="AS224" s="152"/>
      <c r="AT224" s="152"/>
      <c r="AU224" s="152">
        <v>16</v>
      </c>
      <c r="AV224" s="152">
        <v>55</v>
      </c>
      <c r="AW224" s="152">
        <v>6</v>
      </c>
      <c r="AX224" s="152">
        <v>2</v>
      </c>
      <c r="AY224" s="152"/>
      <c r="AZ224" s="152">
        <v>63</v>
      </c>
      <c r="BA224" s="152">
        <v>79</v>
      </c>
      <c r="BB224" s="152">
        <v>7</v>
      </c>
      <c r="BC224" s="152">
        <v>1</v>
      </c>
      <c r="BD224" s="152">
        <v>8</v>
      </c>
      <c r="BE224" s="152">
        <v>5</v>
      </c>
      <c r="BF224" s="152"/>
      <c r="BG224" s="152"/>
      <c r="BH224" s="152"/>
      <c r="BI224" s="152">
        <v>5</v>
      </c>
      <c r="BJ224" s="152">
        <v>13</v>
      </c>
      <c r="BK224" s="152"/>
      <c r="BL224" s="152"/>
      <c r="BM224" s="152"/>
      <c r="BN224" s="152">
        <v>0</v>
      </c>
      <c r="BO224" s="152">
        <v>0</v>
      </c>
      <c r="BP224" s="152">
        <v>664</v>
      </c>
    </row>
    <row r="225" spans="1:68" x14ac:dyDescent="0.35">
      <c r="A225" s="146" t="s">
        <v>712</v>
      </c>
      <c r="B225" s="146" t="s">
        <v>713</v>
      </c>
      <c r="C225" s="152">
        <v>22</v>
      </c>
      <c r="D225" s="152"/>
      <c r="E225" s="152"/>
      <c r="F225" s="152"/>
      <c r="G225" s="152">
        <v>22</v>
      </c>
      <c r="H225" s="152">
        <v>46</v>
      </c>
      <c r="I225" s="152">
        <v>10</v>
      </c>
      <c r="J225" s="152">
        <v>8</v>
      </c>
      <c r="K225" s="152">
        <v>11</v>
      </c>
      <c r="L225" s="152">
        <v>75</v>
      </c>
      <c r="M225" s="152">
        <v>97</v>
      </c>
      <c r="N225" s="152"/>
      <c r="O225" s="152"/>
      <c r="P225" s="152"/>
      <c r="Q225" s="152">
        <v>0</v>
      </c>
      <c r="R225" s="152">
        <v>1</v>
      </c>
      <c r="S225" s="152">
        <v>1</v>
      </c>
      <c r="T225" s="152"/>
      <c r="U225" s="152"/>
      <c r="V225" s="152">
        <v>2</v>
      </c>
      <c r="W225" s="152">
        <v>2</v>
      </c>
      <c r="X225" s="152"/>
      <c r="Y225" s="152"/>
      <c r="Z225" s="152"/>
      <c r="AA225" s="152">
        <v>0</v>
      </c>
      <c r="AB225" s="152"/>
      <c r="AC225" s="152"/>
      <c r="AD225" s="152"/>
      <c r="AE225" s="152"/>
      <c r="AF225" s="152">
        <v>0</v>
      </c>
      <c r="AG225" s="152">
        <v>0</v>
      </c>
      <c r="AH225" s="152"/>
      <c r="AI225" s="152"/>
      <c r="AJ225" s="152"/>
      <c r="AK225" s="152">
        <v>0</v>
      </c>
      <c r="AL225" s="152"/>
      <c r="AM225" s="152"/>
      <c r="AN225" s="152"/>
      <c r="AO225" s="152"/>
      <c r="AP225" s="152">
        <v>0</v>
      </c>
      <c r="AQ225" s="152">
        <v>0</v>
      </c>
      <c r="AR225" s="152">
        <v>1</v>
      </c>
      <c r="AS225" s="152"/>
      <c r="AT225" s="152"/>
      <c r="AU225" s="152">
        <v>1</v>
      </c>
      <c r="AV225" s="152">
        <v>2</v>
      </c>
      <c r="AW225" s="152"/>
      <c r="AX225" s="152"/>
      <c r="AY225" s="152"/>
      <c r="AZ225" s="152">
        <v>2</v>
      </c>
      <c r="BA225" s="152">
        <v>3</v>
      </c>
      <c r="BB225" s="152"/>
      <c r="BC225" s="152"/>
      <c r="BD225" s="152">
        <v>0</v>
      </c>
      <c r="BE225" s="152"/>
      <c r="BF225" s="152"/>
      <c r="BG225" s="152"/>
      <c r="BH225" s="152"/>
      <c r="BI225" s="152">
        <v>0</v>
      </c>
      <c r="BJ225" s="152">
        <v>0</v>
      </c>
      <c r="BK225" s="152"/>
      <c r="BL225" s="152"/>
      <c r="BM225" s="152"/>
      <c r="BN225" s="152">
        <v>0</v>
      </c>
      <c r="BO225" s="152">
        <v>0</v>
      </c>
      <c r="BP225" s="152">
        <v>102</v>
      </c>
    </row>
    <row r="226" spans="1:68" x14ac:dyDescent="0.35">
      <c r="A226" s="146" t="s">
        <v>714</v>
      </c>
      <c r="B226" s="146" t="s">
        <v>715</v>
      </c>
      <c r="C226" s="152">
        <v>279</v>
      </c>
      <c r="D226" s="152">
        <v>1</v>
      </c>
      <c r="E226" s="152">
        <v>1</v>
      </c>
      <c r="F226" s="152"/>
      <c r="G226" s="152">
        <v>281</v>
      </c>
      <c r="H226" s="152">
        <v>160</v>
      </c>
      <c r="I226" s="152">
        <v>14</v>
      </c>
      <c r="J226" s="152">
        <v>2</v>
      </c>
      <c r="K226" s="152"/>
      <c r="L226" s="152">
        <v>176</v>
      </c>
      <c r="M226" s="152">
        <v>457</v>
      </c>
      <c r="N226" s="152">
        <v>5</v>
      </c>
      <c r="O226" s="152"/>
      <c r="P226" s="152"/>
      <c r="Q226" s="152">
        <v>5</v>
      </c>
      <c r="R226" s="152"/>
      <c r="S226" s="152"/>
      <c r="T226" s="152"/>
      <c r="U226" s="152"/>
      <c r="V226" s="152">
        <v>0</v>
      </c>
      <c r="W226" s="152">
        <v>5</v>
      </c>
      <c r="X226" s="152">
        <v>2</v>
      </c>
      <c r="Y226" s="152"/>
      <c r="Z226" s="152"/>
      <c r="AA226" s="152">
        <v>2</v>
      </c>
      <c r="AB226" s="152"/>
      <c r="AC226" s="152"/>
      <c r="AD226" s="152"/>
      <c r="AE226" s="152"/>
      <c r="AF226" s="152">
        <v>0</v>
      </c>
      <c r="AG226" s="152">
        <v>2</v>
      </c>
      <c r="AH226" s="152">
        <v>2</v>
      </c>
      <c r="AI226" s="152"/>
      <c r="AJ226" s="152"/>
      <c r="AK226" s="152">
        <v>2</v>
      </c>
      <c r="AL226" s="152"/>
      <c r="AM226" s="152"/>
      <c r="AN226" s="152"/>
      <c r="AO226" s="152"/>
      <c r="AP226" s="152">
        <v>0</v>
      </c>
      <c r="AQ226" s="152">
        <v>2</v>
      </c>
      <c r="AR226" s="152">
        <v>15</v>
      </c>
      <c r="AS226" s="152"/>
      <c r="AT226" s="152"/>
      <c r="AU226" s="152">
        <v>15</v>
      </c>
      <c r="AV226" s="152">
        <v>5</v>
      </c>
      <c r="AW226" s="152"/>
      <c r="AX226" s="152"/>
      <c r="AY226" s="152"/>
      <c r="AZ226" s="152">
        <v>5</v>
      </c>
      <c r="BA226" s="152">
        <v>20</v>
      </c>
      <c r="BB226" s="152">
        <v>5</v>
      </c>
      <c r="BC226" s="152"/>
      <c r="BD226" s="152">
        <v>5</v>
      </c>
      <c r="BE226" s="152"/>
      <c r="BF226" s="152"/>
      <c r="BG226" s="152"/>
      <c r="BH226" s="152"/>
      <c r="BI226" s="152">
        <v>0</v>
      </c>
      <c r="BJ226" s="152">
        <v>5</v>
      </c>
      <c r="BK226" s="152"/>
      <c r="BL226" s="152"/>
      <c r="BM226" s="152"/>
      <c r="BN226" s="152">
        <v>0</v>
      </c>
      <c r="BO226" s="152">
        <v>0</v>
      </c>
      <c r="BP226" s="152">
        <v>491</v>
      </c>
    </row>
    <row r="227" spans="1:68" x14ac:dyDescent="0.35">
      <c r="A227" s="146" t="s">
        <v>716</v>
      </c>
      <c r="B227" s="146" t="s">
        <v>717</v>
      </c>
      <c r="C227" s="152">
        <v>999</v>
      </c>
      <c r="D227" s="152">
        <v>3</v>
      </c>
      <c r="E227" s="152">
        <v>1</v>
      </c>
      <c r="F227" s="152"/>
      <c r="G227" s="152">
        <v>1003</v>
      </c>
      <c r="H227" s="152">
        <v>366</v>
      </c>
      <c r="I227" s="152">
        <v>50</v>
      </c>
      <c r="J227" s="152">
        <v>7</v>
      </c>
      <c r="K227" s="152"/>
      <c r="L227" s="152">
        <v>423</v>
      </c>
      <c r="M227" s="152">
        <v>1426</v>
      </c>
      <c r="N227" s="152">
        <v>107</v>
      </c>
      <c r="O227" s="152"/>
      <c r="P227" s="152"/>
      <c r="Q227" s="152">
        <v>107</v>
      </c>
      <c r="R227" s="152"/>
      <c r="S227" s="152"/>
      <c r="T227" s="152"/>
      <c r="U227" s="152"/>
      <c r="V227" s="152">
        <v>0</v>
      </c>
      <c r="W227" s="152">
        <v>107</v>
      </c>
      <c r="X227" s="152">
        <v>87</v>
      </c>
      <c r="Y227" s="152"/>
      <c r="Z227" s="152"/>
      <c r="AA227" s="152">
        <v>87</v>
      </c>
      <c r="AB227" s="152">
        <v>2</v>
      </c>
      <c r="AC227" s="152">
        <v>1</v>
      </c>
      <c r="AD227" s="152"/>
      <c r="AE227" s="152"/>
      <c r="AF227" s="152">
        <v>3</v>
      </c>
      <c r="AG227" s="152">
        <v>90</v>
      </c>
      <c r="AH227" s="152">
        <v>83</v>
      </c>
      <c r="AI227" s="152"/>
      <c r="AJ227" s="152"/>
      <c r="AK227" s="152">
        <v>83</v>
      </c>
      <c r="AL227" s="152">
        <v>8</v>
      </c>
      <c r="AM227" s="152"/>
      <c r="AN227" s="152"/>
      <c r="AO227" s="152"/>
      <c r="AP227" s="152">
        <v>8</v>
      </c>
      <c r="AQ227" s="152">
        <v>91</v>
      </c>
      <c r="AR227" s="152">
        <v>195</v>
      </c>
      <c r="AS227" s="152"/>
      <c r="AT227" s="152"/>
      <c r="AU227" s="152">
        <v>195</v>
      </c>
      <c r="AV227" s="152">
        <v>41</v>
      </c>
      <c r="AW227" s="152">
        <v>1</v>
      </c>
      <c r="AX227" s="152">
        <v>2</v>
      </c>
      <c r="AY227" s="152"/>
      <c r="AZ227" s="152">
        <v>44</v>
      </c>
      <c r="BA227" s="152">
        <v>239</v>
      </c>
      <c r="BB227" s="152">
        <v>40</v>
      </c>
      <c r="BC227" s="152"/>
      <c r="BD227" s="152">
        <v>40</v>
      </c>
      <c r="BE227" s="152">
        <v>2</v>
      </c>
      <c r="BF227" s="152"/>
      <c r="BG227" s="152"/>
      <c r="BH227" s="152"/>
      <c r="BI227" s="152">
        <v>2</v>
      </c>
      <c r="BJ227" s="152">
        <v>42</v>
      </c>
      <c r="BK227" s="152"/>
      <c r="BL227" s="152"/>
      <c r="BM227" s="152"/>
      <c r="BN227" s="152">
        <v>0</v>
      </c>
      <c r="BO227" s="152">
        <v>0</v>
      </c>
      <c r="BP227" s="152">
        <v>1995</v>
      </c>
    </row>
    <row r="228" spans="1:68" x14ac:dyDescent="0.35">
      <c r="A228" s="146" t="s">
        <v>718</v>
      </c>
      <c r="B228" s="146" t="s">
        <v>719</v>
      </c>
      <c r="C228" s="152">
        <v>698</v>
      </c>
      <c r="D228" s="152">
        <v>14</v>
      </c>
      <c r="E228" s="152"/>
      <c r="F228" s="152"/>
      <c r="G228" s="152">
        <v>712</v>
      </c>
      <c r="H228" s="152">
        <v>415</v>
      </c>
      <c r="I228" s="152">
        <v>200</v>
      </c>
      <c r="J228" s="152">
        <v>29</v>
      </c>
      <c r="K228" s="152">
        <v>10</v>
      </c>
      <c r="L228" s="152">
        <v>654</v>
      </c>
      <c r="M228" s="152">
        <v>1366</v>
      </c>
      <c r="N228" s="152">
        <v>39</v>
      </c>
      <c r="O228" s="152"/>
      <c r="P228" s="152"/>
      <c r="Q228" s="152">
        <v>39</v>
      </c>
      <c r="R228" s="152">
        <v>4</v>
      </c>
      <c r="S228" s="152"/>
      <c r="T228" s="152"/>
      <c r="U228" s="152"/>
      <c r="V228" s="152">
        <v>4</v>
      </c>
      <c r="W228" s="152">
        <v>43</v>
      </c>
      <c r="X228" s="152">
        <v>45</v>
      </c>
      <c r="Y228" s="152">
        <v>1</v>
      </c>
      <c r="Z228" s="152"/>
      <c r="AA228" s="152">
        <v>46</v>
      </c>
      <c r="AB228" s="152">
        <v>4</v>
      </c>
      <c r="AC228" s="152">
        <v>3</v>
      </c>
      <c r="AD228" s="152"/>
      <c r="AE228" s="152"/>
      <c r="AF228" s="152">
        <v>7</v>
      </c>
      <c r="AG228" s="152">
        <v>53</v>
      </c>
      <c r="AH228" s="152">
        <v>39</v>
      </c>
      <c r="AI228" s="152">
        <v>1</v>
      </c>
      <c r="AJ228" s="152"/>
      <c r="AK228" s="152">
        <v>40</v>
      </c>
      <c r="AL228" s="152">
        <v>9</v>
      </c>
      <c r="AM228" s="152">
        <v>1</v>
      </c>
      <c r="AN228" s="152"/>
      <c r="AO228" s="152"/>
      <c r="AP228" s="152">
        <v>10</v>
      </c>
      <c r="AQ228" s="152">
        <v>50</v>
      </c>
      <c r="AR228" s="152">
        <v>85</v>
      </c>
      <c r="AS228" s="152">
        <v>3</v>
      </c>
      <c r="AT228" s="152"/>
      <c r="AU228" s="152">
        <v>88</v>
      </c>
      <c r="AV228" s="152">
        <v>50</v>
      </c>
      <c r="AW228" s="152">
        <v>11</v>
      </c>
      <c r="AX228" s="152">
        <v>1</v>
      </c>
      <c r="AY228" s="152">
        <v>1</v>
      </c>
      <c r="AZ228" s="152">
        <v>63</v>
      </c>
      <c r="BA228" s="152">
        <v>151</v>
      </c>
      <c r="BB228" s="152">
        <v>32</v>
      </c>
      <c r="BC228" s="152"/>
      <c r="BD228" s="152">
        <v>32</v>
      </c>
      <c r="BE228" s="152">
        <v>4</v>
      </c>
      <c r="BF228" s="152"/>
      <c r="BG228" s="152"/>
      <c r="BH228" s="152"/>
      <c r="BI228" s="152">
        <v>4</v>
      </c>
      <c r="BJ228" s="152">
        <v>36</v>
      </c>
      <c r="BK228" s="152"/>
      <c r="BL228" s="152"/>
      <c r="BM228" s="152"/>
      <c r="BN228" s="152">
        <v>0</v>
      </c>
      <c r="BO228" s="152">
        <v>0</v>
      </c>
      <c r="BP228" s="152">
        <v>1699</v>
      </c>
    </row>
    <row r="229" spans="1:68" x14ac:dyDescent="0.35">
      <c r="A229" s="146" t="s">
        <v>720</v>
      </c>
      <c r="B229" s="146" t="s">
        <v>721</v>
      </c>
      <c r="C229" s="152">
        <v>330</v>
      </c>
      <c r="D229" s="152">
        <v>4</v>
      </c>
      <c r="E229" s="152">
        <v>1</v>
      </c>
      <c r="F229" s="152"/>
      <c r="G229" s="152">
        <v>335</v>
      </c>
      <c r="H229" s="152">
        <v>138</v>
      </c>
      <c r="I229" s="152">
        <v>51</v>
      </c>
      <c r="J229" s="152">
        <v>9</v>
      </c>
      <c r="K229" s="152">
        <v>4</v>
      </c>
      <c r="L229" s="152">
        <v>202</v>
      </c>
      <c r="M229" s="152">
        <v>537</v>
      </c>
      <c r="N229" s="152">
        <v>85</v>
      </c>
      <c r="O229" s="152">
        <v>1</v>
      </c>
      <c r="P229" s="152"/>
      <c r="Q229" s="152">
        <v>86</v>
      </c>
      <c r="R229" s="152">
        <v>8</v>
      </c>
      <c r="S229" s="152"/>
      <c r="T229" s="152"/>
      <c r="U229" s="152"/>
      <c r="V229" s="152">
        <v>8</v>
      </c>
      <c r="W229" s="152">
        <v>94</v>
      </c>
      <c r="X229" s="152">
        <v>31</v>
      </c>
      <c r="Y229" s="152">
        <v>1</v>
      </c>
      <c r="Z229" s="152"/>
      <c r="AA229" s="152">
        <v>32</v>
      </c>
      <c r="AB229" s="152">
        <v>2</v>
      </c>
      <c r="AC229" s="152">
        <v>2</v>
      </c>
      <c r="AD229" s="152"/>
      <c r="AE229" s="152"/>
      <c r="AF229" s="152">
        <v>4</v>
      </c>
      <c r="AG229" s="152">
        <v>36</v>
      </c>
      <c r="AH229" s="152">
        <v>26</v>
      </c>
      <c r="AI229" s="152"/>
      <c r="AJ229" s="152">
        <v>1</v>
      </c>
      <c r="AK229" s="152">
        <v>27</v>
      </c>
      <c r="AL229" s="152">
        <v>4</v>
      </c>
      <c r="AM229" s="152">
        <v>5</v>
      </c>
      <c r="AN229" s="152">
        <v>2</v>
      </c>
      <c r="AO229" s="152"/>
      <c r="AP229" s="152">
        <v>11</v>
      </c>
      <c r="AQ229" s="152">
        <v>38</v>
      </c>
      <c r="AR229" s="152">
        <v>70</v>
      </c>
      <c r="AS229" s="152"/>
      <c r="AT229" s="152"/>
      <c r="AU229" s="152">
        <v>70</v>
      </c>
      <c r="AV229" s="152">
        <v>17</v>
      </c>
      <c r="AW229" s="152">
        <v>6</v>
      </c>
      <c r="AX229" s="152">
        <v>1</v>
      </c>
      <c r="AY229" s="152"/>
      <c r="AZ229" s="152">
        <v>24</v>
      </c>
      <c r="BA229" s="152">
        <v>94</v>
      </c>
      <c r="BB229" s="152">
        <v>19</v>
      </c>
      <c r="BC229" s="152"/>
      <c r="BD229" s="152">
        <v>19</v>
      </c>
      <c r="BE229" s="152"/>
      <c r="BF229" s="152"/>
      <c r="BG229" s="152"/>
      <c r="BH229" s="152"/>
      <c r="BI229" s="152">
        <v>0</v>
      </c>
      <c r="BJ229" s="152">
        <v>19</v>
      </c>
      <c r="BK229" s="152"/>
      <c r="BL229" s="152"/>
      <c r="BM229" s="152"/>
      <c r="BN229" s="152">
        <v>0</v>
      </c>
      <c r="BO229" s="152">
        <v>0</v>
      </c>
      <c r="BP229" s="152">
        <v>818</v>
      </c>
    </row>
    <row r="230" spans="1:68" x14ac:dyDescent="0.35">
      <c r="A230" s="146" t="s">
        <v>722</v>
      </c>
      <c r="B230" s="146" t="s">
        <v>723</v>
      </c>
      <c r="C230" s="152">
        <v>362</v>
      </c>
      <c r="D230" s="152">
        <v>2</v>
      </c>
      <c r="E230" s="152"/>
      <c r="F230" s="152"/>
      <c r="G230" s="152">
        <v>364</v>
      </c>
      <c r="H230" s="152">
        <v>38</v>
      </c>
      <c r="I230" s="152">
        <v>5</v>
      </c>
      <c r="J230" s="152">
        <v>1</v>
      </c>
      <c r="K230" s="152"/>
      <c r="L230" s="152">
        <v>44</v>
      </c>
      <c r="M230" s="152">
        <v>408</v>
      </c>
      <c r="N230" s="152">
        <v>102</v>
      </c>
      <c r="O230" s="152"/>
      <c r="P230" s="152"/>
      <c r="Q230" s="152">
        <v>102</v>
      </c>
      <c r="R230" s="152"/>
      <c r="S230" s="152"/>
      <c r="T230" s="152"/>
      <c r="U230" s="152"/>
      <c r="V230" s="152">
        <v>0</v>
      </c>
      <c r="W230" s="152">
        <v>102</v>
      </c>
      <c r="X230" s="152">
        <v>73</v>
      </c>
      <c r="Y230" s="152"/>
      <c r="Z230" s="152"/>
      <c r="AA230" s="152">
        <v>73</v>
      </c>
      <c r="AB230" s="152"/>
      <c r="AC230" s="152"/>
      <c r="AD230" s="152"/>
      <c r="AE230" s="152"/>
      <c r="AF230" s="152">
        <v>0</v>
      </c>
      <c r="AG230" s="152">
        <v>73</v>
      </c>
      <c r="AH230" s="152">
        <v>31</v>
      </c>
      <c r="AI230" s="152"/>
      <c r="AJ230" s="152"/>
      <c r="AK230" s="152">
        <v>31</v>
      </c>
      <c r="AL230" s="152"/>
      <c r="AM230" s="152"/>
      <c r="AN230" s="152"/>
      <c r="AO230" s="152"/>
      <c r="AP230" s="152">
        <v>0</v>
      </c>
      <c r="AQ230" s="152">
        <v>31</v>
      </c>
      <c r="AR230" s="152">
        <v>93</v>
      </c>
      <c r="AS230" s="152"/>
      <c r="AT230" s="152"/>
      <c r="AU230" s="152">
        <v>93</v>
      </c>
      <c r="AV230" s="152">
        <v>5</v>
      </c>
      <c r="AW230" s="152"/>
      <c r="AX230" s="152"/>
      <c r="AY230" s="152"/>
      <c r="AZ230" s="152">
        <v>5</v>
      </c>
      <c r="BA230" s="152">
        <v>98</v>
      </c>
      <c r="BB230" s="152">
        <v>60</v>
      </c>
      <c r="BC230" s="152"/>
      <c r="BD230" s="152">
        <v>60</v>
      </c>
      <c r="BE230" s="152"/>
      <c r="BF230" s="152"/>
      <c r="BG230" s="152"/>
      <c r="BH230" s="152"/>
      <c r="BI230" s="152">
        <v>0</v>
      </c>
      <c r="BJ230" s="152">
        <v>60</v>
      </c>
      <c r="BK230" s="152"/>
      <c r="BL230" s="152"/>
      <c r="BM230" s="152"/>
      <c r="BN230" s="152">
        <v>0</v>
      </c>
      <c r="BO230" s="152">
        <v>0</v>
      </c>
      <c r="BP230" s="152">
        <v>772</v>
      </c>
    </row>
    <row r="231" spans="1:68" x14ac:dyDescent="0.35">
      <c r="A231" s="146" t="s">
        <v>724</v>
      </c>
      <c r="B231" s="146" t="s">
        <v>725</v>
      </c>
      <c r="C231" s="152">
        <v>30</v>
      </c>
      <c r="D231" s="152">
        <v>3</v>
      </c>
      <c r="E231" s="152"/>
      <c r="F231" s="152"/>
      <c r="G231" s="152">
        <v>33</v>
      </c>
      <c r="H231" s="152">
        <v>175</v>
      </c>
      <c r="I231" s="152">
        <v>36</v>
      </c>
      <c r="J231" s="152">
        <v>4</v>
      </c>
      <c r="K231" s="152">
        <v>2</v>
      </c>
      <c r="L231" s="152">
        <v>217</v>
      </c>
      <c r="M231" s="152">
        <v>250</v>
      </c>
      <c r="N231" s="152">
        <v>7</v>
      </c>
      <c r="O231" s="152"/>
      <c r="P231" s="152"/>
      <c r="Q231" s="152">
        <v>7</v>
      </c>
      <c r="R231" s="152">
        <v>2</v>
      </c>
      <c r="S231" s="152">
        <v>1</v>
      </c>
      <c r="T231" s="152"/>
      <c r="U231" s="152"/>
      <c r="V231" s="152">
        <v>3</v>
      </c>
      <c r="W231" s="152">
        <v>10</v>
      </c>
      <c r="X231" s="152">
        <v>2</v>
      </c>
      <c r="Y231" s="152"/>
      <c r="Z231" s="152"/>
      <c r="AA231" s="152">
        <v>2</v>
      </c>
      <c r="AB231" s="152">
        <v>3</v>
      </c>
      <c r="AC231" s="152"/>
      <c r="AD231" s="152"/>
      <c r="AE231" s="152"/>
      <c r="AF231" s="152">
        <v>3</v>
      </c>
      <c r="AG231" s="152">
        <v>5</v>
      </c>
      <c r="AH231" s="152"/>
      <c r="AI231" s="152"/>
      <c r="AJ231" s="152"/>
      <c r="AK231" s="152">
        <v>0</v>
      </c>
      <c r="AL231" s="152">
        <v>1</v>
      </c>
      <c r="AM231" s="152"/>
      <c r="AN231" s="152"/>
      <c r="AO231" s="152"/>
      <c r="AP231" s="152">
        <v>1</v>
      </c>
      <c r="AQ231" s="152">
        <v>1</v>
      </c>
      <c r="AR231" s="152">
        <v>10</v>
      </c>
      <c r="AS231" s="152"/>
      <c r="AT231" s="152"/>
      <c r="AU231" s="152">
        <v>10</v>
      </c>
      <c r="AV231" s="152">
        <v>10</v>
      </c>
      <c r="AW231" s="152"/>
      <c r="AX231" s="152"/>
      <c r="AY231" s="152"/>
      <c r="AZ231" s="152">
        <v>10</v>
      </c>
      <c r="BA231" s="152">
        <v>20</v>
      </c>
      <c r="BB231" s="152">
        <v>3</v>
      </c>
      <c r="BC231" s="152"/>
      <c r="BD231" s="152">
        <v>3</v>
      </c>
      <c r="BE231" s="152"/>
      <c r="BF231" s="152">
        <v>1</v>
      </c>
      <c r="BG231" s="152"/>
      <c r="BH231" s="152"/>
      <c r="BI231" s="152">
        <v>1</v>
      </c>
      <c r="BJ231" s="152">
        <v>4</v>
      </c>
      <c r="BK231" s="152"/>
      <c r="BL231" s="152"/>
      <c r="BM231" s="152"/>
      <c r="BN231" s="152">
        <v>0</v>
      </c>
      <c r="BO231" s="152">
        <v>0</v>
      </c>
      <c r="BP231" s="152">
        <v>290</v>
      </c>
    </row>
    <row r="232" spans="1:68" x14ac:dyDescent="0.35">
      <c r="A232" s="146" t="s">
        <v>726</v>
      </c>
      <c r="B232" s="146" t="s">
        <v>1378</v>
      </c>
      <c r="C232" s="152">
        <v>64</v>
      </c>
      <c r="D232" s="152">
        <v>3</v>
      </c>
      <c r="E232" s="152">
        <v>1</v>
      </c>
      <c r="F232" s="152"/>
      <c r="G232" s="152">
        <v>68</v>
      </c>
      <c r="H232" s="152">
        <v>151</v>
      </c>
      <c r="I232" s="152">
        <v>39</v>
      </c>
      <c r="J232" s="152">
        <v>9</v>
      </c>
      <c r="K232" s="152">
        <v>5</v>
      </c>
      <c r="L232" s="152">
        <v>204</v>
      </c>
      <c r="M232" s="152">
        <v>272</v>
      </c>
      <c r="N232" s="152">
        <v>87</v>
      </c>
      <c r="O232" s="152">
        <v>2</v>
      </c>
      <c r="P232" s="152">
        <v>1</v>
      </c>
      <c r="Q232" s="152">
        <v>90</v>
      </c>
      <c r="R232" s="152">
        <v>31</v>
      </c>
      <c r="S232" s="152">
        <v>3</v>
      </c>
      <c r="T232" s="152"/>
      <c r="U232" s="152">
        <v>1</v>
      </c>
      <c r="V232" s="152">
        <v>35</v>
      </c>
      <c r="W232" s="152">
        <v>125</v>
      </c>
      <c r="X232" s="152">
        <v>24</v>
      </c>
      <c r="Y232" s="152">
        <v>1</v>
      </c>
      <c r="Z232" s="152">
        <v>1</v>
      </c>
      <c r="AA232" s="152">
        <v>26</v>
      </c>
      <c r="AB232" s="152">
        <v>17</v>
      </c>
      <c r="AC232" s="152">
        <v>5</v>
      </c>
      <c r="AD232" s="152">
        <v>1</v>
      </c>
      <c r="AE232" s="152"/>
      <c r="AF232" s="152">
        <v>23</v>
      </c>
      <c r="AG232" s="152">
        <v>49</v>
      </c>
      <c r="AH232" s="152">
        <v>11</v>
      </c>
      <c r="AI232" s="152">
        <v>1</v>
      </c>
      <c r="AJ232" s="152"/>
      <c r="AK232" s="152">
        <v>12</v>
      </c>
      <c r="AL232" s="152">
        <v>4</v>
      </c>
      <c r="AM232" s="152">
        <v>4</v>
      </c>
      <c r="AN232" s="152">
        <v>1</v>
      </c>
      <c r="AO232" s="152"/>
      <c r="AP232" s="152">
        <v>9</v>
      </c>
      <c r="AQ232" s="152">
        <v>21</v>
      </c>
      <c r="AR232" s="152">
        <v>5</v>
      </c>
      <c r="AS232" s="152"/>
      <c r="AT232" s="152"/>
      <c r="AU232" s="152">
        <v>5</v>
      </c>
      <c r="AV232" s="152">
        <v>17</v>
      </c>
      <c r="AW232" s="152">
        <v>6</v>
      </c>
      <c r="AX232" s="152">
        <v>4</v>
      </c>
      <c r="AY232" s="152"/>
      <c r="AZ232" s="152">
        <v>27</v>
      </c>
      <c r="BA232" s="152">
        <v>32</v>
      </c>
      <c r="BB232" s="152">
        <v>13</v>
      </c>
      <c r="BC232" s="152"/>
      <c r="BD232" s="152">
        <v>13</v>
      </c>
      <c r="BE232" s="152">
        <v>5</v>
      </c>
      <c r="BF232" s="152">
        <v>1</v>
      </c>
      <c r="BG232" s="152"/>
      <c r="BH232" s="152"/>
      <c r="BI232" s="152">
        <v>6</v>
      </c>
      <c r="BJ232" s="152">
        <v>19</v>
      </c>
      <c r="BK232" s="152"/>
      <c r="BL232" s="152"/>
      <c r="BM232" s="152"/>
      <c r="BN232" s="152">
        <v>0</v>
      </c>
      <c r="BO232" s="152">
        <v>0</v>
      </c>
      <c r="BP232" s="152">
        <v>518</v>
      </c>
    </row>
    <row r="233" spans="1:68" x14ac:dyDescent="0.35">
      <c r="A233" s="146" t="s">
        <v>727</v>
      </c>
      <c r="B233" s="146" t="s">
        <v>728</v>
      </c>
      <c r="C233" s="152">
        <v>170</v>
      </c>
      <c r="D233" s="152">
        <v>4</v>
      </c>
      <c r="E233" s="152"/>
      <c r="F233" s="152"/>
      <c r="G233" s="152">
        <v>174</v>
      </c>
      <c r="H233" s="152">
        <v>359</v>
      </c>
      <c r="I233" s="152">
        <v>57</v>
      </c>
      <c r="J233" s="152">
        <v>15</v>
      </c>
      <c r="K233" s="152">
        <v>4</v>
      </c>
      <c r="L233" s="152">
        <v>435</v>
      </c>
      <c r="M233" s="152">
        <v>609</v>
      </c>
      <c r="N233" s="152">
        <v>19</v>
      </c>
      <c r="O233" s="152"/>
      <c r="P233" s="152"/>
      <c r="Q233" s="152">
        <v>19</v>
      </c>
      <c r="R233" s="152">
        <v>22</v>
      </c>
      <c r="S233" s="152">
        <v>4</v>
      </c>
      <c r="T233" s="152"/>
      <c r="U233" s="152">
        <v>1</v>
      </c>
      <c r="V233" s="152">
        <v>27</v>
      </c>
      <c r="W233" s="152">
        <v>46</v>
      </c>
      <c r="X233" s="152">
        <v>15</v>
      </c>
      <c r="Y233" s="152">
        <v>2</v>
      </c>
      <c r="Z233" s="152"/>
      <c r="AA233" s="152">
        <v>17</v>
      </c>
      <c r="AB233" s="152">
        <v>7</v>
      </c>
      <c r="AC233" s="152">
        <v>3</v>
      </c>
      <c r="AD233" s="152">
        <v>1</v>
      </c>
      <c r="AE233" s="152"/>
      <c r="AF233" s="152">
        <v>11</v>
      </c>
      <c r="AG233" s="152">
        <v>28</v>
      </c>
      <c r="AH233" s="152">
        <v>17</v>
      </c>
      <c r="AI233" s="152"/>
      <c r="AJ233" s="152"/>
      <c r="AK233" s="152">
        <v>17</v>
      </c>
      <c r="AL233" s="152">
        <v>7</v>
      </c>
      <c r="AM233" s="152">
        <v>4</v>
      </c>
      <c r="AN233" s="152">
        <v>1</v>
      </c>
      <c r="AO233" s="152"/>
      <c r="AP233" s="152">
        <v>12</v>
      </c>
      <c r="AQ233" s="152">
        <v>29</v>
      </c>
      <c r="AR233" s="152">
        <v>23</v>
      </c>
      <c r="AS233" s="152">
        <v>1</v>
      </c>
      <c r="AT233" s="152"/>
      <c r="AU233" s="152">
        <v>24</v>
      </c>
      <c r="AV233" s="152">
        <v>31</v>
      </c>
      <c r="AW233" s="152">
        <v>3</v>
      </c>
      <c r="AX233" s="152">
        <v>3</v>
      </c>
      <c r="AY233" s="152"/>
      <c r="AZ233" s="152">
        <v>37</v>
      </c>
      <c r="BA233" s="152">
        <v>61</v>
      </c>
      <c r="BB233" s="152">
        <v>10</v>
      </c>
      <c r="BC233" s="152"/>
      <c r="BD233" s="152">
        <v>10</v>
      </c>
      <c r="BE233" s="152">
        <v>6</v>
      </c>
      <c r="BF233" s="152"/>
      <c r="BG233" s="152"/>
      <c r="BH233" s="152"/>
      <c r="BI233" s="152">
        <v>6</v>
      </c>
      <c r="BJ233" s="152">
        <v>16</v>
      </c>
      <c r="BK233" s="152"/>
      <c r="BL233" s="152"/>
      <c r="BM233" s="152"/>
      <c r="BN233" s="152">
        <v>0</v>
      </c>
      <c r="BO233" s="152">
        <v>0</v>
      </c>
      <c r="BP233" s="152">
        <v>789</v>
      </c>
    </row>
    <row r="234" spans="1:68" x14ac:dyDescent="0.35">
      <c r="A234" s="146" t="s">
        <v>729</v>
      </c>
      <c r="B234" s="146" t="s">
        <v>730</v>
      </c>
      <c r="C234" s="152">
        <v>30</v>
      </c>
      <c r="D234" s="152">
        <v>1</v>
      </c>
      <c r="E234" s="152"/>
      <c r="F234" s="152"/>
      <c r="G234" s="152">
        <v>31</v>
      </c>
      <c r="H234" s="152">
        <v>81</v>
      </c>
      <c r="I234" s="152">
        <v>20</v>
      </c>
      <c r="J234" s="152">
        <v>4</v>
      </c>
      <c r="K234" s="152">
        <v>5</v>
      </c>
      <c r="L234" s="152">
        <v>110</v>
      </c>
      <c r="M234" s="152">
        <v>141</v>
      </c>
      <c r="N234" s="152">
        <v>11</v>
      </c>
      <c r="O234" s="152"/>
      <c r="P234" s="152"/>
      <c r="Q234" s="152">
        <v>11</v>
      </c>
      <c r="R234" s="152">
        <v>3</v>
      </c>
      <c r="S234" s="152"/>
      <c r="T234" s="152"/>
      <c r="U234" s="152"/>
      <c r="V234" s="152">
        <v>3</v>
      </c>
      <c r="W234" s="152">
        <v>14</v>
      </c>
      <c r="X234" s="152">
        <v>4</v>
      </c>
      <c r="Y234" s="152"/>
      <c r="Z234" s="152"/>
      <c r="AA234" s="152">
        <v>4</v>
      </c>
      <c r="AB234" s="152"/>
      <c r="AC234" s="152">
        <v>1</v>
      </c>
      <c r="AD234" s="152"/>
      <c r="AE234" s="152"/>
      <c r="AF234" s="152">
        <v>1</v>
      </c>
      <c r="AG234" s="152">
        <v>5</v>
      </c>
      <c r="AH234" s="152">
        <v>3</v>
      </c>
      <c r="AI234" s="152"/>
      <c r="AJ234" s="152"/>
      <c r="AK234" s="152">
        <v>3</v>
      </c>
      <c r="AL234" s="152">
        <v>1</v>
      </c>
      <c r="AM234" s="152"/>
      <c r="AN234" s="152"/>
      <c r="AO234" s="152"/>
      <c r="AP234" s="152">
        <v>1</v>
      </c>
      <c r="AQ234" s="152">
        <v>4</v>
      </c>
      <c r="AR234" s="152">
        <v>7</v>
      </c>
      <c r="AS234" s="152"/>
      <c r="AT234" s="152"/>
      <c r="AU234" s="152">
        <v>7</v>
      </c>
      <c r="AV234" s="152">
        <v>7</v>
      </c>
      <c r="AW234" s="152">
        <v>2</v>
      </c>
      <c r="AX234" s="152"/>
      <c r="AY234" s="152"/>
      <c r="AZ234" s="152">
        <v>9</v>
      </c>
      <c r="BA234" s="152">
        <v>16</v>
      </c>
      <c r="BB234" s="152">
        <v>6</v>
      </c>
      <c r="BC234" s="152"/>
      <c r="BD234" s="152">
        <v>6</v>
      </c>
      <c r="BE234" s="152">
        <v>1</v>
      </c>
      <c r="BF234" s="152">
        <v>1</v>
      </c>
      <c r="BG234" s="152"/>
      <c r="BH234" s="152"/>
      <c r="BI234" s="152">
        <v>2</v>
      </c>
      <c r="BJ234" s="152">
        <v>8</v>
      </c>
      <c r="BK234" s="152"/>
      <c r="BL234" s="152"/>
      <c r="BM234" s="152"/>
      <c r="BN234" s="152">
        <v>0</v>
      </c>
      <c r="BO234" s="152">
        <v>0</v>
      </c>
      <c r="BP234" s="152">
        <v>188</v>
      </c>
    </row>
    <row r="235" spans="1:68" x14ac:dyDescent="0.35">
      <c r="A235" s="146" t="s">
        <v>731</v>
      </c>
      <c r="B235" s="146" t="s">
        <v>732</v>
      </c>
      <c r="C235" s="152">
        <v>69</v>
      </c>
      <c r="D235" s="152">
        <v>5</v>
      </c>
      <c r="E235" s="152"/>
      <c r="F235" s="152"/>
      <c r="G235" s="152">
        <v>74</v>
      </c>
      <c r="H235" s="152">
        <v>158</v>
      </c>
      <c r="I235" s="152">
        <v>44</v>
      </c>
      <c r="J235" s="152">
        <v>13</v>
      </c>
      <c r="K235" s="152">
        <v>3</v>
      </c>
      <c r="L235" s="152">
        <v>218</v>
      </c>
      <c r="M235" s="152">
        <v>292</v>
      </c>
      <c r="N235" s="152">
        <v>1</v>
      </c>
      <c r="O235" s="152"/>
      <c r="P235" s="152"/>
      <c r="Q235" s="152">
        <v>1</v>
      </c>
      <c r="R235" s="152"/>
      <c r="S235" s="152"/>
      <c r="T235" s="152"/>
      <c r="U235" s="152"/>
      <c r="V235" s="152">
        <v>0</v>
      </c>
      <c r="W235" s="152">
        <v>1</v>
      </c>
      <c r="X235" s="152"/>
      <c r="Y235" s="152"/>
      <c r="Z235" s="152"/>
      <c r="AA235" s="152">
        <v>0</v>
      </c>
      <c r="AB235" s="152">
        <v>1</v>
      </c>
      <c r="AC235" s="152"/>
      <c r="AD235" s="152"/>
      <c r="AE235" s="152"/>
      <c r="AF235" s="152">
        <v>1</v>
      </c>
      <c r="AG235" s="152">
        <v>1</v>
      </c>
      <c r="AH235" s="152"/>
      <c r="AI235" s="152"/>
      <c r="AJ235" s="152"/>
      <c r="AK235" s="152">
        <v>0</v>
      </c>
      <c r="AL235" s="152">
        <v>1</v>
      </c>
      <c r="AM235" s="152"/>
      <c r="AN235" s="152"/>
      <c r="AO235" s="152"/>
      <c r="AP235" s="152">
        <v>1</v>
      </c>
      <c r="AQ235" s="152">
        <v>1</v>
      </c>
      <c r="AR235" s="152">
        <v>6</v>
      </c>
      <c r="AS235" s="152"/>
      <c r="AT235" s="152">
        <v>1</v>
      </c>
      <c r="AU235" s="152">
        <v>7</v>
      </c>
      <c r="AV235" s="152">
        <v>1</v>
      </c>
      <c r="AW235" s="152">
        <v>1</v>
      </c>
      <c r="AX235" s="152"/>
      <c r="AY235" s="152">
        <v>1</v>
      </c>
      <c r="AZ235" s="152">
        <v>3</v>
      </c>
      <c r="BA235" s="152">
        <v>10</v>
      </c>
      <c r="BB235" s="152"/>
      <c r="BC235" s="152"/>
      <c r="BD235" s="152">
        <v>0</v>
      </c>
      <c r="BE235" s="152">
        <v>1</v>
      </c>
      <c r="BF235" s="152"/>
      <c r="BG235" s="152"/>
      <c r="BH235" s="152"/>
      <c r="BI235" s="152">
        <v>1</v>
      </c>
      <c r="BJ235" s="152">
        <v>1</v>
      </c>
      <c r="BK235" s="152"/>
      <c r="BL235" s="152"/>
      <c r="BM235" s="152"/>
      <c r="BN235" s="152">
        <v>0</v>
      </c>
      <c r="BO235" s="152">
        <v>0</v>
      </c>
      <c r="BP235" s="152">
        <v>306</v>
      </c>
    </row>
    <row r="236" spans="1:68" x14ac:dyDescent="0.35">
      <c r="A236" s="146" t="s">
        <v>733</v>
      </c>
      <c r="B236" s="146" t="s">
        <v>734</v>
      </c>
      <c r="C236" s="152">
        <v>203</v>
      </c>
      <c r="D236" s="152">
        <v>4</v>
      </c>
      <c r="E236" s="152"/>
      <c r="F236" s="152"/>
      <c r="G236" s="152">
        <v>207</v>
      </c>
      <c r="H236" s="152">
        <v>170</v>
      </c>
      <c r="I236" s="152">
        <v>28</v>
      </c>
      <c r="J236" s="152">
        <v>2</v>
      </c>
      <c r="K236" s="152">
        <v>2</v>
      </c>
      <c r="L236" s="152">
        <v>202</v>
      </c>
      <c r="M236" s="152">
        <v>409</v>
      </c>
      <c r="N236" s="152">
        <v>2</v>
      </c>
      <c r="O236" s="152"/>
      <c r="P236" s="152"/>
      <c r="Q236" s="152">
        <v>2</v>
      </c>
      <c r="R236" s="152">
        <v>1</v>
      </c>
      <c r="S236" s="152"/>
      <c r="T236" s="152"/>
      <c r="U236" s="152"/>
      <c r="V236" s="152">
        <v>1</v>
      </c>
      <c r="W236" s="152">
        <v>3</v>
      </c>
      <c r="X236" s="152">
        <v>4</v>
      </c>
      <c r="Y236" s="152"/>
      <c r="Z236" s="152"/>
      <c r="AA236" s="152">
        <v>4</v>
      </c>
      <c r="AB236" s="152"/>
      <c r="AC236" s="152"/>
      <c r="AD236" s="152"/>
      <c r="AE236" s="152"/>
      <c r="AF236" s="152">
        <v>0</v>
      </c>
      <c r="AG236" s="152">
        <v>4</v>
      </c>
      <c r="AH236" s="152"/>
      <c r="AI236" s="152"/>
      <c r="AJ236" s="152"/>
      <c r="AK236" s="152">
        <v>0</v>
      </c>
      <c r="AL236" s="152"/>
      <c r="AM236" s="152"/>
      <c r="AN236" s="152"/>
      <c r="AO236" s="152"/>
      <c r="AP236" s="152">
        <v>0</v>
      </c>
      <c r="AQ236" s="152">
        <v>0</v>
      </c>
      <c r="AR236" s="152">
        <v>26</v>
      </c>
      <c r="AS236" s="152"/>
      <c r="AT236" s="152"/>
      <c r="AU236" s="152">
        <v>26</v>
      </c>
      <c r="AV236" s="152">
        <v>4</v>
      </c>
      <c r="AW236" s="152"/>
      <c r="AX236" s="152"/>
      <c r="AY236" s="152"/>
      <c r="AZ236" s="152">
        <v>4</v>
      </c>
      <c r="BA236" s="152">
        <v>30</v>
      </c>
      <c r="BB236" s="152">
        <v>1</v>
      </c>
      <c r="BC236" s="152">
        <v>1</v>
      </c>
      <c r="BD236" s="152">
        <v>2</v>
      </c>
      <c r="BE236" s="152">
        <v>1</v>
      </c>
      <c r="BF236" s="152"/>
      <c r="BG236" s="152"/>
      <c r="BH236" s="152"/>
      <c r="BI236" s="152">
        <v>1</v>
      </c>
      <c r="BJ236" s="152">
        <v>3</v>
      </c>
      <c r="BK236" s="152"/>
      <c r="BL236" s="152"/>
      <c r="BM236" s="152"/>
      <c r="BN236" s="152">
        <v>0</v>
      </c>
      <c r="BO236" s="152">
        <v>0</v>
      </c>
      <c r="BP236" s="152">
        <v>449</v>
      </c>
    </row>
    <row r="237" spans="1:68" x14ac:dyDescent="0.35">
      <c r="A237" s="146" t="s">
        <v>735</v>
      </c>
      <c r="B237" s="146" t="s">
        <v>736</v>
      </c>
      <c r="C237" s="152">
        <v>44</v>
      </c>
      <c r="D237" s="152">
        <v>1</v>
      </c>
      <c r="E237" s="152"/>
      <c r="F237" s="152"/>
      <c r="G237" s="152">
        <v>45</v>
      </c>
      <c r="H237" s="152">
        <v>28</v>
      </c>
      <c r="I237" s="152">
        <v>16</v>
      </c>
      <c r="J237" s="152">
        <v>3</v>
      </c>
      <c r="K237" s="152">
        <v>2</v>
      </c>
      <c r="L237" s="152">
        <v>49</v>
      </c>
      <c r="M237" s="152">
        <v>94</v>
      </c>
      <c r="N237" s="152"/>
      <c r="O237" s="152"/>
      <c r="P237" s="152"/>
      <c r="Q237" s="152">
        <v>0</v>
      </c>
      <c r="R237" s="152"/>
      <c r="S237" s="152"/>
      <c r="T237" s="152"/>
      <c r="U237" s="152"/>
      <c r="V237" s="152">
        <v>0</v>
      </c>
      <c r="W237" s="152">
        <v>0</v>
      </c>
      <c r="X237" s="152"/>
      <c r="Y237" s="152"/>
      <c r="Z237" s="152"/>
      <c r="AA237" s="152">
        <v>0</v>
      </c>
      <c r="AB237" s="152"/>
      <c r="AC237" s="152"/>
      <c r="AD237" s="152"/>
      <c r="AE237" s="152"/>
      <c r="AF237" s="152">
        <v>0</v>
      </c>
      <c r="AG237" s="152">
        <v>0</v>
      </c>
      <c r="AH237" s="152"/>
      <c r="AI237" s="152"/>
      <c r="AJ237" s="152"/>
      <c r="AK237" s="152">
        <v>0</v>
      </c>
      <c r="AL237" s="152"/>
      <c r="AM237" s="152"/>
      <c r="AN237" s="152"/>
      <c r="AO237" s="152"/>
      <c r="AP237" s="152">
        <v>0</v>
      </c>
      <c r="AQ237" s="152">
        <v>0</v>
      </c>
      <c r="AR237" s="152">
        <v>3</v>
      </c>
      <c r="AS237" s="152"/>
      <c r="AT237" s="152"/>
      <c r="AU237" s="152">
        <v>3</v>
      </c>
      <c r="AV237" s="152"/>
      <c r="AW237" s="152"/>
      <c r="AX237" s="152"/>
      <c r="AY237" s="152"/>
      <c r="AZ237" s="152">
        <v>0</v>
      </c>
      <c r="BA237" s="152">
        <v>3</v>
      </c>
      <c r="BB237" s="152"/>
      <c r="BC237" s="152"/>
      <c r="BD237" s="152">
        <v>0</v>
      </c>
      <c r="BE237" s="152"/>
      <c r="BF237" s="152"/>
      <c r="BG237" s="152"/>
      <c r="BH237" s="152"/>
      <c r="BI237" s="152">
        <v>0</v>
      </c>
      <c r="BJ237" s="152">
        <v>0</v>
      </c>
      <c r="BK237" s="152"/>
      <c r="BL237" s="152"/>
      <c r="BM237" s="152"/>
      <c r="BN237" s="152">
        <v>0</v>
      </c>
      <c r="BO237" s="152">
        <v>0</v>
      </c>
      <c r="BP237" s="152">
        <v>97</v>
      </c>
    </row>
    <row r="238" spans="1:68" x14ac:dyDescent="0.35">
      <c r="A238" s="146" t="s">
        <v>737</v>
      </c>
      <c r="B238" s="146" t="s">
        <v>738</v>
      </c>
      <c r="C238" s="152">
        <v>22</v>
      </c>
      <c r="D238" s="152">
        <v>1</v>
      </c>
      <c r="E238" s="152"/>
      <c r="F238" s="152"/>
      <c r="G238" s="152">
        <v>23</v>
      </c>
      <c r="H238" s="152">
        <v>52</v>
      </c>
      <c r="I238" s="152">
        <v>10</v>
      </c>
      <c r="J238" s="152">
        <v>1</v>
      </c>
      <c r="K238" s="152">
        <v>1</v>
      </c>
      <c r="L238" s="152">
        <v>64</v>
      </c>
      <c r="M238" s="152">
        <v>87</v>
      </c>
      <c r="N238" s="152"/>
      <c r="O238" s="152"/>
      <c r="P238" s="152"/>
      <c r="Q238" s="152">
        <v>0</v>
      </c>
      <c r="R238" s="152"/>
      <c r="S238" s="152"/>
      <c r="T238" s="152"/>
      <c r="U238" s="152"/>
      <c r="V238" s="152">
        <v>0</v>
      </c>
      <c r="W238" s="152">
        <v>0</v>
      </c>
      <c r="X238" s="152">
        <v>2</v>
      </c>
      <c r="Y238" s="152"/>
      <c r="Z238" s="152"/>
      <c r="AA238" s="152">
        <v>2</v>
      </c>
      <c r="AB238" s="152"/>
      <c r="AC238" s="152"/>
      <c r="AD238" s="152"/>
      <c r="AE238" s="152"/>
      <c r="AF238" s="152">
        <v>0</v>
      </c>
      <c r="AG238" s="152">
        <v>2</v>
      </c>
      <c r="AH238" s="152">
        <v>1</v>
      </c>
      <c r="AI238" s="152"/>
      <c r="AJ238" s="152"/>
      <c r="AK238" s="152">
        <v>1</v>
      </c>
      <c r="AL238" s="152">
        <v>1</v>
      </c>
      <c r="AM238" s="152"/>
      <c r="AN238" s="152"/>
      <c r="AO238" s="152"/>
      <c r="AP238" s="152">
        <v>1</v>
      </c>
      <c r="AQ238" s="152">
        <v>2</v>
      </c>
      <c r="AR238" s="152">
        <v>2</v>
      </c>
      <c r="AS238" s="152">
        <v>1</v>
      </c>
      <c r="AT238" s="152"/>
      <c r="AU238" s="152">
        <v>3</v>
      </c>
      <c r="AV238" s="152">
        <v>6</v>
      </c>
      <c r="AW238" s="152">
        <v>1</v>
      </c>
      <c r="AX238" s="152"/>
      <c r="AY238" s="152">
        <v>1</v>
      </c>
      <c r="AZ238" s="152">
        <v>8</v>
      </c>
      <c r="BA238" s="152">
        <v>11</v>
      </c>
      <c r="BB238" s="152"/>
      <c r="BC238" s="152"/>
      <c r="BD238" s="152">
        <v>0</v>
      </c>
      <c r="BE238" s="152"/>
      <c r="BF238" s="152"/>
      <c r="BG238" s="152"/>
      <c r="BH238" s="152"/>
      <c r="BI238" s="152">
        <v>0</v>
      </c>
      <c r="BJ238" s="152">
        <v>0</v>
      </c>
      <c r="BK238" s="152"/>
      <c r="BL238" s="152"/>
      <c r="BM238" s="152"/>
      <c r="BN238" s="152">
        <v>0</v>
      </c>
      <c r="BO238" s="152">
        <v>0</v>
      </c>
      <c r="BP238" s="152">
        <v>102</v>
      </c>
    </row>
    <row r="239" spans="1:68" x14ac:dyDescent="0.35">
      <c r="A239" s="146" t="s">
        <v>739</v>
      </c>
      <c r="B239" s="146" t="s">
        <v>740</v>
      </c>
      <c r="C239" s="152">
        <v>162</v>
      </c>
      <c r="D239" s="152">
        <v>9</v>
      </c>
      <c r="E239" s="152">
        <v>1</v>
      </c>
      <c r="F239" s="152"/>
      <c r="G239" s="152">
        <v>172</v>
      </c>
      <c r="H239" s="152">
        <v>366</v>
      </c>
      <c r="I239" s="152">
        <v>107</v>
      </c>
      <c r="J239" s="152">
        <v>38</v>
      </c>
      <c r="K239" s="152">
        <v>9</v>
      </c>
      <c r="L239" s="152">
        <v>520</v>
      </c>
      <c r="M239" s="152">
        <v>692</v>
      </c>
      <c r="N239" s="152">
        <v>6</v>
      </c>
      <c r="O239" s="152"/>
      <c r="P239" s="152"/>
      <c r="Q239" s="152">
        <v>6</v>
      </c>
      <c r="R239" s="152"/>
      <c r="S239" s="152"/>
      <c r="T239" s="152"/>
      <c r="U239" s="152"/>
      <c r="V239" s="152">
        <v>0</v>
      </c>
      <c r="W239" s="152">
        <v>6</v>
      </c>
      <c r="X239" s="152">
        <v>6</v>
      </c>
      <c r="Y239" s="152"/>
      <c r="Z239" s="152"/>
      <c r="AA239" s="152">
        <v>6</v>
      </c>
      <c r="AB239" s="152"/>
      <c r="AC239" s="152"/>
      <c r="AD239" s="152"/>
      <c r="AE239" s="152"/>
      <c r="AF239" s="152">
        <v>0</v>
      </c>
      <c r="AG239" s="152">
        <v>6</v>
      </c>
      <c r="AH239" s="152">
        <v>5</v>
      </c>
      <c r="AI239" s="152"/>
      <c r="AJ239" s="152"/>
      <c r="AK239" s="152">
        <v>5</v>
      </c>
      <c r="AL239" s="152">
        <v>3</v>
      </c>
      <c r="AM239" s="152">
        <v>1</v>
      </c>
      <c r="AN239" s="152"/>
      <c r="AO239" s="152"/>
      <c r="AP239" s="152">
        <v>4</v>
      </c>
      <c r="AQ239" s="152">
        <v>9</v>
      </c>
      <c r="AR239" s="152">
        <v>15</v>
      </c>
      <c r="AS239" s="152"/>
      <c r="AT239" s="152"/>
      <c r="AU239" s="152">
        <v>15</v>
      </c>
      <c r="AV239" s="152">
        <v>20</v>
      </c>
      <c r="AW239" s="152">
        <v>2</v>
      </c>
      <c r="AX239" s="152"/>
      <c r="AY239" s="152"/>
      <c r="AZ239" s="152">
        <v>22</v>
      </c>
      <c r="BA239" s="152">
        <v>37</v>
      </c>
      <c r="BB239" s="152"/>
      <c r="BC239" s="152"/>
      <c r="BD239" s="152">
        <v>0</v>
      </c>
      <c r="BE239" s="152">
        <v>1</v>
      </c>
      <c r="BF239" s="152"/>
      <c r="BG239" s="152"/>
      <c r="BH239" s="152"/>
      <c r="BI239" s="152">
        <v>1</v>
      </c>
      <c r="BJ239" s="152">
        <v>1</v>
      </c>
      <c r="BK239" s="152"/>
      <c r="BL239" s="152"/>
      <c r="BM239" s="152"/>
      <c r="BN239" s="152">
        <v>0</v>
      </c>
      <c r="BO239" s="152">
        <v>0</v>
      </c>
      <c r="BP239" s="152">
        <v>751</v>
      </c>
    </row>
    <row r="240" spans="1:68" x14ac:dyDescent="0.35">
      <c r="A240" s="146" t="s">
        <v>741</v>
      </c>
      <c r="B240" s="146" t="s">
        <v>742</v>
      </c>
      <c r="C240" s="152">
        <v>91</v>
      </c>
      <c r="D240" s="152">
        <v>8</v>
      </c>
      <c r="E240" s="152"/>
      <c r="F240" s="152"/>
      <c r="G240" s="152">
        <v>99</v>
      </c>
      <c r="H240" s="152">
        <v>90</v>
      </c>
      <c r="I240" s="152">
        <v>34</v>
      </c>
      <c r="J240" s="152">
        <v>5</v>
      </c>
      <c r="K240" s="152">
        <v>2</v>
      </c>
      <c r="L240" s="152">
        <v>131</v>
      </c>
      <c r="M240" s="152">
        <v>230</v>
      </c>
      <c r="N240" s="152"/>
      <c r="O240" s="152"/>
      <c r="P240" s="152"/>
      <c r="Q240" s="152">
        <v>0</v>
      </c>
      <c r="R240" s="152"/>
      <c r="S240" s="152"/>
      <c r="T240" s="152"/>
      <c r="U240" s="152"/>
      <c r="V240" s="152">
        <v>0</v>
      </c>
      <c r="W240" s="152">
        <v>0</v>
      </c>
      <c r="X240" s="152"/>
      <c r="Y240" s="152"/>
      <c r="Z240" s="152"/>
      <c r="AA240" s="152">
        <v>0</v>
      </c>
      <c r="AB240" s="152"/>
      <c r="AC240" s="152"/>
      <c r="AD240" s="152"/>
      <c r="AE240" s="152"/>
      <c r="AF240" s="152">
        <v>0</v>
      </c>
      <c r="AG240" s="152">
        <v>0</v>
      </c>
      <c r="AH240" s="152">
        <v>3</v>
      </c>
      <c r="AI240" s="152"/>
      <c r="AJ240" s="152"/>
      <c r="AK240" s="152">
        <v>3</v>
      </c>
      <c r="AL240" s="152"/>
      <c r="AM240" s="152"/>
      <c r="AN240" s="152"/>
      <c r="AO240" s="152"/>
      <c r="AP240" s="152">
        <v>0</v>
      </c>
      <c r="AQ240" s="152">
        <v>3</v>
      </c>
      <c r="AR240" s="152">
        <v>7</v>
      </c>
      <c r="AS240" s="152"/>
      <c r="AT240" s="152"/>
      <c r="AU240" s="152">
        <v>7</v>
      </c>
      <c r="AV240" s="152">
        <v>4</v>
      </c>
      <c r="AW240" s="152">
        <v>1</v>
      </c>
      <c r="AX240" s="152"/>
      <c r="AY240" s="152"/>
      <c r="AZ240" s="152">
        <v>5</v>
      </c>
      <c r="BA240" s="152">
        <v>12</v>
      </c>
      <c r="BB240" s="152"/>
      <c r="BC240" s="152"/>
      <c r="BD240" s="152">
        <v>0</v>
      </c>
      <c r="BE240" s="152"/>
      <c r="BF240" s="152"/>
      <c r="BG240" s="152"/>
      <c r="BH240" s="152"/>
      <c r="BI240" s="152">
        <v>0</v>
      </c>
      <c r="BJ240" s="152">
        <v>0</v>
      </c>
      <c r="BK240" s="152"/>
      <c r="BL240" s="152"/>
      <c r="BM240" s="152"/>
      <c r="BN240" s="152">
        <v>0</v>
      </c>
      <c r="BO240" s="152">
        <v>0</v>
      </c>
      <c r="BP240" s="152">
        <v>245</v>
      </c>
    </row>
    <row r="241" spans="1:68" x14ac:dyDescent="0.35">
      <c r="A241" s="146" t="s">
        <v>743</v>
      </c>
      <c r="B241" s="146" t="s">
        <v>744</v>
      </c>
      <c r="C241" s="152">
        <v>15</v>
      </c>
      <c r="D241" s="152">
        <v>1</v>
      </c>
      <c r="E241" s="152">
        <v>1</v>
      </c>
      <c r="F241" s="152"/>
      <c r="G241" s="152">
        <v>17</v>
      </c>
      <c r="H241" s="152">
        <v>57</v>
      </c>
      <c r="I241" s="152">
        <v>20</v>
      </c>
      <c r="J241" s="152">
        <v>6</v>
      </c>
      <c r="K241" s="152">
        <v>1</v>
      </c>
      <c r="L241" s="152">
        <v>84</v>
      </c>
      <c r="M241" s="152">
        <v>101</v>
      </c>
      <c r="N241" s="152">
        <v>1</v>
      </c>
      <c r="O241" s="152"/>
      <c r="P241" s="152"/>
      <c r="Q241" s="152">
        <v>1</v>
      </c>
      <c r="R241" s="152"/>
      <c r="S241" s="152"/>
      <c r="T241" s="152"/>
      <c r="U241" s="152"/>
      <c r="V241" s="152">
        <v>0</v>
      </c>
      <c r="W241" s="152">
        <v>1</v>
      </c>
      <c r="X241" s="152"/>
      <c r="Y241" s="152"/>
      <c r="Z241" s="152"/>
      <c r="AA241" s="152">
        <v>0</v>
      </c>
      <c r="AB241" s="152">
        <v>1</v>
      </c>
      <c r="AC241" s="152"/>
      <c r="AD241" s="152"/>
      <c r="AE241" s="152"/>
      <c r="AF241" s="152">
        <v>1</v>
      </c>
      <c r="AG241" s="152">
        <v>1</v>
      </c>
      <c r="AH241" s="152">
        <v>3</v>
      </c>
      <c r="AI241" s="152"/>
      <c r="AJ241" s="152"/>
      <c r="AK241" s="152">
        <v>3</v>
      </c>
      <c r="AL241" s="152"/>
      <c r="AM241" s="152">
        <v>1</v>
      </c>
      <c r="AN241" s="152"/>
      <c r="AO241" s="152"/>
      <c r="AP241" s="152">
        <v>1</v>
      </c>
      <c r="AQ241" s="152">
        <v>4</v>
      </c>
      <c r="AR241" s="152"/>
      <c r="AS241" s="152"/>
      <c r="AT241" s="152"/>
      <c r="AU241" s="152">
        <v>0</v>
      </c>
      <c r="AV241" s="152">
        <v>3</v>
      </c>
      <c r="AW241" s="152">
        <v>1</v>
      </c>
      <c r="AX241" s="152"/>
      <c r="AY241" s="152"/>
      <c r="AZ241" s="152">
        <v>4</v>
      </c>
      <c r="BA241" s="152">
        <v>4</v>
      </c>
      <c r="BB241" s="152"/>
      <c r="BC241" s="152"/>
      <c r="BD241" s="152">
        <v>0</v>
      </c>
      <c r="BE241" s="152"/>
      <c r="BF241" s="152"/>
      <c r="BG241" s="152"/>
      <c r="BH241" s="152"/>
      <c r="BI241" s="152">
        <v>0</v>
      </c>
      <c r="BJ241" s="152">
        <v>0</v>
      </c>
      <c r="BK241" s="152"/>
      <c r="BL241" s="152"/>
      <c r="BM241" s="152"/>
      <c r="BN241" s="152">
        <v>0</v>
      </c>
      <c r="BO241" s="152">
        <v>0</v>
      </c>
      <c r="BP241" s="152">
        <v>111</v>
      </c>
    </row>
    <row r="242" spans="1:68" x14ac:dyDescent="0.35">
      <c r="A242" s="146" t="s">
        <v>745</v>
      </c>
      <c r="B242" s="146" t="s">
        <v>746</v>
      </c>
      <c r="C242" s="152">
        <v>64</v>
      </c>
      <c r="D242" s="152">
        <v>1</v>
      </c>
      <c r="E242" s="152"/>
      <c r="F242" s="152"/>
      <c r="G242" s="152">
        <v>65</v>
      </c>
      <c r="H242" s="152">
        <v>113</v>
      </c>
      <c r="I242" s="152">
        <v>43</v>
      </c>
      <c r="J242" s="152">
        <v>10</v>
      </c>
      <c r="K242" s="152"/>
      <c r="L242" s="152">
        <v>166</v>
      </c>
      <c r="M242" s="152">
        <v>231</v>
      </c>
      <c r="N242" s="152">
        <v>2</v>
      </c>
      <c r="O242" s="152"/>
      <c r="P242" s="152"/>
      <c r="Q242" s="152">
        <v>2</v>
      </c>
      <c r="R242" s="152"/>
      <c r="S242" s="152"/>
      <c r="T242" s="152"/>
      <c r="U242" s="152"/>
      <c r="V242" s="152">
        <v>0</v>
      </c>
      <c r="W242" s="152">
        <v>2</v>
      </c>
      <c r="X242" s="152">
        <v>1</v>
      </c>
      <c r="Y242" s="152"/>
      <c r="Z242" s="152"/>
      <c r="AA242" s="152">
        <v>1</v>
      </c>
      <c r="AB242" s="152"/>
      <c r="AC242" s="152">
        <v>1</v>
      </c>
      <c r="AD242" s="152">
        <v>1</v>
      </c>
      <c r="AE242" s="152"/>
      <c r="AF242" s="152">
        <v>2</v>
      </c>
      <c r="AG242" s="152">
        <v>3</v>
      </c>
      <c r="AH242" s="152">
        <v>3</v>
      </c>
      <c r="AI242" s="152"/>
      <c r="AJ242" s="152"/>
      <c r="AK242" s="152">
        <v>3</v>
      </c>
      <c r="AL242" s="152">
        <v>1</v>
      </c>
      <c r="AM242" s="152"/>
      <c r="AN242" s="152"/>
      <c r="AO242" s="152"/>
      <c r="AP242" s="152">
        <v>1</v>
      </c>
      <c r="AQ242" s="152">
        <v>4</v>
      </c>
      <c r="AR242" s="152">
        <v>11</v>
      </c>
      <c r="AS242" s="152"/>
      <c r="AT242" s="152"/>
      <c r="AU242" s="152">
        <v>11</v>
      </c>
      <c r="AV242" s="152">
        <v>7</v>
      </c>
      <c r="AW242" s="152">
        <v>1</v>
      </c>
      <c r="AX242" s="152">
        <v>1</v>
      </c>
      <c r="AY242" s="152"/>
      <c r="AZ242" s="152">
        <v>9</v>
      </c>
      <c r="BA242" s="152">
        <v>20</v>
      </c>
      <c r="BB242" s="152"/>
      <c r="BC242" s="152"/>
      <c r="BD242" s="152">
        <v>0</v>
      </c>
      <c r="BE242" s="152"/>
      <c r="BF242" s="152"/>
      <c r="BG242" s="152"/>
      <c r="BH242" s="152"/>
      <c r="BI242" s="152">
        <v>0</v>
      </c>
      <c r="BJ242" s="152">
        <v>0</v>
      </c>
      <c r="BK242" s="152"/>
      <c r="BL242" s="152"/>
      <c r="BM242" s="152"/>
      <c r="BN242" s="152">
        <v>0</v>
      </c>
      <c r="BO242" s="152">
        <v>0</v>
      </c>
      <c r="BP242" s="152">
        <v>260</v>
      </c>
    </row>
    <row r="243" spans="1:68" x14ac:dyDescent="0.35">
      <c r="A243" s="146" t="s">
        <v>747</v>
      </c>
      <c r="B243" s="146" t="s">
        <v>748</v>
      </c>
      <c r="C243" s="152">
        <v>6</v>
      </c>
      <c r="D243" s="152">
        <v>2</v>
      </c>
      <c r="E243" s="152"/>
      <c r="F243" s="152"/>
      <c r="G243" s="152">
        <v>8</v>
      </c>
      <c r="H243" s="152">
        <v>38</v>
      </c>
      <c r="I243" s="152">
        <v>12</v>
      </c>
      <c r="J243" s="152">
        <v>1</v>
      </c>
      <c r="K243" s="152"/>
      <c r="L243" s="152">
        <v>51</v>
      </c>
      <c r="M243" s="152">
        <v>59</v>
      </c>
      <c r="N243" s="152">
        <v>2</v>
      </c>
      <c r="O243" s="152"/>
      <c r="P243" s="152"/>
      <c r="Q243" s="152">
        <v>2</v>
      </c>
      <c r="R243" s="152">
        <v>1</v>
      </c>
      <c r="S243" s="152">
        <v>1</v>
      </c>
      <c r="T243" s="152"/>
      <c r="U243" s="152"/>
      <c r="V243" s="152">
        <v>2</v>
      </c>
      <c r="W243" s="152">
        <v>4</v>
      </c>
      <c r="X243" s="152">
        <v>7</v>
      </c>
      <c r="Y243" s="152"/>
      <c r="Z243" s="152"/>
      <c r="AA243" s="152">
        <v>7</v>
      </c>
      <c r="AB243" s="152">
        <v>2</v>
      </c>
      <c r="AC243" s="152">
        <v>2</v>
      </c>
      <c r="AD243" s="152"/>
      <c r="AE243" s="152"/>
      <c r="AF243" s="152">
        <v>4</v>
      </c>
      <c r="AG243" s="152">
        <v>11</v>
      </c>
      <c r="AH243" s="152">
        <v>5</v>
      </c>
      <c r="AI243" s="152"/>
      <c r="AJ243" s="152"/>
      <c r="AK243" s="152">
        <v>5</v>
      </c>
      <c r="AL243" s="152">
        <v>2</v>
      </c>
      <c r="AM243" s="152">
        <v>1</v>
      </c>
      <c r="AN243" s="152"/>
      <c r="AO243" s="152"/>
      <c r="AP243" s="152">
        <v>3</v>
      </c>
      <c r="AQ243" s="152">
        <v>8</v>
      </c>
      <c r="AR243" s="152"/>
      <c r="AS243" s="152"/>
      <c r="AT243" s="152"/>
      <c r="AU243" s="152">
        <v>0</v>
      </c>
      <c r="AV243" s="152">
        <v>3</v>
      </c>
      <c r="AW243" s="152">
        <v>1</v>
      </c>
      <c r="AX243" s="152"/>
      <c r="AY243" s="152"/>
      <c r="AZ243" s="152">
        <v>4</v>
      </c>
      <c r="BA243" s="152">
        <v>4</v>
      </c>
      <c r="BB243" s="152">
        <v>2</v>
      </c>
      <c r="BC243" s="152"/>
      <c r="BD243" s="152">
        <v>2</v>
      </c>
      <c r="BE243" s="152"/>
      <c r="BF243" s="152">
        <v>1</v>
      </c>
      <c r="BG243" s="152"/>
      <c r="BH243" s="152"/>
      <c r="BI243" s="152">
        <v>1</v>
      </c>
      <c r="BJ243" s="152">
        <v>3</v>
      </c>
      <c r="BK243" s="152"/>
      <c r="BL243" s="152"/>
      <c r="BM243" s="152"/>
      <c r="BN243" s="152">
        <v>0</v>
      </c>
      <c r="BO243" s="152">
        <v>0</v>
      </c>
      <c r="BP243" s="152">
        <v>89</v>
      </c>
    </row>
    <row r="244" spans="1:68" x14ac:dyDescent="0.35">
      <c r="A244" s="146" t="s">
        <v>749</v>
      </c>
      <c r="B244" s="146" t="s">
        <v>750</v>
      </c>
      <c r="C244" s="152">
        <v>41</v>
      </c>
      <c r="D244" s="152">
        <v>6</v>
      </c>
      <c r="E244" s="152"/>
      <c r="F244" s="152"/>
      <c r="G244" s="152">
        <v>47</v>
      </c>
      <c r="H244" s="152">
        <v>275</v>
      </c>
      <c r="I244" s="152">
        <v>116</v>
      </c>
      <c r="J244" s="152">
        <v>29</v>
      </c>
      <c r="K244" s="152">
        <v>4</v>
      </c>
      <c r="L244" s="152">
        <v>424</v>
      </c>
      <c r="M244" s="152">
        <v>471</v>
      </c>
      <c r="N244" s="152">
        <v>2</v>
      </c>
      <c r="O244" s="152"/>
      <c r="P244" s="152"/>
      <c r="Q244" s="152">
        <v>2</v>
      </c>
      <c r="R244" s="152"/>
      <c r="S244" s="152"/>
      <c r="T244" s="152"/>
      <c r="U244" s="152"/>
      <c r="V244" s="152">
        <v>0</v>
      </c>
      <c r="W244" s="152">
        <v>2</v>
      </c>
      <c r="X244" s="152"/>
      <c r="Y244" s="152"/>
      <c r="Z244" s="152"/>
      <c r="AA244" s="152">
        <v>0</v>
      </c>
      <c r="AB244" s="152"/>
      <c r="AC244" s="152"/>
      <c r="AD244" s="152"/>
      <c r="AE244" s="152"/>
      <c r="AF244" s="152">
        <v>0</v>
      </c>
      <c r="AG244" s="152">
        <v>0</v>
      </c>
      <c r="AH244" s="152">
        <v>4</v>
      </c>
      <c r="AI244" s="152"/>
      <c r="AJ244" s="152"/>
      <c r="AK244" s="152">
        <v>4</v>
      </c>
      <c r="AL244" s="152">
        <v>6</v>
      </c>
      <c r="AM244" s="152">
        <v>3</v>
      </c>
      <c r="AN244" s="152"/>
      <c r="AO244" s="152"/>
      <c r="AP244" s="152">
        <v>9</v>
      </c>
      <c r="AQ244" s="152">
        <v>13</v>
      </c>
      <c r="AR244" s="152">
        <v>4</v>
      </c>
      <c r="AS244" s="152"/>
      <c r="AT244" s="152"/>
      <c r="AU244" s="152">
        <v>4</v>
      </c>
      <c r="AV244" s="152">
        <v>17</v>
      </c>
      <c r="AW244" s="152">
        <v>6</v>
      </c>
      <c r="AX244" s="152">
        <v>2</v>
      </c>
      <c r="AY244" s="152">
        <v>1</v>
      </c>
      <c r="AZ244" s="152">
        <v>26</v>
      </c>
      <c r="BA244" s="152">
        <v>30</v>
      </c>
      <c r="BB244" s="152">
        <v>2</v>
      </c>
      <c r="BC244" s="152"/>
      <c r="BD244" s="152">
        <v>2</v>
      </c>
      <c r="BE244" s="152"/>
      <c r="BF244" s="152"/>
      <c r="BG244" s="152"/>
      <c r="BH244" s="152"/>
      <c r="BI244" s="152">
        <v>0</v>
      </c>
      <c r="BJ244" s="152">
        <v>2</v>
      </c>
      <c r="BK244" s="152"/>
      <c r="BL244" s="152"/>
      <c r="BM244" s="152"/>
      <c r="BN244" s="152">
        <v>0</v>
      </c>
      <c r="BO244" s="152">
        <v>0</v>
      </c>
      <c r="BP244" s="152">
        <v>518</v>
      </c>
    </row>
    <row r="245" spans="1:68" x14ac:dyDescent="0.35">
      <c r="A245" s="146" t="s">
        <v>751</v>
      </c>
      <c r="B245" s="146" t="s">
        <v>752</v>
      </c>
      <c r="C245" s="152">
        <v>17</v>
      </c>
      <c r="D245" s="152">
        <v>1</v>
      </c>
      <c r="E245" s="152"/>
      <c r="F245" s="152"/>
      <c r="G245" s="152">
        <v>18</v>
      </c>
      <c r="H245" s="152">
        <v>26</v>
      </c>
      <c r="I245" s="152">
        <v>12</v>
      </c>
      <c r="J245" s="152">
        <v>5</v>
      </c>
      <c r="K245" s="152">
        <v>1</v>
      </c>
      <c r="L245" s="152">
        <v>44</v>
      </c>
      <c r="M245" s="152">
        <v>62</v>
      </c>
      <c r="N245" s="152">
        <v>38</v>
      </c>
      <c r="O245" s="152"/>
      <c r="P245" s="152"/>
      <c r="Q245" s="152">
        <v>38</v>
      </c>
      <c r="R245" s="152">
        <v>31</v>
      </c>
      <c r="S245" s="152">
        <v>7</v>
      </c>
      <c r="T245" s="152"/>
      <c r="U245" s="152"/>
      <c r="V245" s="152">
        <v>38</v>
      </c>
      <c r="W245" s="152">
        <v>76</v>
      </c>
      <c r="X245" s="152">
        <v>1</v>
      </c>
      <c r="Y245" s="152"/>
      <c r="Z245" s="152">
        <v>1</v>
      </c>
      <c r="AA245" s="152">
        <v>2</v>
      </c>
      <c r="AB245" s="152">
        <v>3</v>
      </c>
      <c r="AC245" s="152">
        <v>1</v>
      </c>
      <c r="AD245" s="152">
        <v>1</v>
      </c>
      <c r="AE245" s="152"/>
      <c r="AF245" s="152">
        <v>5</v>
      </c>
      <c r="AG245" s="152">
        <v>7</v>
      </c>
      <c r="AH245" s="152">
        <v>6</v>
      </c>
      <c r="AI245" s="152"/>
      <c r="AJ245" s="152"/>
      <c r="AK245" s="152">
        <v>6</v>
      </c>
      <c r="AL245" s="152">
        <v>2</v>
      </c>
      <c r="AM245" s="152"/>
      <c r="AN245" s="152"/>
      <c r="AO245" s="152"/>
      <c r="AP245" s="152">
        <v>2</v>
      </c>
      <c r="AQ245" s="152">
        <v>8</v>
      </c>
      <c r="AR245" s="152">
        <v>7</v>
      </c>
      <c r="AS245" s="152"/>
      <c r="AT245" s="152"/>
      <c r="AU245" s="152">
        <v>7</v>
      </c>
      <c r="AV245" s="152">
        <v>3</v>
      </c>
      <c r="AW245" s="152">
        <v>4</v>
      </c>
      <c r="AX245" s="152">
        <v>1</v>
      </c>
      <c r="AY245" s="152">
        <v>1</v>
      </c>
      <c r="AZ245" s="152">
        <v>9</v>
      </c>
      <c r="BA245" s="152">
        <v>16</v>
      </c>
      <c r="BB245" s="152">
        <v>2</v>
      </c>
      <c r="BC245" s="152"/>
      <c r="BD245" s="152">
        <v>2</v>
      </c>
      <c r="BE245" s="152">
        <v>1</v>
      </c>
      <c r="BF245" s="152"/>
      <c r="BG245" s="152"/>
      <c r="BH245" s="152"/>
      <c r="BI245" s="152">
        <v>1</v>
      </c>
      <c r="BJ245" s="152">
        <v>3</v>
      </c>
      <c r="BK245" s="152"/>
      <c r="BL245" s="152"/>
      <c r="BM245" s="152"/>
      <c r="BN245" s="152">
        <v>0</v>
      </c>
      <c r="BO245" s="152">
        <v>0</v>
      </c>
      <c r="BP245" s="152">
        <v>172</v>
      </c>
    </row>
    <row r="246" spans="1:68" x14ac:dyDescent="0.35">
      <c r="A246" s="146" t="s">
        <v>753</v>
      </c>
      <c r="B246" s="146" t="s">
        <v>754</v>
      </c>
      <c r="C246" s="152">
        <v>25</v>
      </c>
      <c r="D246" s="152">
        <v>4</v>
      </c>
      <c r="E246" s="152"/>
      <c r="F246" s="152"/>
      <c r="G246" s="152">
        <v>29</v>
      </c>
      <c r="H246" s="152">
        <v>107</v>
      </c>
      <c r="I246" s="152">
        <v>72</v>
      </c>
      <c r="J246" s="152">
        <v>13</v>
      </c>
      <c r="K246" s="152"/>
      <c r="L246" s="152">
        <v>192</v>
      </c>
      <c r="M246" s="152">
        <v>221</v>
      </c>
      <c r="N246" s="152">
        <v>4</v>
      </c>
      <c r="O246" s="152"/>
      <c r="P246" s="152"/>
      <c r="Q246" s="152">
        <v>4</v>
      </c>
      <c r="R246" s="152">
        <v>1</v>
      </c>
      <c r="S246" s="152"/>
      <c r="T246" s="152"/>
      <c r="U246" s="152"/>
      <c r="V246" s="152">
        <v>1</v>
      </c>
      <c r="W246" s="152">
        <v>5</v>
      </c>
      <c r="X246" s="152"/>
      <c r="Y246" s="152"/>
      <c r="Z246" s="152"/>
      <c r="AA246" s="152">
        <v>0</v>
      </c>
      <c r="AB246" s="152">
        <v>2</v>
      </c>
      <c r="AC246" s="152">
        <v>1</v>
      </c>
      <c r="AD246" s="152"/>
      <c r="AE246" s="152"/>
      <c r="AF246" s="152">
        <v>3</v>
      </c>
      <c r="AG246" s="152">
        <v>3</v>
      </c>
      <c r="AH246" s="152">
        <v>34</v>
      </c>
      <c r="AI246" s="152">
        <v>13</v>
      </c>
      <c r="AJ246" s="152"/>
      <c r="AK246" s="152">
        <v>47</v>
      </c>
      <c r="AL246" s="152">
        <v>54</v>
      </c>
      <c r="AM246" s="152">
        <v>17</v>
      </c>
      <c r="AN246" s="152"/>
      <c r="AO246" s="152"/>
      <c r="AP246" s="152">
        <v>71</v>
      </c>
      <c r="AQ246" s="152">
        <v>118</v>
      </c>
      <c r="AR246" s="152">
        <v>3</v>
      </c>
      <c r="AS246" s="152"/>
      <c r="AT246" s="152"/>
      <c r="AU246" s="152">
        <v>3</v>
      </c>
      <c r="AV246" s="152">
        <v>10</v>
      </c>
      <c r="AW246" s="152">
        <v>3</v>
      </c>
      <c r="AX246" s="152"/>
      <c r="AY246" s="152"/>
      <c r="AZ246" s="152">
        <v>13</v>
      </c>
      <c r="BA246" s="152">
        <v>16</v>
      </c>
      <c r="BB246" s="152">
        <v>6</v>
      </c>
      <c r="BC246" s="152"/>
      <c r="BD246" s="152">
        <v>6</v>
      </c>
      <c r="BE246" s="152">
        <v>3</v>
      </c>
      <c r="BF246" s="152"/>
      <c r="BG246" s="152"/>
      <c r="BH246" s="152"/>
      <c r="BI246" s="152">
        <v>3</v>
      </c>
      <c r="BJ246" s="152">
        <v>9</v>
      </c>
      <c r="BK246" s="152"/>
      <c r="BL246" s="152"/>
      <c r="BM246" s="152"/>
      <c r="BN246" s="152">
        <v>0</v>
      </c>
      <c r="BO246" s="152">
        <v>0</v>
      </c>
      <c r="BP246" s="152">
        <v>372</v>
      </c>
    </row>
    <row r="247" spans="1:68" x14ac:dyDescent="0.35">
      <c r="A247" s="146" t="s">
        <v>755</v>
      </c>
      <c r="B247" s="146" t="s">
        <v>756</v>
      </c>
      <c r="C247" s="152">
        <v>105</v>
      </c>
      <c r="D247" s="152">
        <v>5</v>
      </c>
      <c r="E247" s="152"/>
      <c r="F247" s="152"/>
      <c r="G247" s="152">
        <v>110</v>
      </c>
      <c r="H247" s="152">
        <v>362</v>
      </c>
      <c r="I247" s="152">
        <v>134</v>
      </c>
      <c r="J247" s="152">
        <v>31</v>
      </c>
      <c r="K247" s="152">
        <v>4</v>
      </c>
      <c r="L247" s="152">
        <v>531</v>
      </c>
      <c r="M247" s="152">
        <v>641</v>
      </c>
      <c r="N247" s="152">
        <v>7</v>
      </c>
      <c r="O247" s="152"/>
      <c r="P247" s="152"/>
      <c r="Q247" s="152">
        <v>7</v>
      </c>
      <c r="R247" s="152">
        <v>15</v>
      </c>
      <c r="S247" s="152">
        <v>7</v>
      </c>
      <c r="T247" s="152">
        <v>1</v>
      </c>
      <c r="U247" s="152"/>
      <c r="V247" s="152">
        <v>23</v>
      </c>
      <c r="W247" s="152">
        <v>30</v>
      </c>
      <c r="X247" s="152">
        <v>8</v>
      </c>
      <c r="Y247" s="152"/>
      <c r="Z247" s="152"/>
      <c r="AA247" s="152">
        <v>8</v>
      </c>
      <c r="AB247" s="152">
        <v>3</v>
      </c>
      <c r="AC247" s="152">
        <v>6</v>
      </c>
      <c r="AD247" s="152">
        <v>1</v>
      </c>
      <c r="AE247" s="152"/>
      <c r="AF247" s="152">
        <v>10</v>
      </c>
      <c r="AG247" s="152">
        <v>18</v>
      </c>
      <c r="AH247" s="152">
        <v>13</v>
      </c>
      <c r="AI247" s="152">
        <v>1</v>
      </c>
      <c r="AJ247" s="152"/>
      <c r="AK247" s="152">
        <v>14</v>
      </c>
      <c r="AL247" s="152">
        <v>10</v>
      </c>
      <c r="AM247" s="152">
        <v>2</v>
      </c>
      <c r="AN247" s="152">
        <v>1</v>
      </c>
      <c r="AO247" s="152"/>
      <c r="AP247" s="152">
        <v>13</v>
      </c>
      <c r="AQ247" s="152">
        <v>27</v>
      </c>
      <c r="AR247" s="152">
        <v>18</v>
      </c>
      <c r="AS247" s="152">
        <v>2</v>
      </c>
      <c r="AT247" s="152"/>
      <c r="AU247" s="152">
        <v>20</v>
      </c>
      <c r="AV247" s="152">
        <v>40</v>
      </c>
      <c r="AW247" s="152">
        <v>6</v>
      </c>
      <c r="AX247" s="152">
        <v>3</v>
      </c>
      <c r="AY247" s="152">
        <v>1</v>
      </c>
      <c r="AZ247" s="152">
        <v>50</v>
      </c>
      <c r="BA247" s="152">
        <v>70</v>
      </c>
      <c r="BB247" s="152">
        <v>6</v>
      </c>
      <c r="BC247" s="152"/>
      <c r="BD247" s="152">
        <v>6</v>
      </c>
      <c r="BE247" s="152">
        <v>16</v>
      </c>
      <c r="BF247" s="152">
        <v>4</v>
      </c>
      <c r="BG247" s="152"/>
      <c r="BH247" s="152"/>
      <c r="BI247" s="152">
        <v>20</v>
      </c>
      <c r="BJ247" s="152">
        <v>26</v>
      </c>
      <c r="BK247" s="152"/>
      <c r="BL247" s="152"/>
      <c r="BM247" s="152"/>
      <c r="BN247" s="152">
        <v>0</v>
      </c>
      <c r="BO247" s="152">
        <v>0</v>
      </c>
      <c r="BP247" s="152">
        <v>812</v>
      </c>
    </row>
    <row r="248" spans="1:68" x14ac:dyDescent="0.35">
      <c r="A248" s="146" t="s">
        <v>757</v>
      </c>
      <c r="B248" s="146" t="s">
        <v>758</v>
      </c>
      <c r="C248" s="152">
        <v>29</v>
      </c>
      <c r="D248" s="152">
        <v>2</v>
      </c>
      <c r="E248" s="152"/>
      <c r="F248" s="152"/>
      <c r="G248" s="152">
        <v>31</v>
      </c>
      <c r="H248" s="152">
        <v>82</v>
      </c>
      <c r="I248" s="152">
        <v>29</v>
      </c>
      <c r="J248" s="152">
        <v>10</v>
      </c>
      <c r="K248" s="152">
        <v>4</v>
      </c>
      <c r="L248" s="152">
        <v>125</v>
      </c>
      <c r="M248" s="152">
        <v>156</v>
      </c>
      <c r="N248" s="152">
        <v>3</v>
      </c>
      <c r="O248" s="152"/>
      <c r="P248" s="152"/>
      <c r="Q248" s="152">
        <v>3</v>
      </c>
      <c r="R248" s="152">
        <v>11</v>
      </c>
      <c r="S248" s="152">
        <v>2</v>
      </c>
      <c r="T248" s="152"/>
      <c r="U248" s="152"/>
      <c r="V248" s="152">
        <v>13</v>
      </c>
      <c r="W248" s="152">
        <v>16</v>
      </c>
      <c r="X248" s="152">
        <v>3</v>
      </c>
      <c r="Y248" s="152"/>
      <c r="Z248" s="152"/>
      <c r="AA248" s="152">
        <v>3</v>
      </c>
      <c r="AB248" s="152">
        <v>4</v>
      </c>
      <c r="AC248" s="152">
        <v>2</v>
      </c>
      <c r="AD248" s="152">
        <v>1</v>
      </c>
      <c r="AE248" s="152">
        <v>1</v>
      </c>
      <c r="AF248" s="152">
        <v>8</v>
      </c>
      <c r="AG248" s="152">
        <v>11</v>
      </c>
      <c r="AH248" s="152">
        <v>1</v>
      </c>
      <c r="AI248" s="152"/>
      <c r="AJ248" s="152"/>
      <c r="AK248" s="152">
        <v>1</v>
      </c>
      <c r="AL248" s="152">
        <v>2</v>
      </c>
      <c r="AM248" s="152"/>
      <c r="AN248" s="152">
        <v>2</v>
      </c>
      <c r="AO248" s="152"/>
      <c r="AP248" s="152">
        <v>4</v>
      </c>
      <c r="AQ248" s="152">
        <v>5</v>
      </c>
      <c r="AR248" s="152">
        <v>3</v>
      </c>
      <c r="AS248" s="152"/>
      <c r="AT248" s="152"/>
      <c r="AU248" s="152">
        <v>3</v>
      </c>
      <c r="AV248" s="152">
        <v>10</v>
      </c>
      <c r="AW248" s="152">
        <v>4</v>
      </c>
      <c r="AX248" s="152"/>
      <c r="AY248" s="152"/>
      <c r="AZ248" s="152">
        <v>14</v>
      </c>
      <c r="BA248" s="152">
        <v>17</v>
      </c>
      <c r="BB248" s="152">
        <v>7</v>
      </c>
      <c r="BC248" s="152"/>
      <c r="BD248" s="152">
        <v>7</v>
      </c>
      <c r="BE248" s="152">
        <v>4</v>
      </c>
      <c r="BF248" s="152"/>
      <c r="BG248" s="152"/>
      <c r="BH248" s="152"/>
      <c r="BI248" s="152">
        <v>4</v>
      </c>
      <c r="BJ248" s="152">
        <v>11</v>
      </c>
      <c r="BK248" s="152"/>
      <c r="BL248" s="152"/>
      <c r="BM248" s="152"/>
      <c r="BN248" s="152">
        <v>0</v>
      </c>
      <c r="BO248" s="152">
        <v>0</v>
      </c>
      <c r="BP248" s="152">
        <v>216</v>
      </c>
    </row>
    <row r="249" spans="1:68" x14ac:dyDescent="0.35">
      <c r="A249" s="146" t="s">
        <v>759</v>
      </c>
      <c r="B249" s="146" t="s">
        <v>760</v>
      </c>
      <c r="C249" s="152">
        <v>81</v>
      </c>
      <c r="D249" s="152">
        <v>1</v>
      </c>
      <c r="E249" s="152"/>
      <c r="F249" s="152"/>
      <c r="G249" s="152">
        <v>82</v>
      </c>
      <c r="H249" s="152">
        <v>53</v>
      </c>
      <c r="I249" s="152">
        <v>12</v>
      </c>
      <c r="J249" s="152">
        <v>3</v>
      </c>
      <c r="K249" s="152">
        <v>1</v>
      </c>
      <c r="L249" s="152">
        <v>69</v>
      </c>
      <c r="M249" s="152">
        <v>151</v>
      </c>
      <c r="N249" s="152">
        <v>5</v>
      </c>
      <c r="O249" s="152"/>
      <c r="P249" s="152"/>
      <c r="Q249" s="152">
        <v>5</v>
      </c>
      <c r="R249" s="152"/>
      <c r="S249" s="152"/>
      <c r="T249" s="152"/>
      <c r="U249" s="152"/>
      <c r="V249" s="152">
        <v>0</v>
      </c>
      <c r="W249" s="152">
        <v>5</v>
      </c>
      <c r="X249" s="152">
        <v>2</v>
      </c>
      <c r="Y249" s="152"/>
      <c r="Z249" s="152"/>
      <c r="AA249" s="152">
        <v>2</v>
      </c>
      <c r="AB249" s="152"/>
      <c r="AC249" s="152"/>
      <c r="AD249" s="152"/>
      <c r="AE249" s="152"/>
      <c r="AF249" s="152">
        <v>0</v>
      </c>
      <c r="AG249" s="152">
        <v>2</v>
      </c>
      <c r="AH249" s="152">
        <v>4</v>
      </c>
      <c r="AI249" s="152"/>
      <c r="AJ249" s="152"/>
      <c r="AK249" s="152">
        <v>4</v>
      </c>
      <c r="AL249" s="152"/>
      <c r="AM249" s="152">
        <v>1</v>
      </c>
      <c r="AN249" s="152">
        <v>1</v>
      </c>
      <c r="AO249" s="152"/>
      <c r="AP249" s="152">
        <v>2</v>
      </c>
      <c r="AQ249" s="152">
        <v>6</v>
      </c>
      <c r="AR249" s="152">
        <v>8</v>
      </c>
      <c r="AS249" s="152">
        <v>1</v>
      </c>
      <c r="AT249" s="152"/>
      <c r="AU249" s="152">
        <v>9</v>
      </c>
      <c r="AV249" s="152">
        <v>17</v>
      </c>
      <c r="AW249" s="152">
        <v>2</v>
      </c>
      <c r="AX249" s="152"/>
      <c r="AY249" s="152"/>
      <c r="AZ249" s="152">
        <v>19</v>
      </c>
      <c r="BA249" s="152">
        <v>28</v>
      </c>
      <c r="BB249" s="152">
        <v>1</v>
      </c>
      <c r="BC249" s="152"/>
      <c r="BD249" s="152">
        <v>1</v>
      </c>
      <c r="BE249" s="152">
        <v>2</v>
      </c>
      <c r="BF249" s="152"/>
      <c r="BG249" s="152"/>
      <c r="BH249" s="152"/>
      <c r="BI249" s="152">
        <v>2</v>
      </c>
      <c r="BJ249" s="152">
        <v>3</v>
      </c>
      <c r="BK249" s="152"/>
      <c r="BL249" s="152"/>
      <c r="BM249" s="152"/>
      <c r="BN249" s="152">
        <v>0</v>
      </c>
      <c r="BO249" s="152">
        <v>0</v>
      </c>
      <c r="BP249" s="152">
        <v>195</v>
      </c>
    </row>
    <row r="250" spans="1:68" x14ac:dyDescent="0.35">
      <c r="A250" s="146" t="s">
        <v>761</v>
      </c>
      <c r="B250" s="146" t="s">
        <v>762</v>
      </c>
      <c r="C250" s="152">
        <v>96</v>
      </c>
      <c r="D250" s="152">
        <v>2</v>
      </c>
      <c r="E250" s="152"/>
      <c r="F250" s="152"/>
      <c r="G250" s="152">
        <v>98</v>
      </c>
      <c r="H250" s="152">
        <v>219</v>
      </c>
      <c r="I250" s="152">
        <v>59</v>
      </c>
      <c r="J250" s="152">
        <v>11</v>
      </c>
      <c r="K250" s="152">
        <v>3</v>
      </c>
      <c r="L250" s="152">
        <v>292</v>
      </c>
      <c r="M250" s="152">
        <v>390</v>
      </c>
      <c r="N250" s="152">
        <v>2</v>
      </c>
      <c r="O250" s="152"/>
      <c r="P250" s="152"/>
      <c r="Q250" s="152">
        <v>2</v>
      </c>
      <c r="R250" s="152"/>
      <c r="S250" s="152"/>
      <c r="T250" s="152"/>
      <c r="U250" s="152"/>
      <c r="V250" s="152">
        <v>0</v>
      </c>
      <c r="W250" s="152">
        <v>2</v>
      </c>
      <c r="X250" s="152">
        <v>2</v>
      </c>
      <c r="Y250" s="152"/>
      <c r="Z250" s="152"/>
      <c r="AA250" s="152">
        <v>2</v>
      </c>
      <c r="AB250" s="152">
        <v>2</v>
      </c>
      <c r="AC250" s="152"/>
      <c r="AD250" s="152"/>
      <c r="AE250" s="152"/>
      <c r="AF250" s="152">
        <v>2</v>
      </c>
      <c r="AG250" s="152">
        <v>4</v>
      </c>
      <c r="AH250" s="152">
        <v>3</v>
      </c>
      <c r="AI250" s="152"/>
      <c r="AJ250" s="152"/>
      <c r="AK250" s="152">
        <v>3</v>
      </c>
      <c r="AL250" s="152">
        <v>1</v>
      </c>
      <c r="AM250" s="152">
        <v>1</v>
      </c>
      <c r="AN250" s="152"/>
      <c r="AO250" s="152"/>
      <c r="AP250" s="152">
        <v>2</v>
      </c>
      <c r="AQ250" s="152">
        <v>5</v>
      </c>
      <c r="AR250" s="152">
        <v>11</v>
      </c>
      <c r="AS250" s="152"/>
      <c r="AT250" s="152"/>
      <c r="AU250" s="152">
        <v>11</v>
      </c>
      <c r="AV250" s="152">
        <v>12</v>
      </c>
      <c r="AW250" s="152">
        <v>5</v>
      </c>
      <c r="AX250" s="152">
        <v>2</v>
      </c>
      <c r="AY250" s="152"/>
      <c r="AZ250" s="152">
        <v>19</v>
      </c>
      <c r="BA250" s="152">
        <v>30</v>
      </c>
      <c r="BB250" s="152"/>
      <c r="BC250" s="152"/>
      <c r="BD250" s="152">
        <v>0</v>
      </c>
      <c r="BE250" s="152"/>
      <c r="BF250" s="152"/>
      <c r="BG250" s="152">
        <v>1</v>
      </c>
      <c r="BH250" s="152"/>
      <c r="BI250" s="152">
        <v>1</v>
      </c>
      <c r="BJ250" s="152">
        <v>1</v>
      </c>
      <c r="BK250" s="152"/>
      <c r="BL250" s="152"/>
      <c r="BM250" s="152"/>
      <c r="BN250" s="152">
        <v>0</v>
      </c>
      <c r="BO250" s="152">
        <v>0</v>
      </c>
      <c r="BP250" s="152">
        <v>432</v>
      </c>
    </row>
    <row r="251" spans="1:68" x14ac:dyDescent="0.35">
      <c r="A251" s="146" t="s">
        <v>763</v>
      </c>
      <c r="B251" s="146" t="s">
        <v>764</v>
      </c>
      <c r="C251" s="152">
        <v>190</v>
      </c>
      <c r="D251" s="152">
        <v>12</v>
      </c>
      <c r="E251" s="152">
        <v>1</v>
      </c>
      <c r="F251" s="152"/>
      <c r="G251" s="152">
        <v>203</v>
      </c>
      <c r="H251" s="152">
        <v>428</v>
      </c>
      <c r="I251" s="152">
        <v>157</v>
      </c>
      <c r="J251" s="152">
        <v>45</v>
      </c>
      <c r="K251" s="152">
        <v>8</v>
      </c>
      <c r="L251" s="152">
        <v>638</v>
      </c>
      <c r="M251" s="152">
        <v>841</v>
      </c>
      <c r="N251" s="152">
        <v>5</v>
      </c>
      <c r="O251" s="152"/>
      <c r="P251" s="152"/>
      <c r="Q251" s="152">
        <v>5</v>
      </c>
      <c r="R251" s="152"/>
      <c r="S251" s="152"/>
      <c r="T251" s="152"/>
      <c r="U251" s="152"/>
      <c r="V251" s="152">
        <v>0</v>
      </c>
      <c r="W251" s="152">
        <v>5</v>
      </c>
      <c r="X251" s="152">
        <v>1</v>
      </c>
      <c r="Y251" s="152">
        <v>1</v>
      </c>
      <c r="Z251" s="152"/>
      <c r="AA251" s="152">
        <v>2</v>
      </c>
      <c r="AB251" s="152">
        <v>6</v>
      </c>
      <c r="AC251" s="152"/>
      <c r="AD251" s="152"/>
      <c r="AE251" s="152"/>
      <c r="AF251" s="152">
        <v>6</v>
      </c>
      <c r="AG251" s="152">
        <v>8</v>
      </c>
      <c r="AH251" s="152">
        <v>6</v>
      </c>
      <c r="AI251" s="152"/>
      <c r="AJ251" s="152"/>
      <c r="AK251" s="152">
        <v>6</v>
      </c>
      <c r="AL251" s="152">
        <v>2</v>
      </c>
      <c r="AM251" s="152">
        <v>1</v>
      </c>
      <c r="AN251" s="152">
        <v>1</v>
      </c>
      <c r="AO251" s="152"/>
      <c r="AP251" s="152">
        <v>4</v>
      </c>
      <c r="AQ251" s="152">
        <v>10</v>
      </c>
      <c r="AR251" s="152">
        <v>14</v>
      </c>
      <c r="AS251" s="152"/>
      <c r="AT251" s="152"/>
      <c r="AU251" s="152">
        <v>14</v>
      </c>
      <c r="AV251" s="152">
        <v>36</v>
      </c>
      <c r="AW251" s="152">
        <v>8</v>
      </c>
      <c r="AX251" s="152">
        <v>2</v>
      </c>
      <c r="AY251" s="152"/>
      <c r="AZ251" s="152">
        <v>46</v>
      </c>
      <c r="BA251" s="152">
        <v>60</v>
      </c>
      <c r="BB251" s="152">
        <v>2</v>
      </c>
      <c r="BC251" s="152"/>
      <c r="BD251" s="152">
        <v>2</v>
      </c>
      <c r="BE251" s="152">
        <v>2</v>
      </c>
      <c r="BF251" s="152"/>
      <c r="BG251" s="152"/>
      <c r="BH251" s="152"/>
      <c r="BI251" s="152">
        <v>2</v>
      </c>
      <c r="BJ251" s="152">
        <v>4</v>
      </c>
      <c r="BK251" s="152">
        <v>1</v>
      </c>
      <c r="BL251" s="152"/>
      <c r="BM251" s="152"/>
      <c r="BN251" s="152">
        <v>0</v>
      </c>
      <c r="BO251" s="152">
        <v>1</v>
      </c>
      <c r="BP251" s="152">
        <v>929</v>
      </c>
    </row>
    <row r="252" spans="1:68" x14ac:dyDescent="0.35">
      <c r="A252" s="146" t="s">
        <v>765</v>
      </c>
      <c r="B252" s="146" t="s">
        <v>1229</v>
      </c>
      <c r="C252" s="152">
        <v>4609</v>
      </c>
      <c r="D252" s="152">
        <v>20</v>
      </c>
      <c r="E252" s="152">
        <v>1</v>
      </c>
      <c r="F252" s="152"/>
      <c r="G252" s="152">
        <v>4630</v>
      </c>
      <c r="H252" s="152">
        <v>261</v>
      </c>
      <c r="I252" s="152">
        <v>29</v>
      </c>
      <c r="J252" s="152">
        <v>4</v>
      </c>
      <c r="K252" s="152">
        <v>1</v>
      </c>
      <c r="L252" s="152">
        <v>295</v>
      </c>
      <c r="M252" s="152">
        <v>4925</v>
      </c>
      <c r="N252" s="152">
        <v>1067</v>
      </c>
      <c r="O252" s="152">
        <v>2</v>
      </c>
      <c r="P252" s="152">
        <v>1</v>
      </c>
      <c r="Q252" s="152">
        <v>1070</v>
      </c>
      <c r="R252" s="152">
        <v>31</v>
      </c>
      <c r="S252" s="152">
        <v>9</v>
      </c>
      <c r="T252" s="152">
        <v>1</v>
      </c>
      <c r="U252" s="152"/>
      <c r="V252" s="152">
        <v>41</v>
      </c>
      <c r="W252" s="152">
        <v>1111</v>
      </c>
      <c r="X252" s="152">
        <v>626</v>
      </c>
      <c r="Y252" s="152">
        <v>2</v>
      </c>
      <c r="Z252" s="152"/>
      <c r="AA252" s="152">
        <v>628</v>
      </c>
      <c r="AB252" s="152">
        <v>22</v>
      </c>
      <c r="AC252" s="152">
        <v>2</v>
      </c>
      <c r="AD252" s="152">
        <v>1</v>
      </c>
      <c r="AE252" s="152"/>
      <c r="AF252" s="152">
        <v>25</v>
      </c>
      <c r="AG252" s="152">
        <v>653</v>
      </c>
      <c r="AH252" s="152">
        <v>268</v>
      </c>
      <c r="AI252" s="152"/>
      <c r="AJ252" s="152"/>
      <c r="AK252" s="152">
        <v>268</v>
      </c>
      <c r="AL252" s="152">
        <v>7</v>
      </c>
      <c r="AM252" s="152">
        <v>2</v>
      </c>
      <c r="AN252" s="152"/>
      <c r="AO252" s="152"/>
      <c r="AP252" s="152">
        <v>9</v>
      </c>
      <c r="AQ252" s="152">
        <v>277</v>
      </c>
      <c r="AR252" s="152">
        <v>1440</v>
      </c>
      <c r="AS252" s="152">
        <v>3</v>
      </c>
      <c r="AT252" s="152"/>
      <c r="AU252" s="152">
        <v>1443</v>
      </c>
      <c r="AV252" s="152">
        <v>42</v>
      </c>
      <c r="AW252" s="152">
        <v>8</v>
      </c>
      <c r="AX252" s="152">
        <v>2</v>
      </c>
      <c r="AY252" s="152">
        <v>1</v>
      </c>
      <c r="AZ252" s="152">
        <v>53</v>
      </c>
      <c r="BA252" s="152">
        <v>1496</v>
      </c>
      <c r="BB252" s="152">
        <v>501</v>
      </c>
      <c r="BC252" s="152">
        <v>2</v>
      </c>
      <c r="BD252" s="152">
        <v>503</v>
      </c>
      <c r="BE252" s="152">
        <v>15</v>
      </c>
      <c r="BF252" s="152">
        <v>1</v>
      </c>
      <c r="BG252" s="152"/>
      <c r="BH252" s="152"/>
      <c r="BI252" s="152">
        <v>16</v>
      </c>
      <c r="BJ252" s="152">
        <v>519</v>
      </c>
      <c r="BK252" s="152"/>
      <c r="BL252" s="152"/>
      <c r="BM252" s="152"/>
      <c r="BN252" s="152">
        <v>0</v>
      </c>
      <c r="BO252" s="152">
        <v>0</v>
      </c>
      <c r="BP252" s="152">
        <v>8981</v>
      </c>
    </row>
    <row r="253" spans="1:68" x14ac:dyDescent="0.35">
      <c r="A253" s="146" t="s">
        <v>766</v>
      </c>
      <c r="B253" s="146" t="s">
        <v>1230</v>
      </c>
      <c r="C253" s="152">
        <v>1994</v>
      </c>
      <c r="D253" s="152">
        <v>23</v>
      </c>
      <c r="E253" s="152">
        <v>2</v>
      </c>
      <c r="F253" s="152"/>
      <c r="G253" s="152">
        <v>2019</v>
      </c>
      <c r="H253" s="152">
        <v>244</v>
      </c>
      <c r="I253" s="152">
        <v>55</v>
      </c>
      <c r="J253" s="152">
        <v>7</v>
      </c>
      <c r="K253" s="152">
        <v>1</v>
      </c>
      <c r="L253" s="152">
        <v>307</v>
      </c>
      <c r="M253" s="152">
        <v>2326</v>
      </c>
      <c r="N253" s="152">
        <v>349</v>
      </c>
      <c r="O253" s="152">
        <v>2</v>
      </c>
      <c r="P253" s="152"/>
      <c r="Q253" s="152">
        <v>351</v>
      </c>
      <c r="R253" s="152">
        <v>10</v>
      </c>
      <c r="S253" s="152">
        <v>1</v>
      </c>
      <c r="T253" s="152"/>
      <c r="U253" s="152"/>
      <c r="V253" s="152">
        <v>11</v>
      </c>
      <c r="W253" s="152">
        <v>362</v>
      </c>
      <c r="X253" s="152">
        <v>303</v>
      </c>
      <c r="Y253" s="152"/>
      <c r="Z253" s="152"/>
      <c r="AA253" s="152">
        <v>303</v>
      </c>
      <c r="AB253" s="152">
        <v>1</v>
      </c>
      <c r="AC253" s="152"/>
      <c r="AD253" s="152"/>
      <c r="AE253" s="152"/>
      <c r="AF253" s="152">
        <v>1</v>
      </c>
      <c r="AG253" s="152">
        <v>304</v>
      </c>
      <c r="AH253" s="152">
        <v>101</v>
      </c>
      <c r="AI253" s="152"/>
      <c r="AJ253" s="152"/>
      <c r="AK253" s="152">
        <v>101</v>
      </c>
      <c r="AL253" s="152">
        <v>3</v>
      </c>
      <c r="AM253" s="152"/>
      <c r="AN253" s="152"/>
      <c r="AO253" s="152"/>
      <c r="AP253" s="152">
        <v>3</v>
      </c>
      <c r="AQ253" s="152">
        <v>104</v>
      </c>
      <c r="AR253" s="152">
        <v>502</v>
      </c>
      <c r="AS253" s="152"/>
      <c r="AT253" s="152"/>
      <c r="AU253" s="152">
        <v>502</v>
      </c>
      <c r="AV253" s="152">
        <v>11</v>
      </c>
      <c r="AW253" s="152">
        <v>1</v>
      </c>
      <c r="AX253" s="152"/>
      <c r="AY253" s="152"/>
      <c r="AZ253" s="152">
        <v>12</v>
      </c>
      <c r="BA253" s="152">
        <v>514</v>
      </c>
      <c r="BB253" s="152">
        <v>236</v>
      </c>
      <c r="BC253" s="152"/>
      <c r="BD253" s="152">
        <v>236</v>
      </c>
      <c r="BE253" s="152">
        <v>4</v>
      </c>
      <c r="BF253" s="152"/>
      <c r="BG253" s="152"/>
      <c r="BH253" s="152"/>
      <c r="BI253" s="152">
        <v>4</v>
      </c>
      <c r="BJ253" s="152">
        <v>240</v>
      </c>
      <c r="BK253" s="152"/>
      <c r="BL253" s="152"/>
      <c r="BM253" s="152"/>
      <c r="BN253" s="152">
        <v>0</v>
      </c>
      <c r="BO253" s="152">
        <v>0</v>
      </c>
      <c r="BP253" s="152">
        <v>3850</v>
      </c>
    </row>
    <row r="254" spans="1:68" x14ac:dyDescent="0.35">
      <c r="A254" s="146" t="s">
        <v>767</v>
      </c>
      <c r="B254" s="146" t="s">
        <v>768</v>
      </c>
      <c r="C254" s="152">
        <v>461</v>
      </c>
      <c r="D254" s="152">
        <v>4</v>
      </c>
      <c r="E254" s="152"/>
      <c r="F254" s="152"/>
      <c r="G254" s="152">
        <v>465</v>
      </c>
      <c r="H254" s="152">
        <v>73</v>
      </c>
      <c r="I254" s="152">
        <v>9</v>
      </c>
      <c r="J254" s="152"/>
      <c r="K254" s="152"/>
      <c r="L254" s="152">
        <v>82</v>
      </c>
      <c r="M254" s="152">
        <v>547</v>
      </c>
      <c r="N254" s="152">
        <v>122</v>
      </c>
      <c r="O254" s="152"/>
      <c r="P254" s="152"/>
      <c r="Q254" s="152">
        <v>122</v>
      </c>
      <c r="R254" s="152">
        <v>8</v>
      </c>
      <c r="S254" s="152">
        <v>1</v>
      </c>
      <c r="T254" s="152">
        <v>1</v>
      </c>
      <c r="U254" s="152"/>
      <c r="V254" s="152">
        <v>10</v>
      </c>
      <c r="W254" s="152">
        <v>132</v>
      </c>
      <c r="X254" s="152">
        <v>72</v>
      </c>
      <c r="Y254" s="152"/>
      <c r="Z254" s="152">
        <v>1</v>
      </c>
      <c r="AA254" s="152">
        <v>73</v>
      </c>
      <c r="AB254" s="152">
        <v>9</v>
      </c>
      <c r="AC254" s="152">
        <v>3</v>
      </c>
      <c r="AD254" s="152"/>
      <c r="AE254" s="152"/>
      <c r="AF254" s="152">
        <v>12</v>
      </c>
      <c r="AG254" s="152">
        <v>85</v>
      </c>
      <c r="AH254" s="152">
        <v>23</v>
      </c>
      <c r="AI254" s="152"/>
      <c r="AJ254" s="152"/>
      <c r="AK254" s="152">
        <v>23</v>
      </c>
      <c r="AL254" s="152">
        <v>4</v>
      </c>
      <c r="AM254" s="152"/>
      <c r="AN254" s="152"/>
      <c r="AO254" s="152"/>
      <c r="AP254" s="152">
        <v>4</v>
      </c>
      <c r="AQ254" s="152">
        <v>27</v>
      </c>
      <c r="AR254" s="152">
        <v>158</v>
      </c>
      <c r="AS254" s="152"/>
      <c r="AT254" s="152"/>
      <c r="AU254" s="152">
        <v>158</v>
      </c>
      <c r="AV254" s="152">
        <v>16</v>
      </c>
      <c r="AW254" s="152">
        <v>4</v>
      </c>
      <c r="AX254" s="152"/>
      <c r="AY254" s="152"/>
      <c r="AZ254" s="152">
        <v>20</v>
      </c>
      <c r="BA254" s="152">
        <v>178</v>
      </c>
      <c r="BB254" s="152">
        <v>69</v>
      </c>
      <c r="BC254" s="152"/>
      <c r="BD254" s="152">
        <v>69</v>
      </c>
      <c r="BE254" s="152">
        <v>2</v>
      </c>
      <c r="BF254" s="152"/>
      <c r="BG254" s="152"/>
      <c r="BH254" s="152"/>
      <c r="BI254" s="152">
        <v>2</v>
      </c>
      <c r="BJ254" s="152">
        <v>71</v>
      </c>
      <c r="BK254" s="152"/>
      <c r="BL254" s="152"/>
      <c r="BM254" s="152"/>
      <c r="BN254" s="152">
        <v>0</v>
      </c>
      <c r="BO254" s="152">
        <v>0</v>
      </c>
      <c r="BP254" s="152">
        <v>1040</v>
      </c>
    </row>
    <row r="255" spans="1:68" x14ac:dyDescent="0.35">
      <c r="A255" s="146" t="s">
        <v>769</v>
      </c>
      <c r="B255" s="146" t="s">
        <v>770</v>
      </c>
      <c r="C255" s="152">
        <v>189</v>
      </c>
      <c r="D255" s="152">
        <v>4</v>
      </c>
      <c r="E255" s="152">
        <v>1</v>
      </c>
      <c r="F255" s="152"/>
      <c r="G255" s="152">
        <v>194</v>
      </c>
      <c r="H255" s="152">
        <v>43</v>
      </c>
      <c r="I255" s="152">
        <v>12</v>
      </c>
      <c r="J255" s="152"/>
      <c r="K255" s="152">
        <v>1</v>
      </c>
      <c r="L255" s="152">
        <v>56</v>
      </c>
      <c r="M255" s="152">
        <v>250</v>
      </c>
      <c r="N255" s="152">
        <v>10</v>
      </c>
      <c r="O255" s="152"/>
      <c r="P255" s="152"/>
      <c r="Q255" s="152">
        <v>10</v>
      </c>
      <c r="R255" s="152">
        <v>3</v>
      </c>
      <c r="S255" s="152"/>
      <c r="T255" s="152"/>
      <c r="U255" s="152"/>
      <c r="V255" s="152">
        <v>3</v>
      </c>
      <c r="W255" s="152">
        <v>13</v>
      </c>
      <c r="X255" s="152">
        <v>10</v>
      </c>
      <c r="Y255" s="152">
        <v>1</v>
      </c>
      <c r="Z255" s="152"/>
      <c r="AA255" s="152">
        <v>11</v>
      </c>
      <c r="AB255" s="152">
        <v>6</v>
      </c>
      <c r="AC255" s="152"/>
      <c r="AD255" s="152"/>
      <c r="AE255" s="152"/>
      <c r="AF255" s="152">
        <v>6</v>
      </c>
      <c r="AG255" s="152">
        <v>17</v>
      </c>
      <c r="AH255" s="152">
        <v>9</v>
      </c>
      <c r="AI255" s="152"/>
      <c r="AJ255" s="152"/>
      <c r="AK255" s="152">
        <v>9</v>
      </c>
      <c r="AL255" s="152"/>
      <c r="AM255" s="152"/>
      <c r="AN255" s="152"/>
      <c r="AO255" s="152"/>
      <c r="AP255" s="152">
        <v>0</v>
      </c>
      <c r="AQ255" s="152">
        <v>9</v>
      </c>
      <c r="AR255" s="152">
        <v>44</v>
      </c>
      <c r="AS255" s="152">
        <v>3</v>
      </c>
      <c r="AT255" s="152"/>
      <c r="AU255" s="152">
        <v>47</v>
      </c>
      <c r="AV255" s="152">
        <v>5</v>
      </c>
      <c r="AW255" s="152">
        <v>1</v>
      </c>
      <c r="AX255" s="152"/>
      <c r="AY255" s="152"/>
      <c r="AZ255" s="152">
        <v>6</v>
      </c>
      <c r="BA255" s="152">
        <v>53</v>
      </c>
      <c r="BB255" s="152">
        <v>5</v>
      </c>
      <c r="BC255" s="152">
        <v>1</v>
      </c>
      <c r="BD255" s="152">
        <v>6</v>
      </c>
      <c r="BE255" s="152">
        <v>1</v>
      </c>
      <c r="BF255" s="152"/>
      <c r="BG255" s="152"/>
      <c r="BH255" s="152"/>
      <c r="BI255" s="152">
        <v>1</v>
      </c>
      <c r="BJ255" s="152">
        <v>7</v>
      </c>
      <c r="BK255" s="152"/>
      <c r="BL255" s="152"/>
      <c r="BM255" s="152"/>
      <c r="BN255" s="152">
        <v>0</v>
      </c>
      <c r="BO255" s="152">
        <v>0</v>
      </c>
      <c r="BP255" s="152">
        <v>349</v>
      </c>
    </row>
    <row r="256" spans="1:68" x14ac:dyDescent="0.35">
      <c r="A256" s="146" t="s">
        <v>771</v>
      </c>
      <c r="B256" s="146" t="s">
        <v>772</v>
      </c>
      <c r="C256" s="152">
        <v>598</v>
      </c>
      <c r="D256" s="152">
        <v>11</v>
      </c>
      <c r="E256" s="152">
        <v>1</v>
      </c>
      <c r="F256" s="152"/>
      <c r="G256" s="152">
        <v>610</v>
      </c>
      <c r="H256" s="152">
        <v>142</v>
      </c>
      <c r="I256" s="152">
        <v>25</v>
      </c>
      <c r="J256" s="152">
        <v>2</v>
      </c>
      <c r="K256" s="152">
        <v>1</v>
      </c>
      <c r="L256" s="152">
        <v>170</v>
      </c>
      <c r="M256" s="152">
        <v>780</v>
      </c>
      <c r="N256" s="152">
        <v>193</v>
      </c>
      <c r="O256" s="152"/>
      <c r="P256" s="152"/>
      <c r="Q256" s="152">
        <v>193</v>
      </c>
      <c r="R256" s="152">
        <v>8</v>
      </c>
      <c r="S256" s="152">
        <v>1</v>
      </c>
      <c r="T256" s="152"/>
      <c r="U256" s="152"/>
      <c r="V256" s="152">
        <v>9</v>
      </c>
      <c r="W256" s="152">
        <v>202</v>
      </c>
      <c r="X256" s="152">
        <v>79</v>
      </c>
      <c r="Y256" s="152"/>
      <c r="Z256" s="152"/>
      <c r="AA256" s="152">
        <v>79</v>
      </c>
      <c r="AB256" s="152">
        <v>3</v>
      </c>
      <c r="AC256" s="152">
        <v>1</v>
      </c>
      <c r="AD256" s="152"/>
      <c r="AE256" s="152"/>
      <c r="AF256" s="152">
        <v>4</v>
      </c>
      <c r="AG256" s="152">
        <v>83</v>
      </c>
      <c r="AH256" s="152">
        <v>74</v>
      </c>
      <c r="AI256" s="152"/>
      <c r="AJ256" s="152"/>
      <c r="AK256" s="152">
        <v>74</v>
      </c>
      <c r="AL256" s="152">
        <v>4</v>
      </c>
      <c r="AM256" s="152">
        <v>1</v>
      </c>
      <c r="AN256" s="152"/>
      <c r="AO256" s="152"/>
      <c r="AP256" s="152">
        <v>5</v>
      </c>
      <c r="AQ256" s="152">
        <v>79</v>
      </c>
      <c r="AR256" s="152">
        <v>166</v>
      </c>
      <c r="AS256" s="152"/>
      <c r="AT256" s="152"/>
      <c r="AU256" s="152">
        <v>166</v>
      </c>
      <c r="AV256" s="152">
        <v>22</v>
      </c>
      <c r="AW256" s="152">
        <v>2</v>
      </c>
      <c r="AX256" s="152"/>
      <c r="AY256" s="152"/>
      <c r="AZ256" s="152">
        <v>24</v>
      </c>
      <c r="BA256" s="152">
        <v>190</v>
      </c>
      <c r="BB256" s="152">
        <v>101</v>
      </c>
      <c r="BC256" s="152"/>
      <c r="BD256" s="152">
        <v>101</v>
      </c>
      <c r="BE256" s="152">
        <v>2</v>
      </c>
      <c r="BF256" s="152"/>
      <c r="BG256" s="152"/>
      <c r="BH256" s="152"/>
      <c r="BI256" s="152">
        <v>2</v>
      </c>
      <c r="BJ256" s="152">
        <v>103</v>
      </c>
      <c r="BK256" s="152"/>
      <c r="BL256" s="152"/>
      <c r="BM256" s="152"/>
      <c r="BN256" s="152">
        <v>0</v>
      </c>
      <c r="BO256" s="152">
        <v>0</v>
      </c>
      <c r="BP256" s="152">
        <v>1437</v>
      </c>
    </row>
    <row r="257" spans="1:68" x14ac:dyDescent="0.35">
      <c r="A257" s="146" t="s">
        <v>773</v>
      </c>
      <c r="B257" s="146" t="s">
        <v>774</v>
      </c>
      <c r="C257" s="152">
        <v>747</v>
      </c>
      <c r="D257" s="152">
        <v>1</v>
      </c>
      <c r="E257" s="152"/>
      <c r="F257" s="152"/>
      <c r="G257" s="152">
        <v>748</v>
      </c>
      <c r="H257" s="152">
        <v>38</v>
      </c>
      <c r="I257" s="152">
        <v>5</v>
      </c>
      <c r="J257" s="152"/>
      <c r="K257" s="152"/>
      <c r="L257" s="152">
        <v>43</v>
      </c>
      <c r="M257" s="152">
        <v>791</v>
      </c>
      <c r="N257" s="152">
        <v>115</v>
      </c>
      <c r="O257" s="152"/>
      <c r="P257" s="152"/>
      <c r="Q257" s="152">
        <v>115</v>
      </c>
      <c r="R257" s="152"/>
      <c r="S257" s="152"/>
      <c r="T257" s="152"/>
      <c r="U257" s="152"/>
      <c r="V257" s="152">
        <v>0</v>
      </c>
      <c r="W257" s="152">
        <v>115</v>
      </c>
      <c r="X257" s="152">
        <v>63</v>
      </c>
      <c r="Y257" s="152"/>
      <c r="Z257" s="152"/>
      <c r="AA257" s="152">
        <v>63</v>
      </c>
      <c r="AB257" s="152"/>
      <c r="AC257" s="152">
        <v>1</v>
      </c>
      <c r="AD257" s="152"/>
      <c r="AE257" s="152"/>
      <c r="AF257" s="152">
        <v>1</v>
      </c>
      <c r="AG257" s="152">
        <v>64</v>
      </c>
      <c r="AH257" s="152">
        <v>42</v>
      </c>
      <c r="AI257" s="152"/>
      <c r="AJ257" s="152"/>
      <c r="AK257" s="152">
        <v>42</v>
      </c>
      <c r="AL257" s="152"/>
      <c r="AM257" s="152"/>
      <c r="AN257" s="152"/>
      <c r="AO257" s="152"/>
      <c r="AP257" s="152">
        <v>0</v>
      </c>
      <c r="AQ257" s="152">
        <v>42</v>
      </c>
      <c r="AR257" s="152">
        <v>232</v>
      </c>
      <c r="AS257" s="152"/>
      <c r="AT257" s="152"/>
      <c r="AU257" s="152">
        <v>232</v>
      </c>
      <c r="AV257" s="152">
        <v>5</v>
      </c>
      <c r="AW257" s="152">
        <v>1</v>
      </c>
      <c r="AX257" s="152"/>
      <c r="AY257" s="152"/>
      <c r="AZ257" s="152">
        <v>6</v>
      </c>
      <c r="BA257" s="152">
        <v>238</v>
      </c>
      <c r="BB257" s="152">
        <v>83</v>
      </c>
      <c r="BC257" s="152"/>
      <c r="BD257" s="152">
        <v>83</v>
      </c>
      <c r="BE257" s="152">
        <v>3</v>
      </c>
      <c r="BF257" s="152">
        <v>1</v>
      </c>
      <c r="BG257" s="152"/>
      <c r="BH257" s="152"/>
      <c r="BI257" s="152">
        <v>4</v>
      </c>
      <c r="BJ257" s="152">
        <v>87</v>
      </c>
      <c r="BK257" s="152"/>
      <c r="BL257" s="152"/>
      <c r="BM257" s="152"/>
      <c r="BN257" s="152">
        <v>0</v>
      </c>
      <c r="BO257" s="152">
        <v>0</v>
      </c>
      <c r="BP257" s="152">
        <v>1337</v>
      </c>
    </row>
    <row r="258" spans="1:68" x14ac:dyDescent="0.35">
      <c r="A258" s="146" t="s">
        <v>775</v>
      </c>
      <c r="B258" s="146" t="s">
        <v>776</v>
      </c>
      <c r="C258" s="152">
        <v>515</v>
      </c>
      <c r="D258" s="152">
        <v>5</v>
      </c>
      <c r="E258" s="152"/>
      <c r="F258" s="152"/>
      <c r="G258" s="152">
        <v>520</v>
      </c>
      <c r="H258" s="152">
        <v>124</v>
      </c>
      <c r="I258" s="152">
        <v>22</v>
      </c>
      <c r="J258" s="152">
        <v>2</v>
      </c>
      <c r="K258" s="152"/>
      <c r="L258" s="152">
        <v>148</v>
      </c>
      <c r="M258" s="152">
        <v>668</v>
      </c>
      <c r="N258" s="152">
        <v>93</v>
      </c>
      <c r="O258" s="152"/>
      <c r="P258" s="152"/>
      <c r="Q258" s="152">
        <v>93</v>
      </c>
      <c r="R258" s="152">
        <v>5</v>
      </c>
      <c r="S258" s="152">
        <v>1</v>
      </c>
      <c r="T258" s="152"/>
      <c r="U258" s="152"/>
      <c r="V258" s="152">
        <v>6</v>
      </c>
      <c r="W258" s="152">
        <v>99</v>
      </c>
      <c r="X258" s="152">
        <v>30</v>
      </c>
      <c r="Y258" s="152"/>
      <c r="Z258" s="152"/>
      <c r="AA258" s="152">
        <v>30</v>
      </c>
      <c r="AB258" s="152">
        <v>3</v>
      </c>
      <c r="AC258" s="152">
        <v>2</v>
      </c>
      <c r="AD258" s="152"/>
      <c r="AE258" s="152"/>
      <c r="AF258" s="152">
        <v>5</v>
      </c>
      <c r="AG258" s="152">
        <v>35</v>
      </c>
      <c r="AH258" s="152">
        <v>19</v>
      </c>
      <c r="AI258" s="152"/>
      <c r="AJ258" s="152"/>
      <c r="AK258" s="152">
        <v>19</v>
      </c>
      <c r="AL258" s="152"/>
      <c r="AM258" s="152"/>
      <c r="AN258" s="152"/>
      <c r="AO258" s="152"/>
      <c r="AP258" s="152">
        <v>0</v>
      </c>
      <c r="AQ258" s="152">
        <v>19</v>
      </c>
      <c r="AR258" s="152">
        <v>120</v>
      </c>
      <c r="AS258" s="152">
        <v>1</v>
      </c>
      <c r="AT258" s="152"/>
      <c r="AU258" s="152">
        <v>121</v>
      </c>
      <c r="AV258" s="152">
        <v>4</v>
      </c>
      <c r="AW258" s="152">
        <v>1</v>
      </c>
      <c r="AX258" s="152"/>
      <c r="AY258" s="152"/>
      <c r="AZ258" s="152">
        <v>5</v>
      </c>
      <c r="BA258" s="152">
        <v>126</v>
      </c>
      <c r="BB258" s="152">
        <v>82</v>
      </c>
      <c r="BC258" s="152"/>
      <c r="BD258" s="152">
        <v>82</v>
      </c>
      <c r="BE258" s="152">
        <v>2</v>
      </c>
      <c r="BF258" s="152"/>
      <c r="BG258" s="152"/>
      <c r="BH258" s="152"/>
      <c r="BI258" s="152">
        <v>2</v>
      </c>
      <c r="BJ258" s="152">
        <v>84</v>
      </c>
      <c r="BK258" s="152"/>
      <c r="BL258" s="152"/>
      <c r="BM258" s="152"/>
      <c r="BN258" s="152">
        <v>0</v>
      </c>
      <c r="BO258" s="152">
        <v>0</v>
      </c>
      <c r="BP258" s="152">
        <v>1031</v>
      </c>
    </row>
    <row r="259" spans="1:68" x14ac:dyDescent="0.35">
      <c r="A259" s="146" t="s">
        <v>777</v>
      </c>
      <c r="B259" s="146" t="s">
        <v>778</v>
      </c>
      <c r="C259" s="152">
        <v>9</v>
      </c>
      <c r="D259" s="152">
        <v>1</v>
      </c>
      <c r="E259" s="152"/>
      <c r="F259" s="152"/>
      <c r="G259" s="152">
        <v>10</v>
      </c>
      <c r="H259" s="152">
        <v>36</v>
      </c>
      <c r="I259" s="152">
        <v>57</v>
      </c>
      <c r="J259" s="152">
        <v>27</v>
      </c>
      <c r="K259" s="152">
        <v>3</v>
      </c>
      <c r="L259" s="152">
        <v>123</v>
      </c>
      <c r="M259" s="152">
        <v>133</v>
      </c>
      <c r="N259" s="152">
        <v>10</v>
      </c>
      <c r="O259" s="152">
        <v>2</v>
      </c>
      <c r="P259" s="152"/>
      <c r="Q259" s="152">
        <v>12</v>
      </c>
      <c r="R259" s="152">
        <v>11</v>
      </c>
      <c r="S259" s="152">
        <v>14</v>
      </c>
      <c r="T259" s="152"/>
      <c r="U259" s="152"/>
      <c r="V259" s="152">
        <v>25</v>
      </c>
      <c r="W259" s="152">
        <v>37</v>
      </c>
      <c r="X259" s="152">
        <v>13</v>
      </c>
      <c r="Y259" s="152">
        <v>2</v>
      </c>
      <c r="Z259" s="152">
        <v>1</v>
      </c>
      <c r="AA259" s="152">
        <v>16</v>
      </c>
      <c r="AB259" s="152">
        <v>7</v>
      </c>
      <c r="AC259" s="152">
        <v>5</v>
      </c>
      <c r="AD259" s="152"/>
      <c r="AE259" s="152"/>
      <c r="AF259" s="152">
        <v>12</v>
      </c>
      <c r="AG259" s="152">
        <v>28</v>
      </c>
      <c r="AH259" s="152">
        <v>9</v>
      </c>
      <c r="AI259" s="152">
        <v>1</v>
      </c>
      <c r="AJ259" s="152"/>
      <c r="AK259" s="152">
        <v>10</v>
      </c>
      <c r="AL259" s="152">
        <v>8</v>
      </c>
      <c r="AM259" s="152">
        <v>4</v>
      </c>
      <c r="AN259" s="152"/>
      <c r="AO259" s="152">
        <v>1</v>
      </c>
      <c r="AP259" s="152">
        <v>13</v>
      </c>
      <c r="AQ259" s="152">
        <v>23</v>
      </c>
      <c r="AR259" s="152">
        <v>3</v>
      </c>
      <c r="AS259" s="152"/>
      <c r="AT259" s="152"/>
      <c r="AU259" s="152">
        <v>3</v>
      </c>
      <c r="AV259" s="152">
        <v>3</v>
      </c>
      <c r="AW259" s="152">
        <v>13</v>
      </c>
      <c r="AX259" s="152">
        <v>7</v>
      </c>
      <c r="AY259" s="152"/>
      <c r="AZ259" s="152">
        <v>23</v>
      </c>
      <c r="BA259" s="152">
        <v>26</v>
      </c>
      <c r="BB259" s="152">
        <v>19</v>
      </c>
      <c r="BC259" s="152">
        <v>3</v>
      </c>
      <c r="BD259" s="152">
        <v>22</v>
      </c>
      <c r="BE259" s="152">
        <v>11</v>
      </c>
      <c r="BF259" s="152"/>
      <c r="BG259" s="152"/>
      <c r="BH259" s="152"/>
      <c r="BI259" s="152">
        <v>11</v>
      </c>
      <c r="BJ259" s="152">
        <v>33</v>
      </c>
      <c r="BK259" s="152"/>
      <c r="BL259" s="152"/>
      <c r="BM259" s="152"/>
      <c r="BN259" s="152">
        <v>0</v>
      </c>
      <c r="BO259" s="152">
        <v>0</v>
      </c>
      <c r="BP259" s="152">
        <v>280</v>
      </c>
    </row>
    <row r="260" spans="1:68" x14ac:dyDescent="0.35">
      <c r="A260" s="146" t="s">
        <v>779</v>
      </c>
      <c r="B260" s="146" t="s">
        <v>780</v>
      </c>
      <c r="C260" s="152">
        <v>124</v>
      </c>
      <c r="D260" s="152">
        <v>1</v>
      </c>
      <c r="E260" s="152"/>
      <c r="F260" s="152"/>
      <c r="G260" s="152">
        <v>125</v>
      </c>
      <c r="H260" s="152">
        <v>33</v>
      </c>
      <c r="I260" s="152">
        <v>16</v>
      </c>
      <c r="J260" s="152">
        <v>4</v>
      </c>
      <c r="K260" s="152"/>
      <c r="L260" s="152">
        <v>53</v>
      </c>
      <c r="M260" s="152">
        <v>178</v>
      </c>
      <c r="N260" s="152">
        <v>8</v>
      </c>
      <c r="O260" s="152"/>
      <c r="P260" s="152"/>
      <c r="Q260" s="152">
        <v>8</v>
      </c>
      <c r="R260" s="152"/>
      <c r="S260" s="152">
        <v>1</v>
      </c>
      <c r="T260" s="152"/>
      <c r="U260" s="152"/>
      <c r="V260" s="152">
        <v>1</v>
      </c>
      <c r="W260" s="152">
        <v>9</v>
      </c>
      <c r="X260" s="152">
        <v>9</v>
      </c>
      <c r="Y260" s="152"/>
      <c r="Z260" s="152"/>
      <c r="AA260" s="152">
        <v>9</v>
      </c>
      <c r="AB260" s="152">
        <v>2</v>
      </c>
      <c r="AC260" s="152"/>
      <c r="AD260" s="152"/>
      <c r="AE260" s="152"/>
      <c r="AF260" s="152">
        <v>2</v>
      </c>
      <c r="AG260" s="152">
        <v>11</v>
      </c>
      <c r="AH260" s="152">
        <v>14</v>
      </c>
      <c r="AI260" s="152"/>
      <c r="AJ260" s="152"/>
      <c r="AK260" s="152">
        <v>14</v>
      </c>
      <c r="AL260" s="152">
        <v>5</v>
      </c>
      <c r="AM260" s="152">
        <v>2</v>
      </c>
      <c r="AN260" s="152"/>
      <c r="AO260" s="152"/>
      <c r="AP260" s="152">
        <v>7</v>
      </c>
      <c r="AQ260" s="152">
        <v>21</v>
      </c>
      <c r="AR260" s="152">
        <v>19</v>
      </c>
      <c r="AS260" s="152"/>
      <c r="AT260" s="152"/>
      <c r="AU260" s="152">
        <v>19</v>
      </c>
      <c r="AV260" s="152">
        <v>3</v>
      </c>
      <c r="AW260" s="152">
        <v>2</v>
      </c>
      <c r="AX260" s="152"/>
      <c r="AY260" s="152"/>
      <c r="AZ260" s="152">
        <v>5</v>
      </c>
      <c r="BA260" s="152">
        <v>24</v>
      </c>
      <c r="BB260" s="152">
        <v>2</v>
      </c>
      <c r="BC260" s="152"/>
      <c r="BD260" s="152">
        <v>2</v>
      </c>
      <c r="BE260" s="152"/>
      <c r="BF260" s="152"/>
      <c r="BG260" s="152"/>
      <c r="BH260" s="152"/>
      <c r="BI260" s="152">
        <v>0</v>
      </c>
      <c r="BJ260" s="152">
        <v>2</v>
      </c>
      <c r="BK260" s="152"/>
      <c r="BL260" s="152"/>
      <c r="BM260" s="152"/>
      <c r="BN260" s="152">
        <v>0</v>
      </c>
      <c r="BO260" s="152">
        <v>0</v>
      </c>
      <c r="BP260" s="152">
        <v>245</v>
      </c>
    </row>
    <row r="261" spans="1:68" x14ac:dyDescent="0.35">
      <c r="A261" s="146" t="s">
        <v>781</v>
      </c>
      <c r="B261" s="146" t="s">
        <v>782</v>
      </c>
      <c r="C261" s="152">
        <v>913</v>
      </c>
      <c r="D261" s="152">
        <v>12</v>
      </c>
      <c r="E261" s="152"/>
      <c r="F261" s="152"/>
      <c r="G261" s="152">
        <v>925</v>
      </c>
      <c r="H261" s="152">
        <v>302</v>
      </c>
      <c r="I261" s="152">
        <v>60</v>
      </c>
      <c r="J261" s="152">
        <v>14</v>
      </c>
      <c r="K261" s="152"/>
      <c r="L261" s="152">
        <v>376</v>
      </c>
      <c r="M261" s="152">
        <v>1301</v>
      </c>
      <c r="N261" s="152">
        <v>99</v>
      </c>
      <c r="O261" s="152"/>
      <c r="P261" s="152"/>
      <c r="Q261" s="152">
        <v>99</v>
      </c>
      <c r="R261" s="152">
        <v>4</v>
      </c>
      <c r="S261" s="152"/>
      <c r="T261" s="152"/>
      <c r="U261" s="152"/>
      <c r="V261" s="152">
        <v>4</v>
      </c>
      <c r="W261" s="152">
        <v>103</v>
      </c>
      <c r="X261" s="152">
        <v>76</v>
      </c>
      <c r="Y261" s="152"/>
      <c r="Z261" s="152"/>
      <c r="AA261" s="152">
        <v>76</v>
      </c>
      <c r="AB261" s="152">
        <v>1</v>
      </c>
      <c r="AC261" s="152"/>
      <c r="AD261" s="152"/>
      <c r="AE261" s="152"/>
      <c r="AF261" s="152">
        <v>1</v>
      </c>
      <c r="AG261" s="152">
        <v>77</v>
      </c>
      <c r="AH261" s="152">
        <v>57</v>
      </c>
      <c r="AI261" s="152"/>
      <c r="AJ261" s="152"/>
      <c r="AK261" s="152">
        <v>57</v>
      </c>
      <c r="AL261" s="152">
        <v>4</v>
      </c>
      <c r="AM261" s="152"/>
      <c r="AN261" s="152"/>
      <c r="AO261" s="152"/>
      <c r="AP261" s="152">
        <v>4</v>
      </c>
      <c r="AQ261" s="152">
        <v>61</v>
      </c>
      <c r="AR261" s="152">
        <v>141</v>
      </c>
      <c r="AS261" s="152"/>
      <c r="AT261" s="152"/>
      <c r="AU261" s="152">
        <v>141</v>
      </c>
      <c r="AV261" s="152">
        <v>21</v>
      </c>
      <c r="AW261" s="152">
        <v>2</v>
      </c>
      <c r="AX261" s="152"/>
      <c r="AY261" s="152"/>
      <c r="AZ261" s="152">
        <v>23</v>
      </c>
      <c r="BA261" s="152">
        <v>164</v>
      </c>
      <c r="BB261" s="152">
        <v>42</v>
      </c>
      <c r="BC261" s="152"/>
      <c r="BD261" s="152">
        <v>42</v>
      </c>
      <c r="BE261" s="152"/>
      <c r="BF261" s="152"/>
      <c r="BG261" s="152"/>
      <c r="BH261" s="152"/>
      <c r="BI261" s="152">
        <v>0</v>
      </c>
      <c r="BJ261" s="152">
        <v>42</v>
      </c>
      <c r="BK261" s="152"/>
      <c r="BL261" s="152"/>
      <c r="BM261" s="152"/>
      <c r="BN261" s="152">
        <v>0</v>
      </c>
      <c r="BO261" s="152">
        <v>0</v>
      </c>
      <c r="BP261" s="152">
        <v>1748</v>
      </c>
    </row>
    <row r="262" spans="1:68" x14ac:dyDescent="0.35">
      <c r="A262" s="146" t="s">
        <v>783</v>
      </c>
      <c r="B262" s="146" t="s">
        <v>784</v>
      </c>
      <c r="C262" s="152">
        <v>70</v>
      </c>
      <c r="D262" s="152">
        <v>2</v>
      </c>
      <c r="E262" s="152"/>
      <c r="F262" s="152"/>
      <c r="G262" s="152">
        <v>72</v>
      </c>
      <c r="H262" s="152">
        <v>28</v>
      </c>
      <c r="I262" s="152">
        <v>7</v>
      </c>
      <c r="J262" s="152">
        <v>1</v>
      </c>
      <c r="K262" s="152"/>
      <c r="L262" s="152">
        <v>36</v>
      </c>
      <c r="M262" s="152">
        <v>108</v>
      </c>
      <c r="N262" s="152">
        <v>1</v>
      </c>
      <c r="O262" s="152"/>
      <c r="P262" s="152"/>
      <c r="Q262" s="152">
        <v>1</v>
      </c>
      <c r="R262" s="152"/>
      <c r="S262" s="152"/>
      <c r="T262" s="152"/>
      <c r="U262" s="152"/>
      <c r="V262" s="152">
        <v>0</v>
      </c>
      <c r="W262" s="152">
        <v>1</v>
      </c>
      <c r="X262" s="152">
        <v>2</v>
      </c>
      <c r="Y262" s="152"/>
      <c r="Z262" s="152"/>
      <c r="AA262" s="152">
        <v>2</v>
      </c>
      <c r="AB262" s="152"/>
      <c r="AC262" s="152"/>
      <c r="AD262" s="152"/>
      <c r="AE262" s="152"/>
      <c r="AF262" s="152">
        <v>0</v>
      </c>
      <c r="AG262" s="152">
        <v>2</v>
      </c>
      <c r="AH262" s="152">
        <v>3</v>
      </c>
      <c r="AI262" s="152"/>
      <c r="AJ262" s="152"/>
      <c r="AK262" s="152">
        <v>3</v>
      </c>
      <c r="AL262" s="152">
        <v>1</v>
      </c>
      <c r="AM262" s="152"/>
      <c r="AN262" s="152"/>
      <c r="AO262" s="152"/>
      <c r="AP262" s="152">
        <v>1</v>
      </c>
      <c r="AQ262" s="152">
        <v>4</v>
      </c>
      <c r="AR262" s="152">
        <v>4</v>
      </c>
      <c r="AS262" s="152"/>
      <c r="AT262" s="152"/>
      <c r="AU262" s="152">
        <v>4</v>
      </c>
      <c r="AV262" s="152">
        <v>1</v>
      </c>
      <c r="AW262" s="152"/>
      <c r="AX262" s="152"/>
      <c r="AY262" s="152"/>
      <c r="AZ262" s="152">
        <v>1</v>
      </c>
      <c r="BA262" s="152">
        <v>5</v>
      </c>
      <c r="BB262" s="152"/>
      <c r="BC262" s="152"/>
      <c r="BD262" s="152">
        <v>0</v>
      </c>
      <c r="BE262" s="152"/>
      <c r="BF262" s="152"/>
      <c r="BG262" s="152"/>
      <c r="BH262" s="152"/>
      <c r="BI262" s="152">
        <v>0</v>
      </c>
      <c r="BJ262" s="152">
        <v>0</v>
      </c>
      <c r="BK262" s="152"/>
      <c r="BL262" s="152"/>
      <c r="BM262" s="152"/>
      <c r="BN262" s="152">
        <v>0</v>
      </c>
      <c r="BO262" s="152">
        <v>0</v>
      </c>
      <c r="BP262" s="152">
        <v>120</v>
      </c>
    </row>
    <row r="263" spans="1:68" x14ac:dyDescent="0.35">
      <c r="A263" s="146" t="s">
        <v>785</v>
      </c>
      <c r="B263" s="146" t="s">
        <v>786</v>
      </c>
      <c r="C263" s="152">
        <v>295</v>
      </c>
      <c r="D263" s="152">
        <v>4</v>
      </c>
      <c r="E263" s="152"/>
      <c r="F263" s="152"/>
      <c r="G263" s="152">
        <v>299</v>
      </c>
      <c r="H263" s="152">
        <v>91</v>
      </c>
      <c r="I263" s="152">
        <v>28</v>
      </c>
      <c r="J263" s="152">
        <v>5</v>
      </c>
      <c r="K263" s="152"/>
      <c r="L263" s="152">
        <v>124</v>
      </c>
      <c r="M263" s="152">
        <v>423</v>
      </c>
      <c r="N263" s="152">
        <v>15</v>
      </c>
      <c r="O263" s="152"/>
      <c r="P263" s="152"/>
      <c r="Q263" s="152">
        <v>15</v>
      </c>
      <c r="R263" s="152"/>
      <c r="S263" s="152"/>
      <c r="T263" s="152"/>
      <c r="U263" s="152"/>
      <c r="V263" s="152">
        <v>0</v>
      </c>
      <c r="W263" s="152">
        <v>15</v>
      </c>
      <c r="X263" s="152">
        <v>6</v>
      </c>
      <c r="Y263" s="152"/>
      <c r="Z263" s="152"/>
      <c r="AA263" s="152">
        <v>6</v>
      </c>
      <c r="AB263" s="152">
        <v>1</v>
      </c>
      <c r="AC263" s="152"/>
      <c r="AD263" s="152"/>
      <c r="AE263" s="152"/>
      <c r="AF263" s="152">
        <v>1</v>
      </c>
      <c r="AG263" s="152">
        <v>7</v>
      </c>
      <c r="AH263" s="152">
        <v>12</v>
      </c>
      <c r="AI263" s="152"/>
      <c r="AJ263" s="152"/>
      <c r="AK263" s="152">
        <v>12</v>
      </c>
      <c r="AL263" s="152">
        <v>1</v>
      </c>
      <c r="AM263" s="152"/>
      <c r="AN263" s="152"/>
      <c r="AO263" s="152"/>
      <c r="AP263" s="152">
        <v>1</v>
      </c>
      <c r="AQ263" s="152">
        <v>13</v>
      </c>
      <c r="AR263" s="152">
        <v>41</v>
      </c>
      <c r="AS263" s="152"/>
      <c r="AT263" s="152"/>
      <c r="AU263" s="152">
        <v>41</v>
      </c>
      <c r="AV263" s="152">
        <v>7</v>
      </c>
      <c r="AW263" s="152"/>
      <c r="AX263" s="152">
        <v>1</v>
      </c>
      <c r="AY263" s="152"/>
      <c r="AZ263" s="152">
        <v>8</v>
      </c>
      <c r="BA263" s="152">
        <v>49</v>
      </c>
      <c r="BB263" s="152">
        <v>3</v>
      </c>
      <c r="BC263" s="152"/>
      <c r="BD263" s="152">
        <v>3</v>
      </c>
      <c r="BE263" s="152"/>
      <c r="BF263" s="152"/>
      <c r="BG263" s="152"/>
      <c r="BH263" s="152"/>
      <c r="BI263" s="152">
        <v>0</v>
      </c>
      <c r="BJ263" s="152">
        <v>3</v>
      </c>
      <c r="BK263" s="152"/>
      <c r="BL263" s="152"/>
      <c r="BM263" s="152"/>
      <c r="BN263" s="152">
        <v>0</v>
      </c>
      <c r="BO263" s="152">
        <v>0</v>
      </c>
      <c r="BP263" s="152">
        <v>510</v>
      </c>
    </row>
    <row r="264" spans="1:68" x14ac:dyDescent="0.35">
      <c r="A264" s="146" t="s">
        <v>787</v>
      </c>
      <c r="B264" s="146" t="s">
        <v>788</v>
      </c>
      <c r="C264" s="152">
        <v>1047</v>
      </c>
      <c r="D264" s="152">
        <v>19</v>
      </c>
      <c r="E264" s="152"/>
      <c r="F264" s="152"/>
      <c r="G264" s="152">
        <v>1066</v>
      </c>
      <c r="H264" s="152">
        <v>349</v>
      </c>
      <c r="I264" s="152">
        <v>110</v>
      </c>
      <c r="J264" s="152">
        <v>22</v>
      </c>
      <c r="K264" s="152">
        <v>1</v>
      </c>
      <c r="L264" s="152">
        <v>482</v>
      </c>
      <c r="M264" s="152">
        <v>1548</v>
      </c>
      <c r="N264" s="152">
        <v>115</v>
      </c>
      <c r="O264" s="152"/>
      <c r="P264" s="152">
        <v>1</v>
      </c>
      <c r="Q264" s="152">
        <v>116</v>
      </c>
      <c r="R264" s="152">
        <v>32</v>
      </c>
      <c r="S264" s="152">
        <v>7</v>
      </c>
      <c r="T264" s="152">
        <v>1</v>
      </c>
      <c r="U264" s="152"/>
      <c r="V264" s="152">
        <v>40</v>
      </c>
      <c r="W264" s="152">
        <v>156</v>
      </c>
      <c r="X264" s="152">
        <v>87</v>
      </c>
      <c r="Y264" s="152">
        <v>4</v>
      </c>
      <c r="Z264" s="152"/>
      <c r="AA264" s="152">
        <v>91</v>
      </c>
      <c r="AB264" s="152">
        <v>12</v>
      </c>
      <c r="AC264" s="152">
        <v>4</v>
      </c>
      <c r="AD264" s="152"/>
      <c r="AE264" s="152"/>
      <c r="AF264" s="152">
        <v>16</v>
      </c>
      <c r="AG264" s="152">
        <v>107</v>
      </c>
      <c r="AH264" s="152">
        <v>65</v>
      </c>
      <c r="AI264" s="152">
        <v>1</v>
      </c>
      <c r="AJ264" s="152"/>
      <c r="AK264" s="152">
        <v>66</v>
      </c>
      <c r="AL264" s="152">
        <v>12</v>
      </c>
      <c r="AM264" s="152">
        <v>4</v>
      </c>
      <c r="AN264" s="152"/>
      <c r="AO264" s="152"/>
      <c r="AP264" s="152">
        <v>16</v>
      </c>
      <c r="AQ264" s="152">
        <v>82</v>
      </c>
      <c r="AR264" s="152">
        <v>292</v>
      </c>
      <c r="AS264" s="152"/>
      <c r="AT264" s="152"/>
      <c r="AU264" s="152">
        <v>292</v>
      </c>
      <c r="AV264" s="152">
        <v>50</v>
      </c>
      <c r="AW264" s="152">
        <v>8</v>
      </c>
      <c r="AX264" s="152"/>
      <c r="AY264" s="152"/>
      <c r="AZ264" s="152">
        <v>58</v>
      </c>
      <c r="BA264" s="152">
        <v>350</v>
      </c>
      <c r="BB264" s="152">
        <v>85</v>
      </c>
      <c r="BC264" s="152">
        <v>2</v>
      </c>
      <c r="BD264" s="152">
        <v>87</v>
      </c>
      <c r="BE264" s="152">
        <v>12</v>
      </c>
      <c r="BF264" s="152">
        <v>6</v>
      </c>
      <c r="BG264" s="152">
        <v>1</v>
      </c>
      <c r="BH264" s="152"/>
      <c r="BI264" s="152">
        <v>19</v>
      </c>
      <c r="BJ264" s="152">
        <v>106</v>
      </c>
      <c r="BK264" s="152"/>
      <c r="BL264" s="152"/>
      <c r="BM264" s="152"/>
      <c r="BN264" s="152">
        <v>0</v>
      </c>
      <c r="BO264" s="152">
        <v>0</v>
      </c>
      <c r="BP264" s="152">
        <v>2349</v>
      </c>
    </row>
    <row r="265" spans="1:68" x14ac:dyDescent="0.35">
      <c r="A265" s="146" t="s">
        <v>789</v>
      </c>
      <c r="B265" s="146" t="s">
        <v>1231</v>
      </c>
      <c r="C265" s="152">
        <v>20</v>
      </c>
      <c r="D265" s="152"/>
      <c r="E265" s="152"/>
      <c r="F265" s="152"/>
      <c r="G265" s="152">
        <v>20</v>
      </c>
      <c r="H265" s="152">
        <v>17</v>
      </c>
      <c r="I265" s="152">
        <v>3</v>
      </c>
      <c r="J265" s="152"/>
      <c r="K265" s="152"/>
      <c r="L265" s="152">
        <v>20</v>
      </c>
      <c r="M265" s="152">
        <v>40</v>
      </c>
      <c r="N265" s="152"/>
      <c r="O265" s="152"/>
      <c r="P265" s="152"/>
      <c r="Q265" s="152">
        <v>0</v>
      </c>
      <c r="R265" s="152"/>
      <c r="S265" s="152"/>
      <c r="T265" s="152"/>
      <c r="U265" s="152"/>
      <c r="V265" s="152">
        <v>0</v>
      </c>
      <c r="W265" s="152">
        <v>0</v>
      </c>
      <c r="X265" s="152"/>
      <c r="Y265" s="152"/>
      <c r="Z265" s="152"/>
      <c r="AA265" s="152">
        <v>0</v>
      </c>
      <c r="AB265" s="152"/>
      <c r="AC265" s="152"/>
      <c r="AD265" s="152"/>
      <c r="AE265" s="152"/>
      <c r="AF265" s="152">
        <v>0</v>
      </c>
      <c r="AG265" s="152">
        <v>0</v>
      </c>
      <c r="AH265" s="152"/>
      <c r="AI265" s="152"/>
      <c r="AJ265" s="152"/>
      <c r="AK265" s="152">
        <v>0</v>
      </c>
      <c r="AL265" s="152"/>
      <c r="AM265" s="152"/>
      <c r="AN265" s="152"/>
      <c r="AO265" s="152"/>
      <c r="AP265" s="152">
        <v>0</v>
      </c>
      <c r="AQ265" s="152">
        <v>0</v>
      </c>
      <c r="AR265" s="152">
        <v>3</v>
      </c>
      <c r="AS265" s="152"/>
      <c r="AT265" s="152"/>
      <c r="AU265" s="152">
        <v>3</v>
      </c>
      <c r="AV265" s="152"/>
      <c r="AW265" s="152"/>
      <c r="AX265" s="152"/>
      <c r="AY265" s="152"/>
      <c r="AZ265" s="152">
        <v>0</v>
      </c>
      <c r="BA265" s="152">
        <v>3</v>
      </c>
      <c r="BB265" s="152"/>
      <c r="BC265" s="152"/>
      <c r="BD265" s="152">
        <v>0</v>
      </c>
      <c r="BE265" s="152"/>
      <c r="BF265" s="152"/>
      <c r="BG265" s="152"/>
      <c r="BH265" s="152"/>
      <c r="BI265" s="152">
        <v>0</v>
      </c>
      <c r="BJ265" s="152">
        <v>0</v>
      </c>
      <c r="BK265" s="152"/>
      <c r="BL265" s="152"/>
      <c r="BM265" s="152"/>
      <c r="BN265" s="152">
        <v>0</v>
      </c>
      <c r="BO265" s="152">
        <v>0</v>
      </c>
      <c r="BP265" s="152">
        <v>43</v>
      </c>
    </row>
    <row r="266" spans="1:68" x14ac:dyDescent="0.35">
      <c r="A266" s="146" t="s">
        <v>790</v>
      </c>
      <c r="B266" s="146" t="s">
        <v>1232</v>
      </c>
      <c r="C266" s="152">
        <v>218</v>
      </c>
      <c r="D266" s="152">
        <v>4</v>
      </c>
      <c r="E266" s="152"/>
      <c r="F266" s="152"/>
      <c r="G266" s="152">
        <v>222</v>
      </c>
      <c r="H266" s="152">
        <v>83</v>
      </c>
      <c r="I266" s="152">
        <v>16</v>
      </c>
      <c r="J266" s="152">
        <v>11</v>
      </c>
      <c r="K266" s="152">
        <v>2</v>
      </c>
      <c r="L266" s="152">
        <v>112</v>
      </c>
      <c r="M266" s="152">
        <v>334</v>
      </c>
      <c r="N266" s="152">
        <v>40</v>
      </c>
      <c r="O266" s="152">
        <v>2</v>
      </c>
      <c r="P266" s="152"/>
      <c r="Q266" s="152">
        <v>42</v>
      </c>
      <c r="R266" s="152">
        <v>2</v>
      </c>
      <c r="S266" s="152">
        <v>1</v>
      </c>
      <c r="T266" s="152"/>
      <c r="U266" s="152"/>
      <c r="V266" s="152">
        <v>3</v>
      </c>
      <c r="W266" s="152">
        <v>45</v>
      </c>
      <c r="X266" s="152">
        <v>19</v>
      </c>
      <c r="Y266" s="152"/>
      <c r="Z266" s="152"/>
      <c r="AA266" s="152">
        <v>19</v>
      </c>
      <c r="AB266" s="152">
        <v>1</v>
      </c>
      <c r="AC266" s="152"/>
      <c r="AD266" s="152">
        <v>1</v>
      </c>
      <c r="AE266" s="152"/>
      <c r="AF266" s="152">
        <v>2</v>
      </c>
      <c r="AG266" s="152">
        <v>21</v>
      </c>
      <c r="AH266" s="152">
        <v>33</v>
      </c>
      <c r="AI266" s="152"/>
      <c r="AJ266" s="152"/>
      <c r="AK266" s="152">
        <v>33</v>
      </c>
      <c r="AL266" s="152">
        <v>1</v>
      </c>
      <c r="AM266" s="152">
        <v>2</v>
      </c>
      <c r="AN266" s="152"/>
      <c r="AO266" s="152"/>
      <c r="AP266" s="152">
        <v>3</v>
      </c>
      <c r="AQ266" s="152">
        <v>36</v>
      </c>
      <c r="AR266" s="152">
        <v>57</v>
      </c>
      <c r="AS266" s="152"/>
      <c r="AT266" s="152"/>
      <c r="AU266" s="152">
        <v>57</v>
      </c>
      <c r="AV266" s="152">
        <v>5</v>
      </c>
      <c r="AW266" s="152"/>
      <c r="AX266" s="152">
        <v>1</v>
      </c>
      <c r="AY266" s="152"/>
      <c r="AZ266" s="152">
        <v>6</v>
      </c>
      <c r="BA266" s="152">
        <v>63</v>
      </c>
      <c r="BB266" s="152">
        <v>17</v>
      </c>
      <c r="BC266" s="152"/>
      <c r="BD266" s="152">
        <v>17</v>
      </c>
      <c r="BE266" s="152">
        <v>3</v>
      </c>
      <c r="BF266" s="152"/>
      <c r="BG266" s="152"/>
      <c r="BH266" s="152"/>
      <c r="BI266" s="152">
        <v>3</v>
      </c>
      <c r="BJ266" s="152">
        <v>20</v>
      </c>
      <c r="BK266" s="152"/>
      <c r="BL266" s="152"/>
      <c r="BM266" s="152"/>
      <c r="BN266" s="152">
        <v>0</v>
      </c>
      <c r="BO266" s="152">
        <v>0</v>
      </c>
      <c r="BP266" s="152">
        <v>519</v>
      </c>
    </row>
    <row r="267" spans="1:68" x14ac:dyDescent="0.35">
      <c r="A267" s="146" t="s">
        <v>791</v>
      </c>
      <c r="B267" s="146" t="s">
        <v>1233</v>
      </c>
      <c r="C267" s="152">
        <v>235</v>
      </c>
      <c r="D267" s="152"/>
      <c r="E267" s="152"/>
      <c r="F267" s="152"/>
      <c r="G267" s="152">
        <v>235</v>
      </c>
      <c r="H267" s="152">
        <v>151</v>
      </c>
      <c r="I267" s="152">
        <v>12</v>
      </c>
      <c r="J267" s="152">
        <v>2</v>
      </c>
      <c r="K267" s="152">
        <v>1</v>
      </c>
      <c r="L267" s="152">
        <v>166</v>
      </c>
      <c r="M267" s="152">
        <v>401</v>
      </c>
      <c r="N267" s="152">
        <v>23</v>
      </c>
      <c r="O267" s="152"/>
      <c r="P267" s="152"/>
      <c r="Q267" s="152">
        <v>23</v>
      </c>
      <c r="R267" s="152"/>
      <c r="S267" s="152"/>
      <c r="T267" s="152"/>
      <c r="U267" s="152"/>
      <c r="V267" s="152">
        <v>0</v>
      </c>
      <c r="W267" s="152">
        <v>23</v>
      </c>
      <c r="X267" s="152">
        <v>18</v>
      </c>
      <c r="Y267" s="152"/>
      <c r="Z267" s="152"/>
      <c r="AA267" s="152">
        <v>18</v>
      </c>
      <c r="AB267" s="152">
        <v>2</v>
      </c>
      <c r="AC267" s="152"/>
      <c r="AD267" s="152"/>
      <c r="AE267" s="152"/>
      <c r="AF267" s="152">
        <v>2</v>
      </c>
      <c r="AG267" s="152">
        <v>20</v>
      </c>
      <c r="AH267" s="152">
        <v>3</v>
      </c>
      <c r="AI267" s="152"/>
      <c r="AJ267" s="152"/>
      <c r="AK267" s="152">
        <v>3</v>
      </c>
      <c r="AL267" s="152">
        <v>11</v>
      </c>
      <c r="AM267" s="152"/>
      <c r="AN267" s="152"/>
      <c r="AO267" s="152"/>
      <c r="AP267" s="152">
        <v>11</v>
      </c>
      <c r="AQ267" s="152">
        <v>14</v>
      </c>
      <c r="AR267" s="152">
        <v>49</v>
      </c>
      <c r="AS267" s="152"/>
      <c r="AT267" s="152"/>
      <c r="AU267" s="152">
        <v>49</v>
      </c>
      <c r="AV267" s="152">
        <v>5</v>
      </c>
      <c r="AW267" s="152"/>
      <c r="AX267" s="152"/>
      <c r="AY267" s="152"/>
      <c r="AZ267" s="152">
        <v>5</v>
      </c>
      <c r="BA267" s="152">
        <v>54</v>
      </c>
      <c r="BB267" s="152">
        <v>5</v>
      </c>
      <c r="BC267" s="152"/>
      <c r="BD267" s="152">
        <v>5</v>
      </c>
      <c r="BE267" s="152"/>
      <c r="BF267" s="152"/>
      <c r="BG267" s="152"/>
      <c r="BH267" s="152"/>
      <c r="BI267" s="152">
        <v>0</v>
      </c>
      <c r="BJ267" s="152">
        <v>5</v>
      </c>
      <c r="BK267" s="152"/>
      <c r="BL267" s="152"/>
      <c r="BM267" s="152"/>
      <c r="BN267" s="152">
        <v>0</v>
      </c>
      <c r="BO267" s="152">
        <v>0</v>
      </c>
      <c r="BP267" s="152">
        <v>517</v>
      </c>
    </row>
    <row r="268" spans="1:68" x14ac:dyDescent="0.35">
      <c r="A268" s="146" t="s">
        <v>792</v>
      </c>
      <c r="B268" s="146" t="s">
        <v>793</v>
      </c>
      <c r="C268" s="152">
        <v>881</v>
      </c>
      <c r="D268" s="152">
        <v>6</v>
      </c>
      <c r="E268" s="152">
        <v>1</v>
      </c>
      <c r="F268" s="152"/>
      <c r="G268" s="152">
        <v>888</v>
      </c>
      <c r="H268" s="152">
        <v>162</v>
      </c>
      <c r="I268" s="152">
        <v>36</v>
      </c>
      <c r="J268" s="152">
        <v>1</v>
      </c>
      <c r="K268" s="152"/>
      <c r="L268" s="152">
        <v>199</v>
      </c>
      <c r="M268" s="152">
        <v>1087</v>
      </c>
      <c r="N268" s="152">
        <v>129</v>
      </c>
      <c r="O268" s="152"/>
      <c r="P268" s="152"/>
      <c r="Q268" s="152">
        <v>129</v>
      </c>
      <c r="R268" s="152">
        <v>14</v>
      </c>
      <c r="S268" s="152"/>
      <c r="T268" s="152"/>
      <c r="U268" s="152"/>
      <c r="V268" s="152">
        <v>14</v>
      </c>
      <c r="W268" s="152">
        <v>143</v>
      </c>
      <c r="X268" s="152">
        <v>82</v>
      </c>
      <c r="Y268" s="152"/>
      <c r="Z268" s="152"/>
      <c r="AA268" s="152">
        <v>82</v>
      </c>
      <c r="AB268" s="152">
        <v>4</v>
      </c>
      <c r="AC268" s="152">
        <v>1</v>
      </c>
      <c r="AD268" s="152"/>
      <c r="AE268" s="152"/>
      <c r="AF268" s="152">
        <v>5</v>
      </c>
      <c r="AG268" s="152">
        <v>87</v>
      </c>
      <c r="AH268" s="152">
        <v>17</v>
      </c>
      <c r="AI268" s="152"/>
      <c r="AJ268" s="152"/>
      <c r="AK268" s="152">
        <v>17</v>
      </c>
      <c r="AL268" s="152"/>
      <c r="AM268" s="152"/>
      <c r="AN268" s="152"/>
      <c r="AO268" s="152"/>
      <c r="AP268" s="152">
        <v>0</v>
      </c>
      <c r="AQ268" s="152">
        <v>17</v>
      </c>
      <c r="AR268" s="152">
        <v>212</v>
      </c>
      <c r="AS268" s="152">
        <v>2</v>
      </c>
      <c r="AT268" s="152"/>
      <c r="AU268" s="152">
        <v>214</v>
      </c>
      <c r="AV268" s="152">
        <v>15</v>
      </c>
      <c r="AW268" s="152">
        <v>2</v>
      </c>
      <c r="AX268" s="152"/>
      <c r="AY268" s="152"/>
      <c r="AZ268" s="152">
        <v>17</v>
      </c>
      <c r="BA268" s="152">
        <v>231</v>
      </c>
      <c r="BB268" s="152">
        <v>83</v>
      </c>
      <c r="BC268" s="152">
        <v>1</v>
      </c>
      <c r="BD268" s="152">
        <v>84</v>
      </c>
      <c r="BE268" s="152">
        <v>5</v>
      </c>
      <c r="BF268" s="152">
        <v>1</v>
      </c>
      <c r="BG268" s="152"/>
      <c r="BH268" s="152"/>
      <c r="BI268" s="152">
        <v>6</v>
      </c>
      <c r="BJ268" s="152">
        <v>90</v>
      </c>
      <c r="BK268" s="152">
        <v>1</v>
      </c>
      <c r="BL268" s="152"/>
      <c r="BM268" s="152"/>
      <c r="BN268" s="152">
        <v>0</v>
      </c>
      <c r="BO268" s="152">
        <v>1</v>
      </c>
      <c r="BP268" s="152">
        <v>1656</v>
      </c>
    </row>
    <row r="269" spans="1:68" x14ac:dyDescent="0.35">
      <c r="A269" s="146" t="s">
        <v>794</v>
      </c>
      <c r="B269" s="146" t="s">
        <v>795</v>
      </c>
      <c r="C269" s="152">
        <v>787</v>
      </c>
      <c r="D269" s="152">
        <v>10</v>
      </c>
      <c r="E269" s="152">
        <v>2</v>
      </c>
      <c r="F269" s="152"/>
      <c r="G269" s="152">
        <v>799</v>
      </c>
      <c r="H269" s="152">
        <v>135</v>
      </c>
      <c r="I269" s="152">
        <v>19</v>
      </c>
      <c r="J269" s="152">
        <v>6</v>
      </c>
      <c r="K269" s="152"/>
      <c r="L269" s="152">
        <v>160</v>
      </c>
      <c r="M269" s="152">
        <v>959</v>
      </c>
      <c r="N269" s="152">
        <v>109</v>
      </c>
      <c r="O269" s="152"/>
      <c r="P269" s="152"/>
      <c r="Q269" s="152">
        <v>109</v>
      </c>
      <c r="R269" s="152"/>
      <c r="S269" s="152"/>
      <c r="T269" s="152"/>
      <c r="U269" s="152"/>
      <c r="V269" s="152">
        <v>0</v>
      </c>
      <c r="W269" s="152">
        <v>109</v>
      </c>
      <c r="X269" s="152">
        <v>95</v>
      </c>
      <c r="Y269" s="152"/>
      <c r="Z269" s="152"/>
      <c r="AA269" s="152">
        <v>95</v>
      </c>
      <c r="AB269" s="152">
        <v>1</v>
      </c>
      <c r="AC269" s="152"/>
      <c r="AD269" s="152"/>
      <c r="AE269" s="152"/>
      <c r="AF269" s="152">
        <v>1</v>
      </c>
      <c r="AG269" s="152">
        <v>96</v>
      </c>
      <c r="AH269" s="152">
        <v>51</v>
      </c>
      <c r="AI269" s="152">
        <v>1</v>
      </c>
      <c r="AJ269" s="152"/>
      <c r="AK269" s="152">
        <v>52</v>
      </c>
      <c r="AL269" s="152">
        <v>6</v>
      </c>
      <c r="AM269" s="152"/>
      <c r="AN269" s="152"/>
      <c r="AO269" s="152"/>
      <c r="AP269" s="152">
        <v>6</v>
      </c>
      <c r="AQ269" s="152">
        <v>58</v>
      </c>
      <c r="AR269" s="152">
        <v>209</v>
      </c>
      <c r="AS269" s="152"/>
      <c r="AT269" s="152"/>
      <c r="AU269" s="152">
        <v>209</v>
      </c>
      <c r="AV269" s="152">
        <v>7</v>
      </c>
      <c r="AW269" s="152">
        <v>2</v>
      </c>
      <c r="AX269" s="152"/>
      <c r="AY269" s="152"/>
      <c r="AZ269" s="152">
        <v>9</v>
      </c>
      <c r="BA269" s="152">
        <v>218</v>
      </c>
      <c r="BB269" s="152">
        <v>68</v>
      </c>
      <c r="BC269" s="152"/>
      <c r="BD269" s="152">
        <v>68</v>
      </c>
      <c r="BE269" s="152"/>
      <c r="BF269" s="152"/>
      <c r="BG269" s="152"/>
      <c r="BH269" s="152"/>
      <c r="BI269" s="152">
        <v>0</v>
      </c>
      <c r="BJ269" s="152">
        <v>68</v>
      </c>
      <c r="BK269" s="152"/>
      <c r="BL269" s="152">
        <v>1</v>
      </c>
      <c r="BM269" s="152"/>
      <c r="BN269" s="152">
        <v>0</v>
      </c>
      <c r="BO269" s="152">
        <v>0</v>
      </c>
      <c r="BP269" s="152">
        <v>1508</v>
      </c>
    </row>
    <row r="270" spans="1:68" x14ac:dyDescent="0.35">
      <c r="A270" s="146" t="s">
        <v>796</v>
      </c>
      <c r="B270" s="146" t="s">
        <v>1234</v>
      </c>
      <c r="C270" s="152">
        <v>106</v>
      </c>
      <c r="D270" s="152">
        <v>7</v>
      </c>
      <c r="E270" s="152"/>
      <c r="F270" s="152"/>
      <c r="G270" s="152">
        <v>113</v>
      </c>
      <c r="H270" s="152">
        <v>63</v>
      </c>
      <c r="I270" s="152">
        <v>18</v>
      </c>
      <c r="J270" s="152">
        <v>3</v>
      </c>
      <c r="K270" s="152"/>
      <c r="L270" s="152">
        <v>84</v>
      </c>
      <c r="M270" s="152">
        <v>197</v>
      </c>
      <c r="N270" s="152">
        <v>17</v>
      </c>
      <c r="O270" s="152"/>
      <c r="P270" s="152"/>
      <c r="Q270" s="152">
        <v>17</v>
      </c>
      <c r="R270" s="152"/>
      <c r="S270" s="152"/>
      <c r="T270" s="152"/>
      <c r="U270" s="152"/>
      <c r="V270" s="152">
        <v>0</v>
      </c>
      <c r="W270" s="152">
        <v>17</v>
      </c>
      <c r="X270" s="152">
        <v>12</v>
      </c>
      <c r="Y270" s="152"/>
      <c r="Z270" s="152"/>
      <c r="AA270" s="152">
        <v>12</v>
      </c>
      <c r="AB270" s="152"/>
      <c r="AC270" s="152"/>
      <c r="AD270" s="152"/>
      <c r="AE270" s="152"/>
      <c r="AF270" s="152">
        <v>0</v>
      </c>
      <c r="AG270" s="152">
        <v>12</v>
      </c>
      <c r="AH270" s="152">
        <v>10</v>
      </c>
      <c r="AI270" s="152"/>
      <c r="AJ270" s="152"/>
      <c r="AK270" s="152">
        <v>10</v>
      </c>
      <c r="AL270" s="152"/>
      <c r="AM270" s="152"/>
      <c r="AN270" s="152"/>
      <c r="AO270" s="152"/>
      <c r="AP270" s="152">
        <v>0</v>
      </c>
      <c r="AQ270" s="152">
        <v>10</v>
      </c>
      <c r="AR270" s="152">
        <v>14</v>
      </c>
      <c r="AS270" s="152"/>
      <c r="AT270" s="152"/>
      <c r="AU270" s="152">
        <v>14</v>
      </c>
      <c r="AV270" s="152">
        <v>3</v>
      </c>
      <c r="AW270" s="152"/>
      <c r="AX270" s="152"/>
      <c r="AY270" s="152"/>
      <c r="AZ270" s="152">
        <v>3</v>
      </c>
      <c r="BA270" s="152">
        <v>17</v>
      </c>
      <c r="BB270" s="152">
        <v>2</v>
      </c>
      <c r="BC270" s="152"/>
      <c r="BD270" s="152">
        <v>2</v>
      </c>
      <c r="BE270" s="152"/>
      <c r="BF270" s="152"/>
      <c r="BG270" s="152"/>
      <c r="BH270" s="152"/>
      <c r="BI270" s="152">
        <v>0</v>
      </c>
      <c r="BJ270" s="152">
        <v>2</v>
      </c>
      <c r="BK270" s="152"/>
      <c r="BL270" s="152"/>
      <c r="BM270" s="152"/>
      <c r="BN270" s="152">
        <v>0</v>
      </c>
      <c r="BO270" s="152">
        <v>0</v>
      </c>
      <c r="BP270" s="152">
        <v>255</v>
      </c>
    </row>
    <row r="271" spans="1:68" x14ac:dyDescent="0.35">
      <c r="A271" s="146" t="s">
        <v>797</v>
      </c>
      <c r="B271" s="146" t="s">
        <v>798</v>
      </c>
      <c r="C271" s="152">
        <v>84</v>
      </c>
      <c r="D271" s="152">
        <v>1</v>
      </c>
      <c r="E271" s="152"/>
      <c r="F271" s="152"/>
      <c r="G271" s="152">
        <v>85</v>
      </c>
      <c r="H271" s="152">
        <v>30</v>
      </c>
      <c r="I271" s="152">
        <v>4</v>
      </c>
      <c r="J271" s="152">
        <v>1</v>
      </c>
      <c r="K271" s="152"/>
      <c r="L271" s="152">
        <v>35</v>
      </c>
      <c r="M271" s="152">
        <v>120</v>
      </c>
      <c r="N271" s="152">
        <v>11</v>
      </c>
      <c r="O271" s="152"/>
      <c r="P271" s="152"/>
      <c r="Q271" s="152">
        <v>11</v>
      </c>
      <c r="R271" s="152"/>
      <c r="S271" s="152"/>
      <c r="T271" s="152"/>
      <c r="U271" s="152"/>
      <c r="V271" s="152">
        <v>0</v>
      </c>
      <c r="W271" s="152">
        <v>11</v>
      </c>
      <c r="X271" s="152">
        <v>5</v>
      </c>
      <c r="Y271" s="152"/>
      <c r="Z271" s="152"/>
      <c r="AA271" s="152">
        <v>5</v>
      </c>
      <c r="AB271" s="152"/>
      <c r="AC271" s="152"/>
      <c r="AD271" s="152"/>
      <c r="AE271" s="152"/>
      <c r="AF271" s="152">
        <v>0</v>
      </c>
      <c r="AG271" s="152">
        <v>5</v>
      </c>
      <c r="AH271" s="152">
        <v>7</v>
      </c>
      <c r="AI271" s="152"/>
      <c r="AJ271" s="152"/>
      <c r="AK271" s="152">
        <v>7</v>
      </c>
      <c r="AL271" s="152"/>
      <c r="AM271" s="152"/>
      <c r="AN271" s="152"/>
      <c r="AO271" s="152"/>
      <c r="AP271" s="152">
        <v>0</v>
      </c>
      <c r="AQ271" s="152">
        <v>7</v>
      </c>
      <c r="AR271" s="152">
        <v>17</v>
      </c>
      <c r="AS271" s="152"/>
      <c r="AT271" s="152"/>
      <c r="AU271" s="152">
        <v>17</v>
      </c>
      <c r="AV271" s="152">
        <v>2</v>
      </c>
      <c r="AW271" s="152">
        <v>1</v>
      </c>
      <c r="AX271" s="152"/>
      <c r="AY271" s="152"/>
      <c r="AZ271" s="152">
        <v>3</v>
      </c>
      <c r="BA271" s="152">
        <v>20</v>
      </c>
      <c r="BB271" s="152"/>
      <c r="BC271" s="152"/>
      <c r="BD271" s="152">
        <v>0</v>
      </c>
      <c r="BE271" s="152"/>
      <c r="BF271" s="152"/>
      <c r="BG271" s="152"/>
      <c r="BH271" s="152"/>
      <c r="BI271" s="152">
        <v>0</v>
      </c>
      <c r="BJ271" s="152">
        <v>0</v>
      </c>
      <c r="BK271" s="152"/>
      <c r="BL271" s="152"/>
      <c r="BM271" s="152"/>
      <c r="BN271" s="152">
        <v>0</v>
      </c>
      <c r="BO271" s="152">
        <v>0</v>
      </c>
      <c r="BP271" s="152">
        <v>163</v>
      </c>
    </row>
    <row r="272" spans="1:68" x14ac:dyDescent="0.35">
      <c r="A272" s="146" t="s">
        <v>799</v>
      </c>
      <c r="B272" s="146" t="s">
        <v>800</v>
      </c>
      <c r="C272" s="152">
        <v>2745</v>
      </c>
      <c r="D272" s="152">
        <v>26</v>
      </c>
      <c r="E272" s="152">
        <v>1</v>
      </c>
      <c r="F272" s="152"/>
      <c r="G272" s="152">
        <v>2772</v>
      </c>
      <c r="H272" s="152">
        <v>392</v>
      </c>
      <c r="I272" s="152">
        <v>77</v>
      </c>
      <c r="J272" s="152">
        <v>11</v>
      </c>
      <c r="K272" s="152">
        <v>6</v>
      </c>
      <c r="L272" s="152">
        <v>486</v>
      </c>
      <c r="M272" s="152">
        <v>3258</v>
      </c>
      <c r="N272" s="152">
        <v>442</v>
      </c>
      <c r="O272" s="152"/>
      <c r="P272" s="152"/>
      <c r="Q272" s="152">
        <v>442</v>
      </c>
      <c r="R272" s="152">
        <v>4</v>
      </c>
      <c r="S272" s="152"/>
      <c r="T272" s="152"/>
      <c r="U272" s="152"/>
      <c r="V272" s="152">
        <v>4</v>
      </c>
      <c r="W272" s="152">
        <v>446</v>
      </c>
      <c r="X272" s="152">
        <v>325</v>
      </c>
      <c r="Y272" s="152"/>
      <c r="Z272" s="152"/>
      <c r="AA272" s="152">
        <v>325</v>
      </c>
      <c r="AB272" s="152">
        <v>4</v>
      </c>
      <c r="AC272" s="152"/>
      <c r="AD272" s="152"/>
      <c r="AE272" s="152"/>
      <c r="AF272" s="152">
        <v>4</v>
      </c>
      <c r="AG272" s="152">
        <v>329</v>
      </c>
      <c r="AH272" s="152">
        <v>190</v>
      </c>
      <c r="AI272" s="152">
        <v>1</v>
      </c>
      <c r="AJ272" s="152"/>
      <c r="AK272" s="152">
        <v>191</v>
      </c>
      <c r="AL272" s="152">
        <v>4</v>
      </c>
      <c r="AM272" s="152"/>
      <c r="AN272" s="152"/>
      <c r="AO272" s="152"/>
      <c r="AP272" s="152">
        <v>4</v>
      </c>
      <c r="AQ272" s="152">
        <v>195</v>
      </c>
      <c r="AR272" s="152">
        <v>473</v>
      </c>
      <c r="AS272" s="152">
        <v>2</v>
      </c>
      <c r="AT272" s="152"/>
      <c r="AU272" s="152">
        <v>475</v>
      </c>
      <c r="AV272" s="152">
        <v>25</v>
      </c>
      <c r="AW272" s="152">
        <v>1</v>
      </c>
      <c r="AX272" s="152">
        <v>1</v>
      </c>
      <c r="AY272" s="152"/>
      <c r="AZ272" s="152">
        <v>27</v>
      </c>
      <c r="BA272" s="152">
        <v>502</v>
      </c>
      <c r="BB272" s="152">
        <v>174</v>
      </c>
      <c r="BC272" s="152"/>
      <c r="BD272" s="152">
        <v>174</v>
      </c>
      <c r="BE272" s="152"/>
      <c r="BF272" s="152"/>
      <c r="BG272" s="152"/>
      <c r="BH272" s="152"/>
      <c r="BI272" s="152">
        <v>0</v>
      </c>
      <c r="BJ272" s="152">
        <v>174</v>
      </c>
      <c r="BK272" s="152"/>
      <c r="BL272" s="152"/>
      <c r="BM272" s="152"/>
      <c r="BN272" s="152">
        <v>0</v>
      </c>
      <c r="BO272" s="152">
        <v>0</v>
      </c>
      <c r="BP272" s="152">
        <v>4904</v>
      </c>
    </row>
    <row r="273" spans="1:68" x14ac:dyDescent="0.35">
      <c r="A273" s="146" t="s">
        <v>801</v>
      </c>
      <c r="B273" s="146" t="s">
        <v>1235</v>
      </c>
      <c r="C273" s="152">
        <v>527</v>
      </c>
      <c r="D273" s="152">
        <v>8</v>
      </c>
      <c r="E273" s="152"/>
      <c r="F273" s="152"/>
      <c r="G273" s="152">
        <v>535</v>
      </c>
      <c r="H273" s="152">
        <v>70</v>
      </c>
      <c r="I273" s="152">
        <v>21</v>
      </c>
      <c r="J273" s="152">
        <v>5</v>
      </c>
      <c r="K273" s="152">
        <v>2</v>
      </c>
      <c r="L273" s="152">
        <v>98</v>
      </c>
      <c r="M273" s="152">
        <v>633</v>
      </c>
      <c r="N273" s="152">
        <v>53</v>
      </c>
      <c r="O273" s="152"/>
      <c r="P273" s="152"/>
      <c r="Q273" s="152">
        <v>53</v>
      </c>
      <c r="R273" s="152">
        <v>1</v>
      </c>
      <c r="S273" s="152"/>
      <c r="T273" s="152"/>
      <c r="U273" s="152"/>
      <c r="V273" s="152">
        <v>1</v>
      </c>
      <c r="W273" s="152">
        <v>54</v>
      </c>
      <c r="X273" s="152">
        <v>26</v>
      </c>
      <c r="Y273" s="152"/>
      <c r="Z273" s="152"/>
      <c r="AA273" s="152">
        <v>26</v>
      </c>
      <c r="AB273" s="152">
        <v>2</v>
      </c>
      <c r="AC273" s="152"/>
      <c r="AD273" s="152"/>
      <c r="AE273" s="152"/>
      <c r="AF273" s="152">
        <v>2</v>
      </c>
      <c r="AG273" s="152">
        <v>28</v>
      </c>
      <c r="AH273" s="152">
        <v>41</v>
      </c>
      <c r="AI273" s="152"/>
      <c r="AJ273" s="152"/>
      <c r="AK273" s="152">
        <v>41</v>
      </c>
      <c r="AL273" s="152">
        <v>1</v>
      </c>
      <c r="AM273" s="152"/>
      <c r="AN273" s="152"/>
      <c r="AO273" s="152"/>
      <c r="AP273" s="152">
        <v>1</v>
      </c>
      <c r="AQ273" s="152">
        <v>42</v>
      </c>
      <c r="AR273" s="152">
        <v>80</v>
      </c>
      <c r="AS273" s="152">
        <v>1</v>
      </c>
      <c r="AT273" s="152"/>
      <c r="AU273" s="152">
        <v>81</v>
      </c>
      <c r="AV273" s="152">
        <v>1</v>
      </c>
      <c r="AW273" s="152">
        <v>3</v>
      </c>
      <c r="AX273" s="152"/>
      <c r="AY273" s="152"/>
      <c r="AZ273" s="152">
        <v>4</v>
      </c>
      <c r="BA273" s="152">
        <v>85</v>
      </c>
      <c r="BB273" s="152">
        <v>14</v>
      </c>
      <c r="BC273" s="152">
        <v>1</v>
      </c>
      <c r="BD273" s="152">
        <v>15</v>
      </c>
      <c r="BE273" s="152"/>
      <c r="BF273" s="152"/>
      <c r="BG273" s="152"/>
      <c r="BH273" s="152"/>
      <c r="BI273" s="152">
        <v>0</v>
      </c>
      <c r="BJ273" s="152">
        <v>15</v>
      </c>
      <c r="BK273" s="152"/>
      <c r="BL273" s="152"/>
      <c r="BM273" s="152"/>
      <c r="BN273" s="152">
        <v>0</v>
      </c>
      <c r="BO273" s="152">
        <v>0</v>
      </c>
      <c r="BP273" s="152">
        <v>857</v>
      </c>
    </row>
    <row r="274" spans="1:68" x14ac:dyDescent="0.35">
      <c r="A274" s="146" t="s">
        <v>802</v>
      </c>
      <c r="B274" s="146" t="s">
        <v>803</v>
      </c>
      <c r="C274" s="152">
        <v>1928</v>
      </c>
      <c r="D274" s="152">
        <v>17</v>
      </c>
      <c r="E274" s="152"/>
      <c r="F274" s="152"/>
      <c r="G274" s="152">
        <v>1945</v>
      </c>
      <c r="H274" s="152">
        <v>420</v>
      </c>
      <c r="I274" s="152">
        <v>89</v>
      </c>
      <c r="J274" s="152">
        <v>10</v>
      </c>
      <c r="K274" s="152">
        <v>6</v>
      </c>
      <c r="L274" s="152">
        <v>525</v>
      </c>
      <c r="M274" s="152">
        <v>2470</v>
      </c>
      <c r="N274" s="152">
        <v>203</v>
      </c>
      <c r="O274" s="152">
        <v>2</v>
      </c>
      <c r="P274" s="152"/>
      <c r="Q274" s="152">
        <v>205</v>
      </c>
      <c r="R274" s="152">
        <v>13</v>
      </c>
      <c r="S274" s="152">
        <v>1</v>
      </c>
      <c r="T274" s="152"/>
      <c r="U274" s="152"/>
      <c r="V274" s="152">
        <v>14</v>
      </c>
      <c r="W274" s="152">
        <v>219</v>
      </c>
      <c r="X274" s="152">
        <v>150</v>
      </c>
      <c r="Y274" s="152"/>
      <c r="Z274" s="152"/>
      <c r="AA274" s="152">
        <v>150</v>
      </c>
      <c r="AB274" s="152">
        <v>15</v>
      </c>
      <c r="AC274" s="152">
        <v>2</v>
      </c>
      <c r="AD274" s="152"/>
      <c r="AE274" s="152"/>
      <c r="AF274" s="152">
        <v>17</v>
      </c>
      <c r="AG274" s="152">
        <v>167</v>
      </c>
      <c r="AH274" s="152">
        <v>162</v>
      </c>
      <c r="AI274" s="152">
        <v>1</v>
      </c>
      <c r="AJ274" s="152"/>
      <c r="AK274" s="152">
        <v>163</v>
      </c>
      <c r="AL274" s="152">
        <v>2</v>
      </c>
      <c r="AM274" s="152"/>
      <c r="AN274" s="152"/>
      <c r="AO274" s="152"/>
      <c r="AP274" s="152">
        <v>2</v>
      </c>
      <c r="AQ274" s="152">
        <v>165</v>
      </c>
      <c r="AR274" s="152">
        <v>453</v>
      </c>
      <c r="AS274" s="152">
        <v>1</v>
      </c>
      <c r="AT274" s="152"/>
      <c r="AU274" s="152">
        <v>454</v>
      </c>
      <c r="AV274" s="152">
        <v>41</v>
      </c>
      <c r="AW274" s="152">
        <v>5</v>
      </c>
      <c r="AX274" s="152"/>
      <c r="AY274" s="152"/>
      <c r="AZ274" s="152">
        <v>46</v>
      </c>
      <c r="BA274" s="152">
        <v>500</v>
      </c>
      <c r="BB274" s="152">
        <v>115</v>
      </c>
      <c r="BC274" s="152">
        <v>1</v>
      </c>
      <c r="BD274" s="152">
        <v>116</v>
      </c>
      <c r="BE274" s="152">
        <v>3</v>
      </c>
      <c r="BF274" s="152">
        <v>1</v>
      </c>
      <c r="BG274" s="152"/>
      <c r="BH274" s="152"/>
      <c r="BI274" s="152">
        <v>4</v>
      </c>
      <c r="BJ274" s="152">
        <v>120</v>
      </c>
      <c r="BK274" s="152"/>
      <c r="BL274" s="152"/>
      <c r="BM274" s="152"/>
      <c r="BN274" s="152">
        <v>0</v>
      </c>
      <c r="BO274" s="152">
        <v>0</v>
      </c>
      <c r="BP274" s="152">
        <v>3641</v>
      </c>
    </row>
    <row r="275" spans="1:68" x14ac:dyDescent="0.35">
      <c r="A275" s="146" t="s">
        <v>804</v>
      </c>
      <c r="B275" s="146" t="s">
        <v>805</v>
      </c>
      <c r="C275" s="152">
        <v>909</v>
      </c>
      <c r="D275" s="152">
        <v>15</v>
      </c>
      <c r="E275" s="152"/>
      <c r="F275" s="152"/>
      <c r="G275" s="152">
        <v>924</v>
      </c>
      <c r="H275" s="152">
        <v>286</v>
      </c>
      <c r="I275" s="152">
        <v>85</v>
      </c>
      <c r="J275" s="152">
        <v>7</v>
      </c>
      <c r="K275" s="152">
        <v>3</v>
      </c>
      <c r="L275" s="152">
        <v>381</v>
      </c>
      <c r="M275" s="152">
        <v>1305</v>
      </c>
      <c r="N275" s="152">
        <v>53</v>
      </c>
      <c r="O275" s="152"/>
      <c r="P275" s="152"/>
      <c r="Q275" s="152">
        <v>53</v>
      </c>
      <c r="R275" s="152">
        <v>2</v>
      </c>
      <c r="S275" s="152"/>
      <c r="T275" s="152"/>
      <c r="U275" s="152"/>
      <c r="V275" s="152">
        <v>2</v>
      </c>
      <c r="W275" s="152">
        <v>55</v>
      </c>
      <c r="X275" s="152">
        <v>35</v>
      </c>
      <c r="Y275" s="152"/>
      <c r="Z275" s="152"/>
      <c r="AA275" s="152">
        <v>35</v>
      </c>
      <c r="AB275" s="152">
        <v>3</v>
      </c>
      <c r="AC275" s="152">
        <v>1</v>
      </c>
      <c r="AD275" s="152">
        <v>1</v>
      </c>
      <c r="AE275" s="152"/>
      <c r="AF275" s="152">
        <v>5</v>
      </c>
      <c r="AG275" s="152">
        <v>40</v>
      </c>
      <c r="AH275" s="152">
        <v>20</v>
      </c>
      <c r="AI275" s="152"/>
      <c r="AJ275" s="152"/>
      <c r="AK275" s="152">
        <v>20</v>
      </c>
      <c r="AL275" s="152">
        <v>1</v>
      </c>
      <c r="AM275" s="152"/>
      <c r="AN275" s="152"/>
      <c r="AO275" s="152"/>
      <c r="AP275" s="152">
        <v>1</v>
      </c>
      <c r="AQ275" s="152">
        <v>21</v>
      </c>
      <c r="AR275" s="152">
        <v>98</v>
      </c>
      <c r="AS275" s="152"/>
      <c r="AT275" s="152"/>
      <c r="AU275" s="152">
        <v>98</v>
      </c>
      <c r="AV275" s="152">
        <v>13</v>
      </c>
      <c r="AW275" s="152"/>
      <c r="AX275" s="152"/>
      <c r="AY275" s="152"/>
      <c r="AZ275" s="152">
        <v>13</v>
      </c>
      <c r="BA275" s="152">
        <v>111</v>
      </c>
      <c r="BB275" s="152">
        <v>9</v>
      </c>
      <c r="BC275" s="152"/>
      <c r="BD275" s="152">
        <v>9</v>
      </c>
      <c r="BE275" s="152">
        <v>2</v>
      </c>
      <c r="BF275" s="152"/>
      <c r="BG275" s="152"/>
      <c r="BH275" s="152"/>
      <c r="BI275" s="152">
        <v>2</v>
      </c>
      <c r="BJ275" s="152">
        <v>11</v>
      </c>
      <c r="BK275" s="152"/>
      <c r="BL275" s="152"/>
      <c r="BM275" s="152"/>
      <c r="BN275" s="152">
        <v>0</v>
      </c>
      <c r="BO275" s="152">
        <v>0</v>
      </c>
      <c r="BP275" s="152">
        <v>1543</v>
      </c>
    </row>
    <row r="276" spans="1:68" x14ac:dyDescent="0.35">
      <c r="A276" s="146" t="s">
        <v>806</v>
      </c>
      <c r="B276" s="146" t="s">
        <v>807</v>
      </c>
      <c r="C276" s="152">
        <v>178</v>
      </c>
      <c r="D276" s="152">
        <v>2</v>
      </c>
      <c r="E276" s="152">
        <v>1</v>
      </c>
      <c r="F276" s="152"/>
      <c r="G276" s="152">
        <v>181</v>
      </c>
      <c r="H276" s="152">
        <v>39</v>
      </c>
      <c r="I276" s="152">
        <v>6</v>
      </c>
      <c r="J276" s="152"/>
      <c r="K276" s="152"/>
      <c r="L276" s="152">
        <v>45</v>
      </c>
      <c r="M276" s="152">
        <v>226</v>
      </c>
      <c r="N276" s="152">
        <v>32</v>
      </c>
      <c r="O276" s="152"/>
      <c r="P276" s="152"/>
      <c r="Q276" s="152">
        <v>32</v>
      </c>
      <c r="R276" s="152"/>
      <c r="S276" s="152"/>
      <c r="T276" s="152"/>
      <c r="U276" s="152"/>
      <c r="V276" s="152">
        <v>0</v>
      </c>
      <c r="W276" s="152">
        <v>32</v>
      </c>
      <c r="X276" s="152">
        <v>13</v>
      </c>
      <c r="Y276" s="152"/>
      <c r="Z276" s="152"/>
      <c r="AA276" s="152">
        <v>13</v>
      </c>
      <c r="AB276" s="152"/>
      <c r="AC276" s="152"/>
      <c r="AD276" s="152"/>
      <c r="AE276" s="152"/>
      <c r="AF276" s="152">
        <v>0</v>
      </c>
      <c r="AG276" s="152">
        <v>13</v>
      </c>
      <c r="AH276" s="152">
        <v>19</v>
      </c>
      <c r="AI276" s="152">
        <v>1</v>
      </c>
      <c r="AJ276" s="152"/>
      <c r="AK276" s="152">
        <v>20</v>
      </c>
      <c r="AL276" s="152">
        <v>2</v>
      </c>
      <c r="AM276" s="152"/>
      <c r="AN276" s="152"/>
      <c r="AO276" s="152"/>
      <c r="AP276" s="152">
        <v>2</v>
      </c>
      <c r="AQ276" s="152">
        <v>22</v>
      </c>
      <c r="AR276" s="152">
        <v>17</v>
      </c>
      <c r="AS276" s="152">
        <v>1</v>
      </c>
      <c r="AT276" s="152"/>
      <c r="AU276" s="152">
        <v>18</v>
      </c>
      <c r="AV276" s="152">
        <v>4</v>
      </c>
      <c r="AW276" s="152">
        <v>1</v>
      </c>
      <c r="AX276" s="152"/>
      <c r="AY276" s="152"/>
      <c r="AZ276" s="152">
        <v>5</v>
      </c>
      <c r="BA276" s="152">
        <v>23</v>
      </c>
      <c r="BB276" s="152">
        <v>24</v>
      </c>
      <c r="BC276" s="152"/>
      <c r="BD276" s="152">
        <v>24</v>
      </c>
      <c r="BE276" s="152"/>
      <c r="BF276" s="152"/>
      <c r="BG276" s="152"/>
      <c r="BH276" s="152"/>
      <c r="BI276" s="152">
        <v>0</v>
      </c>
      <c r="BJ276" s="152">
        <v>24</v>
      </c>
      <c r="BK276" s="152"/>
      <c r="BL276" s="152"/>
      <c r="BM276" s="152"/>
      <c r="BN276" s="152">
        <v>0</v>
      </c>
      <c r="BO276" s="152">
        <v>0</v>
      </c>
      <c r="BP276" s="152">
        <v>340</v>
      </c>
    </row>
    <row r="277" spans="1:68" x14ac:dyDescent="0.35">
      <c r="A277" s="146" t="s">
        <v>808</v>
      </c>
      <c r="B277" s="146" t="s">
        <v>809</v>
      </c>
      <c r="C277" s="152">
        <v>54</v>
      </c>
      <c r="D277" s="152"/>
      <c r="E277" s="152"/>
      <c r="F277" s="152"/>
      <c r="G277" s="152">
        <v>54</v>
      </c>
      <c r="H277" s="152">
        <v>4</v>
      </c>
      <c r="I277" s="152">
        <v>1</v>
      </c>
      <c r="J277" s="152"/>
      <c r="K277" s="152"/>
      <c r="L277" s="152">
        <v>5</v>
      </c>
      <c r="M277" s="152">
        <v>59</v>
      </c>
      <c r="N277" s="152">
        <v>4</v>
      </c>
      <c r="O277" s="152"/>
      <c r="P277" s="152"/>
      <c r="Q277" s="152">
        <v>4</v>
      </c>
      <c r="R277" s="152"/>
      <c r="S277" s="152"/>
      <c r="T277" s="152"/>
      <c r="U277" s="152"/>
      <c r="V277" s="152">
        <v>0</v>
      </c>
      <c r="W277" s="152">
        <v>4</v>
      </c>
      <c r="X277" s="152">
        <v>2</v>
      </c>
      <c r="Y277" s="152"/>
      <c r="Z277" s="152"/>
      <c r="AA277" s="152">
        <v>2</v>
      </c>
      <c r="AB277" s="152"/>
      <c r="AC277" s="152"/>
      <c r="AD277" s="152"/>
      <c r="AE277" s="152"/>
      <c r="AF277" s="152">
        <v>0</v>
      </c>
      <c r="AG277" s="152">
        <v>2</v>
      </c>
      <c r="AH277" s="152">
        <v>3</v>
      </c>
      <c r="AI277" s="152"/>
      <c r="AJ277" s="152"/>
      <c r="AK277" s="152">
        <v>3</v>
      </c>
      <c r="AL277" s="152"/>
      <c r="AM277" s="152"/>
      <c r="AN277" s="152"/>
      <c r="AO277" s="152"/>
      <c r="AP277" s="152">
        <v>0</v>
      </c>
      <c r="AQ277" s="152">
        <v>3</v>
      </c>
      <c r="AR277" s="152">
        <v>6</v>
      </c>
      <c r="AS277" s="152"/>
      <c r="AT277" s="152"/>
      <c r="AU277" s="152">
        <v>6</v>
      </c>
      <c r="AV277" s="152"/>
      <c r="AW277" s="152"/>
      <c r="AX277" s="152"/>
      <c r="AY277" s="152"/>
      <c r="AZ277" s="152">
        <v>0</v>
      </c>
      <c r="BA277" s="152">
        <v>6</v>
      </c>
      <c r="BB277" s="152">
        <v>4</v>
      </c>
      <c r="BC277" s="152"/>
      <c r="BD277" s="152">
        <v>4</v>
      </c>
      <c r="BE277" s="152"/>
      <c r="BF277" s="152"/>
      <c r="BG277" s="152"/>
      <c r="BH277" s="152"/>
      <c r="BI277" s="152">
        <v>0</v>
      </c>
      <c r="BJ277" s="152">
        <v>4</v>
      </c>
      <c r="BK277" s="152"/>
      <c r="BL277" s="152"/>
      <c r="BM277" s="152"/>
      <c r="BN277" s="152">
        <v>0</v>
      </c>
      <c r="BO277" s="152">
        <v>0</v>
      </c>
      <c r="BP277" s="152">
        <v>78</v>
      </c>
    </row>
    <row r="278" spans="1:68" x14ac:dyDescent="0.35">
      <c r="A278" s="146" t="s">
        <v>810</v>
      </c>
      <c r="B278" s="146" t="s">
        <v>811</v>
      </c>
      <c r="C278" s="152">
        <v>132</v>
      </c>
      <c r="D278" s="152"/>
      <c r="E278" s="152"/>
      <c r="F278" s="152"/>
      <c r="G278" s="152">
        <v>132</v>
      </c>
      <c r="H278" s="152">
        <v>18</v>
      </c>
      <c r="I278" s="152">
        <v>1</v>
      </c>
      <c r="J278" s="152"/>
      <c r="K278" s="152"/>
      <c r="L278" s="152">
        <v>19</v>
      </c>
      <c r="M278" s="152">
        <v>151</v>
      </c>
      <c r="N278" s="152">
        <v>7</v>
      </c>
      <c r="O278" s="152"/>
      <c r="P278" s="152"/>
      <c r="Q278" s="152">
        <v>7</v>
      </c>
      <c r="R278" s="152">
        <v>2</v>
      </c>
      <c r="S278" s="152"/>
      <c r="T278" s="152"/>
      <c r="U278" s="152"/>
      <c r="V278" s="152">
        <v>2</v>
      </c>
      <c r="W278" s="152">
        <v>9</v>
      </c>
      <c r="X278" s="152">
        <v>2</v>
      </c>
      <c r="Y278" s="152"/>
      <c r="Z278" s="152"/>
      <c r="AA278" s="152">
        <v>2</v>
      </c>
      <c r="AB278" s="152"/>
      <c r="AC278" s="152"/>
      <c r="AD278" s="152"/>
      <c r="AE278" s="152"/>
      <c r="AF278" s="152">
        <v>0</v>
      </c>
      <c r="AG278" s="152">
        <v>2</v>
      </c>
      <c r="AH278" s="152">
        <v>7</v>
      </c>
      <c r="AI278" s="152"/>
      <c r="AJ278" s="152"/>
      <c r="AK278" s="152">
        <v>7</v>
      </c>
      <c r="AL278" s="152"/>
      <c r="AM278" s="152"/>
      <c r="AN278" s="152"/>
      <c r="AO278" s="152"/>
      <c r="AP278" s="152">
        <v>0</v>
      </c>
      <c r="AQ278" s="152">
        <v>7</v>
      </c>
      <c r="AR278" s="152">
        <v>21</v>
      </c>
      <c r="AS278" s="152"/>
      <c r="AT278" s="152"/>
      <c r="AU278" s="152">
        <v>21</v>
      </c>
      <c r="AV278" s="152">
        <v>1</v>
      </c>
      <c r="AW278" s="152"/>
      <c r="AX278" s="152"/>
      <c r="AY278" s="152"/>
      <c r="AZ278" s="152">
        <v>1</v>
      </c>
      <c r="BA278" s="152">
        <v>22</v>
      </c>
      <c r="BB278" s="152">
        <v>2</v>
      </c>
      <c r="BC278" s="152"/>
      <c r="BD278" s="152">
        <v>2</v>
      </c>
      <c r="BE278" s="152"/>
      <c r="BF278" s="152"/>
      <c r="BG278" s="152"/>
      <c r="BH278" s="152"/>
      <c r="BI278" s="152">
        <v>0</v>
      </c>
      <c r="BJ278" s="152">
        <v>2</v>
      </c>
      <c r="BK278" s="152"/>
      <c r="BL278" s="152"/>
      <c r="BM278" s="152"/>
      <c r="BN278" s="152">
        <v>0</v>
      </c>
      <c r="BO278" s="152">
        <v>0</v>
      </c>
      <c r="BP278" s="152">
        <v>193</v>
      </c>
    </row>
    <row r="279" spans="1:68" x14ac:dyDescent="0.35">
      <c r="A279" s="146" t="s">
        <v>812</v>
      </c>
      <c r="B279" s="146" t="s">
        <v>813</v>
      </c>
      <c r="C279" s="152">
        <v>32</v>
      </c>
      <c r="D279" s="152"/>
      <c r="E279" s="152"/>
      <c r="F279" s="152"/>
      <c r="G279" s="152">
        <v>32</v>
      </c>
      <c r="H279" s="152">
        <v>3</v>
      </c>
      <c r="I279" s="152"/>
      <c r="J279" s="152"/>
      <c r="K279" s="152"/>
      <c r="L279" s="152">
        <v>3</v>
      </c>
      <c r="M279" s="152">
        <v>35</v>
      </c>
      <c r="N279" s="152">
        <v>4</v>
      </c>
      <c r="O279" s="152"/>
      <c r="P279" s="152"/>
      <c r="Q279" s="152">
        <v>4</v>
      </c>
      <c r="R279" s="152"/>
      <c r="S279" s="152"/>
      <c r="T279" s="152"/>
      <c r="U279" s="152"/>
      <c r="V279" s="152">
        <v>0</v>
      </c>
      <c r="W279" s="152">
        <v>4</v>
      </c>
      <c r="X279" s="152"/>
      <c r="Y279" s="152"/>
      <c r="Z279" s="152"/>
      <c r="AA279" s="152">
        <v>0</v>
      </c>
      <c r="AB279" s="152"/>
      <c r="AC279" s="152"/>
      <c r="AD279" s="152"/>
      <c r="AE279" s="152"/>
      <c r="AF279" s="152">
        <v>0</v>
      </c>
      <c r="AG279" s="152">
        <v>0</v>
      </c>
      <c r="AH279" s="152">
        <v>2</v>
      </c>
      <c r="AI279" s="152"/>
      <c r="AJ279" s="152"/>
      <c r="AK279" s="152">
        <v>2</v>
      </c>
      <c r="AL279" s="152"/>
      <c r="AM279" s="152"/>
      <c r="AN279" s="152"/>
      <c r="AO279" s="152"/>
      <c r="AP279" s="152">
        <v>0</v>
      </c>
      <c r="AQ279" s="152">
        <v>2</v>
      </c>
      <c r="AR279" s="152">
        <v>5</v>
      </c>
      <c r="AS279" s="152"/>
      <c r="AT279" s="152"/>
      <c r="AU279" s="152">
        <v>5</v>
      </c>
      <c r="AV279" s="152"/>
      <c r="AW279" s="152"/>
      <c r="AX279" s="152"/>
      <c r="AY279" s="152"/>
      <c r="AZ279" s="152">
        <v>0</v>
      </c>
      <c r="BA279" s="152">
        <v>5</v>
      </c>
      <c r="BB279" s="152"/>
      <c r="BC279" s="152"/>
      <c r="BD279" s="152">
        <v>0</v>
      </c>
      <c r="BE279" s="152">
        <v>1</v>
      </c>
      <c r="BF279" s="152"/>
      <c r="BG279" s="152"/>
      <c r="BH279" s="152"/>
      <c r="BI279" s="152">
        <v>1</v>
      </c>
      <c r="BJ279" s="152">
        <v>1</v>
      </c>
      <c r="BK279" s="152"/>
      <c r="BL279" s="152"/>
      <c r="BM279" s="152"/>
      <c r="BN279" s="152">
        <v>0</v>
      </c>
      <c r="BO279" s="152">
        <v>0</v>
      </c>
      <c r="BP279" s="152">
        <v>47</v>
      </c>
    </row>
    <row r="280" spans="1:68" x14ac:dyDescent="0.35">
      <c r="A280" s="146" t="s">
        <v>814</v>
      </c>
      <c r="B280" s="146" t="s">
        <v>1236</v>
      </c>
      <c r="C280" s="152">
        <v>806</v>
      </c>
      <c r="D280" s="152">
        <v>1</v>
      </c>
      <c r="E280" s="152"/>
      <c r="F280" s="152"/>
      <c r="G280" s="152">
        <v>807</v>
      </c>
      <c r="H280" s="152">
        <v>409</v>
      </c>
      <c r="I280" s="152">
        <v>24</v>
      </c>
      <c r="J280" s="152">
        <v>5</v>
      </c>
      <c r="K280" s="152"/>
      <c r="L280" s="152">
        <v>438</v>
      </c>
      <c r="M280" s="152">
        <v>1245</v>
      </c>
      <c r="N280" s="152">
        <v>7</v>
      </c>
      <c r="O280" s="152"/>
      <c r="P280" s="152"/>
      <c r="Q280" s="152">
        <v>7</v>
      </c>
      <c r="R280" s="152">
        <v>3</v>
      </c>
      <c r="S280" s="152"/>
      <c r="T280" s="152"/>
      <c r="U280" s="152"/>
      <c r="V280" s="152">
        <v>3</v>
      </c>
      <c r="W280" s="152">
        <v>10</v>
      </c>
      <c r="X280" s="152">
        <v>1</v>
      </c>
      <c r="Y280" s="152"/>
      <c r="Z280" s="152"/>
      <c r="AA280" s="152">
        <v>1</v>
      </c>
      <c r="AB280" s="152"/>
      <c r="AC280" s="152"/>
      <c r="AD280" s="152"/>
      <c r="AE280" s="152"/>
      <c r="AF280" s="152">
        <v>0</v>
      </c>
      <c r="AG280" s="152">
        <v>1</v>
      </c>
      <c r="AH280" s="152">
        <v>8</v>
      </c>
      <c r="AI280" s="152"/>
      <c r="AJ280" s="152"/>
      <c r="AK280" s="152">
        <v>8</v>
      </c>
      <c r="AL280" s="152">
        <v>1</v>
      </c>
      <c r="AM280" s="152"/>
      <c r="AN280" s="152"/>
      <c r="AO280" s="152"/>
      <c r="AP280" s="152">
        <v>1</v>
      </c>
      <c r="AQ280" s="152">
        <v>9</v>
      </c>
      <c r="AR280" s="152">
        <v>154</v>
      </c>
      <c r="AS280" s="152"/>
      <c r="AT280" s="152"/>
      <c r="AU280" s="152">
        <v>154</v>
      </c>
      <c r="AV280" s="152">
        <v>31</v>
      </c>
      <c r="AW280" s="152">
        <v>1</v>
      </c>
      <c r="AX280" s="152"/>
      <c r="AY280" s="152"/>
      <c r="AZ280" s="152">
        <v>32</v>
      </c>
      <c r="BA280" s="152">
        <v>186</v>
      </c>
      <c r="BB280" s="152">
        <v>5</v>
      </c>
      <c r="BC280" s="152"/>
      <c r="BD280" s="152">
        <v>5</v>
      </c>
      <c r="BE280" s="152"/>
      <c r="BF280" s="152"/>
      <c r="BG280" s="152">
        <v>1</v>
      </c>
      <c r="BH280" s="152"/>
      <c r="BI280" s="152">
        <v>1</v>
      </c>
      <c r="BJ280" s="152">
        <v>6</v>
      </c>
      <c r="BK280" s="152"/>
      <c r="BL280" s="152"/>
      <c r="BM280" s="152"/>
      <c r="BN280" s="152">
        <v>0</v>
      </c>
      <c r="BO280" s="152">
        <v>0</v>
      </c>
      <c r="BP280" s="152">
        <v>1457</v>
      </c>
    </row>
    <row r="281" spans="1:68" x14ac:dyDescent="0.35">
      <c r="A281" s="146" t="s">
        <v>815</v>
      </c>
      <c r="B281" s="146" t="s">
        <v>816</v>
      </c>
      <c r="C281" s="152">
        <v>24</v>
      </c>
      <c r="D281" s="152"/>
      <c r="E281" s="152"/>
      <c r="F281" s="152"/>
      <c r="G281" s="152">
        <v>24</v>
      </c>
      <c r="H281" s="152">
        <v>5</v>
      </c>
      <c r="I281" s="152"/>
      <c r="J281" s="152"/>
      <c r="K281" s="152"/>
      <c r="L281" s="152">
        <v>5</v>
      </c>
      <c r="M281" s="152">
        <v>29</v>
      </c>
      <c r="N281" s="152">
        <v>1</v>
      </c>
      <c r="O281" s="152"/>
      <c r="P281" s="152"/>
      <c r="Q281" s="152">
        <v>1</v>
      </c>
      <c r="R281" s="152"/>
      <c r="S281" s="152"/>
      <c r="T281" s="152"/>
      <c r="U281" s="152"/>
      <c r="V281" s="152">
        <v>0</v>
      </c>
      <c r="W281" s="152">
        <v>1</v>
      </c>
      <c r="X281" s="152">
        <v>1</v>
      </c>
      <c r="Y281" s="152"/>
      <c r="Z281" s="152"/>
      <c r="AA281" s="152">
        <v>1</v>
      </c>
      <c r="AB281" s="152"/>
      <c r="AC281" s="152"/>
      <c r="AD281" s="152"/>
      <c r="AE281" s="152"/>
      <c r="AF281" s="152">
        <v>0</v>
      </c>
      <c r="AG281" s="152">
        <v>1</v>
      </c>
      <c r="AH281" s="152"/>
      <c r="AI281" s="152"/>
      <c r="AJ281" s="152"/>
      <c r="AK281" s="152">
        <v>0</v>
      </c>
      <c r="AL281" s="152"/>
      <c r="AM281" s="152"/>
      <c r="AN281" s="152"/>
      <c r="AO281" s="152"/>
      <c r="AP281" s="152">
        <v>0</v>
      </c>
      <c r="AQ281" s="152">
        <v>0</v>
      </c>
      <c r="AR281" s="152">
        <v>2</v>
      </c>
      <c r="AS281" s="152"/>
      <c r="AT281" s="152"/>
      <c r="AU281" s="152">
        <v>2</v>
      </c>
      <c r="AV281" s="152"/>
      <c r="AW281" s="152"/>
      <c r="AX281" s="152"/>
      <c r="AY281" s="152"/>
      <c r="AZ281" s="152">
        <v>0</v>
      </c>
      <c r="BA281" s="152">
        <v>2</v>
      </c>
      <c r="BB281" s="152"/>
      <c r="BC281" s="152"/>
      <c r="BD281" s="152">
        <v>0</v>
      </c>
      <c r="BE281" s="152"/>
      <c r="BF281" s="152"/>
      <c r="BG281" s="152"/>
      <c r="BH281" s="152"/>
      <c r="BI281" s="152">
        <v>0</v>
      </c>
      <c r="BJ281" s="152">
        <v>0</v>
      </c>
      <c r="BK281" s="152"/>
      <c r="BL281" s="152"/>
      <c r="BM281" s="152"/>
      <c r="BN281" s="152">
        <v>0</v>
      </c>
      <c r="BO281" s="152">
        <v>0</v>
      </c>
      <c r="BP281" s="152">
        <v>33</v>
      </c>
    </row>
    <row r="282" spans="1:68" x14ac:dyDescent="0.35">
      <c r="A282" s="146" t="s">
        <v>817</v>
      </c>
      <c r="B282" s="146" t="s">
        <v>1237</v>
      </c>
      <c r="C282" s="152">
        <v>574</v>
      </c>
      <c r="D282" s="152">
        <v>4</v>
      </c>
      <c r="E282" s="152"/>
      <c r="F282" s="152"/>
      <c r="G282" s="152">
        <v>578</v>
      </c>
      <c r="H282" s="152">
        <v>225</v>
      </c>
      <c r="I282" s="152">
        <v>32</v>
      </c>
      <c r="J282" s="152">
        <v>6</v>
      </c>
      <c r="K282" s="152">
        <v>1</v>
      </c>
      <c r="L282" s="152">
        <v>264</v>
      </c>
      <c r="M282" s="152">
        <v>842</v>
      </c>
      <c r="N282" s="152">
        <v>17</v>
      </c>
      <c r="O282" s="152"/>
      <c r="P282" s="152"/>
      <c r="Q282" s="152">
        <v>17</v>
      </c>
      <c r="R282" s="152">
        <v>1</v>
      </c>
      <c r="S282" s="152"/>
      <c r="T282" s="152"/>
      <c r="U282" s="152"/>
      <c r="V282" s="152">
        <v>1</v>
      </c>
      <c r="W282" s="152">
        <v>18</v>
      </c>
      <c r="X282" s="152">
        <v>16</v>
      </c>
      <c r="Y282" s="152"/>
      <c r="Z282" s="152"/>
      <c r="AA282" s="152">
        <v>16</v>
      </c>
      <c r="AB282" s="152">
        <v>1</v>
      </c>
      <c r="AC282" s="152"/>
      <c r="AD282" s="152"/>
      <c r="AE282" s="152"/>
      <c r="AF282" s="152">
        <v>1</v>
      </c>
      <c r="AG282" s="152">
        <v>17</v>
      </c>
      <c r="AH282" s="152">
        <v>29</v>
      </c>
      <c r="AI282" s="152"/>
      <c r="AJ282" s="152"/>
      <c r="AK282" s="152">
        <v>29</v>
      </c>
      <c r="AL282" s="152">
        <v>2</v>
      </c>
      <c r="AM282" s="152"/>
      <c r="AN282" s="152"/>
      <c r="AO282" s="152"/>
      <c r="AP282" s="152">
        <v>2</v>
      </c>
      <c r="AQ282" s="152">
        <v>31</v>
      </c>
      <c r="AR282" s="152">
        <v>126</v>
      </c>
      <c r="AS282" s="152">
        <v>1</v>
      </c>
      <c r="AT282" s="152"/>
      <c r="AU282" s="152">
        <v>127</v>
      </c>
      <c r="AV282" s="152">
        <v>6</v>
      </c>
      <c r="AW282" s="152">
        <v>1</v>
      </c>
      <c r="AX282" s="152"/>
      <c r="AY282" s="152"/>
      <c r="AZ282" s="152">
        <v>7</v>
      </c>
      <c r="BA282" s="152">
        <v>134</v>
      </c>
      <c r="BB282" s="152">
        <v>9</v>
      </c>
      <c r="BC282" s="152">
        <v>1</v>
      </c>
      <c r="BD282" s="152">
        <v>10</v>
      </c>
      <c r="BE282" s="152">
        <v>1</v>
      </c>
      <c r="BF282" s="152"/>
      <c r="BG282" s="152"/>
      <c r="BH282" s="152"/>
      <c r="BI282" s="152">
        <v>1</v>
      </c>
      <c r="BJ282" s="152">
        <v>11</v>
      </c>
      <c r="BK282" s="152"/>
      <c r="BL282" s="152"/>
      <c r="BM282" s="152"/>
      <c r="BN282" s="152">
        <v>0</v>
      </c>
      <c r="BO282" s="152">
        <v>0</v>
      </c>
      <c r="BP282" s="152">
        <v>1053</v>
      </c>
    </row>
    <row r="283" spans="1:68" x14ac:dyDescent="0.35">
      <c r="A283" s="146" t="s">
        <v>818</v>
      </c>
      <c r="B283" s="146" t="s">
        <v>819</v>
      </c>
      <c r="C283" s="152"/>
      <c r="D283" s="152"/>
      <c r="E283" s="152"/>
      <c r="F283" s="152"/>
      <c r="G283" s="152">
        <v>0</v>
      </c>
      <c r="H283" s="152"/>
      <c r="I283" s="152">
        <v>1</v>
      </c>
      <c r="J283" s="152"/>
      <c r="K283" s="152"/>
      <c r="L283" s="152">
        <v>1</v>
      </c>
      <c r="M283" s="152">
        <v>1</v>
      </c>
      <c r="N283" s="152"/>
      <c r="O283" s="152"/>
      <c r="P283" s="152"/>
      <c r="Q283" s="152">
        <v>0</v>
      </c>
      <c r="R283" s="152"/>
      <c r="S283" s="152"/>
      <c r="T283" s="152"/>
      <c r="U283" s="152"/>
      <c r="V283" s="152">
        <v>0</v>
      </c>
      <c r="W283" s="152">
        <v>0</v>
      </c>
      <c r="X283" s="152"/>
      <c r="Y283" s="152"/>
      <c r="Z283" s="152"/>
      <c r="AA283" s="152">
        <v>0</v>
      </c>
      <c r="AB283" s="152"/>
      <c r="AC283" s="152"/>
      <c r="AD283" s="152"/>
      <c r="AE283" s="152"/>
      <c r="AF283" s="152">
        <v>0</v>
      </c>
      <c r="AG283" s="152">
        <v>0</v>
      </c>
      <c r="AH283" s="152"/>
      <c r="AI283" s="152"/>
      <c r="AJ283" s="152"/>
      <c r="AK283" s="152">
        <v>0</v>
      </c>
      <c r="AL283" s="152"/>
      <c r="AM283" s="152"/>
      <c r="AN283" s="152"/>
      <c r="AO283" s="152"/>
      <c r="AP283" s="152">
        <v>0</v>
      </c>
      <c r="AQ283" s="152">
        <v>0</v>
      </c>
      <c r="AR283" s="152"/>
      <c r="AS283" s="152"/>
      <c r="AT283" s="152"/>
      <c r="AU283" s="152">
        <v>0</v>
      </c>
      <c r="AV283" s="152"/>
      <c r="AW283" s="152"/>
      <c r="AX283" s="152"/>
      <c r="AY283" s="152">
        <v>1</v>
      </c>
      <c r="AZ283" s="152">
        <v>1</v>
      </c>
      <c r="BA283" s="152">
        <v>1</v>
      </c>
      <c r="BB283" s="152"/>
      <c r="BC283" s="152"/>
      <c r="BD283" s="152">
        <v>0</v>
      </c>
      <c r="BE283" s="152"/>
      <c r="BF283" s="152"/>
      <c r="BG283" s="152"/>
      <c r="BH283" s="152"/>
      <c r="BI283" s="152">
        <v>0</v>
      </c>
      <c r="BJ283" s="152">
        <v>0</v>
      </c>
      <c r="BK283" s="152"/>
      <c r="BL283" s="152"/>
      <c r="BM283" s="152"/>
      <c r="BN283" s="152">
        <v>0</v>
      </c>
      <c r="BO283" s="152">
        <v>0</v>
      </c>
      <c r="BP283" s="152">
        <v>2</v>
      </c>
    </row>
    <row r="284" spans="1:68" x14ac:dyDescent="0.35">
      <c r="A284" s="146" t="s">
        <v>820</v>
      </c>
      <c r="B284" s="146" t="s">
        <v>1238</v>
      </c>
      <c r="C284" s="152"/>
      <c r="D284" s="152"/>
      <c r="E284" s="152"/>
      <c r="F284" s="152"/>
      <c r="G284" s="152">
        <v>0</v>
      </c>
      <c r="H284" s="152">
        <v>2</v>
      </c>
      <c r="I284" s="152">
        <v>1</v>
      </c>
      <c r="J284" s="152">
        <v>1</v>
      </c>
      <c r="K284" s="152"/>
      <c r="L284" s="152">
        <v>4</v>
      </c>
      <c r="M284" s="152">
        <v>4</v>
      </c>
      <c r="N284" s="152"/>
      <c r="O284" s="152"/>
      <c r="P284" s="152"/>
      <c r="Q284" s="152">
        <v>0</v>
      </c>
      <c r="R284" s="152"/>
      <c r="S284" s="152"/>
      <c r="T284" s="152"/>
      <c r="U284" s="152"/>
      <c r="V284" s="152">
        <v>0</v>
      </c>
      <c r="W284" s="152">
        <v>0</v>
      </c>
      <c r="X284" s="152"/>
      <c r="Y284" s="152"/>
      <c r="Z284" s="152"/>
      <c r="AA284" s="152">
        <v>0</v>
      </c>
      <c r="AB284" s="152"/>
      <c r="AC284" s="152"/>
      <c r="AD284" s="152"/>
      <c r="AE284" s="152"/>
      <c r="AF284" s="152">
        <v>0</v>
      </c>
      <c r="AG284" s="152">
        <v>0</v>
      </c>
      <c r="AH284" s="152"/>
      <c r="AI284" s="152"/>
      <c r="AJ284" s="152"/>
      <c r="AK284" s="152">
        <v>0</v>
      </c>
      <c r="AL284" s="152"/>
      <c r="AM284" s="152"/>
      <c r="AN284" s="152"/>
      <c r="AO284" s="152"/>
      <c r="AP284" s="152">
        <v>0</v>
      </c>
      <c r="AQ284" s="152">
        <v>0</v>
      </c>
      <c r="AR284" s="152"/>
      <c r="AS284" s="152"/>
      <c r="AT284" s="152"/>
      <c r="AU284" s="152">
        <v>0</v>
      </c>
      <c r="AV284" s="152"/>
      <c r="AW284" s="152"/>
      <c r="AX284" s="152"/>
      <c r="AY284" s="152"/>
      <c r="AZ284" s="152">
        <v>0</v>
      </c>
      <c r="BA284" s="152">
        <v>0</v>
      </c>
      <c r="BB284" s="152"/>
      <c r="BC284" s="152"/>
      <c r="BD284" s="152">
        <v>0</v>
      </c>
      <c r="BE284" s="152"/>
      <c r="BF284" s="152"/>
      <c r="BG284" s="152"/>
      <c r="BH284" s="152"/>
      <c r="BI284" s="152">
        <v>0</v>
      </c>
      <c r="BJ284" s="152">
        <v>0</v>
      </c>
      <c r="BK284" s="152"/>
      <c r="BL284" s="152"/>
      <c r="BM284" s="152"/>
      <c r="BN284" s="152">
        <v>0</v>
      </c>
      <c r="BO284" s="152">
        <v>0</v>
      </c>
      <c r="BP284" s="152">
        <v>4</v>
      </c>
    </row>
    <row r="285" spans="1:68" x14ac:dyDescent="0.35">
      <c r="A285" s="146" t="s">
        <v>821</v>
      </c>
      <c r="B285" s="146" t="s">
        <v>822</v>
      </c>
      <c r="C285" s="152">
        <v>114</v>
      </c>
      <c r="D285" s="152">
        <v>3</v>
      </c>
      <c r="E285" s="152">
        <v>1</v>
      </c>
      <c r="F285" s="152"/>
      <c r="G285" s="152">
        <v>118</v>
      </c>
      <c r="H285" s="152">
        <v>186</v>
      </c>
      <c r="I285" s="152">
        <v>98</v>
      </c>
      <c r="J285" s="152">
        <v>20</v>
      </c>
      <c r="K285" s="152">
        <v>2</v>
      </c>
      <c r="L285" s="152">
        <v>306</v>
      </c>
      <c r="M285" s="152">
        <v>424</v>
      </c>
      <c r="N285" s="152">
        <v>13</v>
      </c>
      <c r="O285" s="152"/>
      <c r="P285" s="152"/>
      <c r="Q285" s="152">
        <v>13</v>
      </c>
      <c r="R285" s="152">
        <v>13</v>
      </c>
      <c r="S285" s="152">
        <v>4</v>
      </c>
      <c r="T285" s="152"/>
      <c r="U285" s="152"/>
      <c r="V285" s="152">
        <v>17</v>
      </c>
      <c r="W285" s="152">
        <v>30</v>
      </c>
      <c r="X285" s="152">
        <v>2</v>
      </c>
      <c r="Y285" s="152">
        <v>1</v>
      </c>
      <c r="Z285" s="152"/>
      <c r="AA285" s="152">
        <v>3</v>
      </c>
      <c r="AB285" s="152">
        <v>10</v>
      </c>
      <c r="AC285" s="152">
        <v>2</v>
      </c>
      <c r="AD285" s="152"/>
      <c r="AE285" s="152"/>
      <c r="AF285" s="152">
        <v>12</v>
      </c>
      <c r="AG285" s="152">
        <v>15</v>
      </c>
      <c r="AH285" s="152">
        <v>4</v>
      </c>
      <c r="AI285" s="152"/>
      <c r="AJ285" s="152"/>
      <c r="AK285" s="152">
        <v>4</v>
      </c>
      <c r="AL285" s="152">
        <v>4</v>
      </c>
      <c r="AM285" s="152"/>
      <c r="AN285" s="152"/>
      <c r="AO285" s="152"/>
      <c r="AP285" s="152">
        <v>4</v>
      </c>
      <c r="AQ285" s="152">
        <v>8</v>
      </c>
      <c r="AR285" s="152">
        <v>17</v>
      </c>
      <c r="AS285" s="152"/>
      <c r="AT285" s="152"/>
      <c r="AU285" s="152">
        <v>17</v>
      </c>
      <c r="AV285" s="152">
        <v>19</v>
      </c>
      <c r="AW285" s="152">
        <v>4</v>
      </c>
      <c r="AX285" s="152">
        <v>3</v>
      </c>
      <c r="AY285" s="152"/>
      <c r="AZ285" s="152">
        <v>26</v>
      </c>
      <c r="BA285" s="152">
        <v>43</v>
      </c>
      <c r="BB285" s="152">
        <v>5</v>
      </c>
      <c r="BC285" s="152"/>
      <c r="BD285" s="152">
        <v>5</v>
      </c>
      <c r="BE285" s="152">
        <v>8</v>
      </c>
      <c r="BF285" s="152">
        <v>1</v>
      </c>
      <c r="BG285" s="152"/>
      <c r="BH285" s="152"/>
      <c r="BI285" s="152">
        <v>9</v>
      </c>
      <c r="BJ285" s="152">
        <v>14</v>
      </c>
      <c r="BK285" s="152"/>
      <c r="BL285" s="152"/>
      <c r="BM285" s="152"/>
      <c r="BN285" s="152">
        <v>0</v>
      </c>
      <c r="BO285" s="152">
        <v>0</v>
      </c>
      <c r="BP285" s="152">
        <v>534</v>
      </c>
    </row>
    <row r="286" spans="1:68" x14ac:dyDescent="0.35">
      <c r="A286" s="146" t="s">
        <v>823</v>
      </c>
      <c r="B286" s="146" t="s">
        <v>824</v>
      </c>
      <c r="C286" s="152">
        <v>19</v>
      </c>
      <c r="D286" s="152">
        <v>1</v>
      </c>
      <c r="E286" s="152"/>
      <c r="F286" s="152"/>
      <c r="G286" s="152">
        <v>20</v>
      </c>
      <c r="H286" s="152">
        <v>42</v>
      </c>
      <c r="I286" s="152">
        <v>7</v>
      </c>
      <c r="J286" s="152"/>
      <c r="K286" s="152"/>
      <c r="L286" s="152">
        <v>49</v>
      </c>
      <c r="M286" s="152">
        <v>69</v>
      </c>
      <c r="N286" s="152">
        <v>2</v>
      </c>
      <c r="O286" s="152"/>
      <c r="P286" s="152"/>
      <c r="Q286" s="152">
        <v>2</v>
      </c>
      <c r="R286" s="152">
        <v>7</v>
      </c>
      <c r="S286" s="152"/>
      <c r="T286" s="152"/>
      <c r="U286" s="152"/>
      <c r="V286" s="152">
        <v>7</v>
      </c>
      <c r="W286" s="152">
        <v>9</v>
      </c>
      <c r="X286" s="152"/>
      <c r="Y286" s="152"/>
      <c r="Z286" s="152"/>
      <c r="AA286" s="152">
        <v>0</v>
      </c>
      <c r="AB286" s="152">
        <v>3</v>
      </c>
      <c r="AC286" s="152"/>
      <c r="AD286" s="152"/>
      <c r="AE286" s="152"/>
      <c r="AF286" s="152">
        <v>3</v>
      </c>
      <c r="AG286" s="152">
        <v>3</v>
      </c>
      <c r="AH286" s="152">
        <v>2</v>
      </c>
      <c r="AI286" s="152"/>
      <c r="AJ286" s="152"/>
      <c r="AK286" s="152">
        <v>2</v>
      </c>
      <c r="AL286" s="152">
        <v>1</v>
      </c>
      <c r="AM286" s="152">
        <v>1</v>
      </c>
      <c r="AN286" s="152"/>
      <c r="AO286" s="152"/>
      <c r="AP286" s="152">
        <v>2</v>
      </c>
      <c r="AQ286" s="152">
        <v>4</v>
      </c>
      <c r="AR286" s="152">
        <v>9</v>
      </c>
      <c r="AS286" s="152">
        <v>1</v>
      </c>
      <c r="AT286" s="152"/>
      <c r="AU286" s="152">
        <v>10</v>
      </c>
      <c r="AV286" s="152">
        <v>6</v>
      </c>
      <c r="AW286" s="152"/>
      <c r="AX286" s="152"/>
      <c r="AY286" s="152"/>
      <c r="AZ286" s="152">
        <v>6</v>
      </c>
      <c r="BA286" s="152">
        <v>16</v>
      </c>
      <c r="BB286" s="152">
        <v>2</v>
      </c>
      <c r="BC286" s="152"/>
      <c r="BD286" s="152">
        <v>2</v>
      </c>
      <c r="BE286" s="152">
        <v>3</v>
      </c>
      <c r="BF286" s="152"/>
      <c r="BG286" s="152"/>
      <c r="BH286" s="152"/>
      <c r="BI286" s="152">
        <v>3</v>
      </c>
      <c r="BJ286" s="152">
        <v>5</v>
      </c>
      <c r="BK286" s="152"/>
      <c r="BL286" s="152"/>
      <c r="BM286" s="152"/>
      <c r="BN286" s="152">
        <v>0</v>
      </c>
      <c r="BO286" s="152">
        <v>0</v>
      </c>
      <c r="BP286" s="152">
        <v>106</v>
      </c>
    </row>
    <row r="287" spans="1:68" x14ac:dyDescent="0.35">
      <c r="A287" s="146" t="s">
        <v>825</v>
      </c>
      <c r="B287" s="146" t="s">
        <v>826</v>
      </c>
      <c r="C287" s="152">
        <v>288</v>
      </c>
      <c r="D287" s="152">
        <v>12</v>
      </c>
      <c r="E287" s="152">
        <v>3</v>
      </c>
      <c r="F287" s="152"/>
      <c r="G287" s="152">
        <v>303</v>
      </c>
      <c r="H287" s="152">
        <v>446</v>
      </c>
      <c r="I287" s="152">
        <v>183</v>
      </c>
      <c r="J287" s="152">
        <v>34</v>
      </c>
      <c r="K287" s="152">
        <v>7</v>
      </c>
      <c r="L287" s="152">
        <v>670</v>
      </c>
      <c r="M287" s="152">
        <v>973</v>
      </c>
      <c r="N287" s="152">
        <v>24</v>
      </c>
      <c r="O287" s="152">
        <v>2</v>
      </c>
      <c r="P287" s="152"/>
      <c r="Q287" s="152">
        <v>26</v>
      </c>
      <c r="R287" s="152">
        <v>20</v>
      </c>
      <c r="S287" s="152">
        <v>3</v>
      </c>
      <c r="T287" s="152">
        <v>2</v>
      </c>
      <c r="U287" s="152"/>
      <c r="V287" s="152">
        <v>25</v>
      </c>
      <c r="W287" s="152">
        <v>51</v>
      </c>
      <c r="X287" s="152">
        <v>18</v>
      </c>
      <c r="Y287" s="152">
        <v>2</v>
      </c>
      <c r="Z287" s="152">
        <v>1</v>
      </c>
      <c r="AA287" s="152">
        <v>21</v>
      </c>
      <c r="AB287" s="152">
        <v>32</v>
      </c>
      <c r="AC287" s="152">
        <v>13</v>
      </c>
      <c r="AD287" s="152">
        <v>1</v>
      </c>
      <c r="AE287" s="152"/>
      <c r="AF287" s="152">
        <v>46</v>
      </c>
      <c r="AG287" s="152">
        <v>67</v>
      </c>
      <c r="AH287" s="152">
        <v>10</v>
      </c>
      <c r="AI287" s="152"/>
      <c r="AJ287" s="152"/>
      <c r="AK287" s="152">
        <v>10</v>
      </c>
      <c r="AL287" s="152">
        <v>6</v>
      </c>
      <c r="AM287" s="152"/>
      <c r="AN287" s="152"/>
      <c r="AO287" s="152"/>
      <c r="AP287" s="152">
        <v>6</v>
      </c>
      <c r="AQ287" s="152">
        <v>16</v>
      </c>
      <c r="AR287" s="152">
        <v>59</v>
      </c>
      <c r="AS287" s="152">
        <v>3</v>
      </c>
      <c r="AT287" s="152">
        <v>2</v>
      </c>
      <c r="AU287" s="152">
        <v>64</v>
      </c>
      <c r="AV287" s="152">
        <v>85</v>
      </c>
      <c r="AW287" s="152">
        <v>29</v>
      </c>
      <c r="AX287" s="152">
        <v>5</v>
      </c>
      <c r="AY287" s="152">
        <v>1</v>
      </c>
      <c r="AZ287" s="152">
        <v>120</v>
      </c>
      <c r="BA287" s="152">
        <v>184</v>
      </c>
      <c r="BB287" s="152">
        <v>14</v>
      </c>
      <c r="BC287" s="152"/>
      <c r="BD287" s="152">
        <v>14</v>
      </c>
      <c r="BE287" s="152">
        <v>7</v>
      </c>
      <c r="BF287" s="152">
        <v>2</v>
      </c>
      <c r="BG287" s="152"/>
      <c r="BH287" s="152"/>
      <c r="BI287" s="152">
        <v>9</v>
      </c>
      <c r="BJ287" s="152">
        <v>23</v>
      </c>
      <c r="BK287" s="152"/>
      <c r="BL287" s="152"/>
      <c r="BM287" s="152"/>
      <c r="BN287" s="152">
        <v>0</v>
      </c>
      <c r="BO287" s="152">
        <v>0</v>
      </c>
      <c r="BP287" s="152">
        <v>1314</v>
      </c>
    </row>
    <row r="288" spans="1:68" x14ac:dyDescent="0.35">
      <c r="A288" s="146" t="s">
        <v>827</v>
      </c>
      <c r="B288" s="146" t="s">
        <v>828</v>
      </c>
      <c r="C288" s="152"/>
      <c r="D288" s="152"/>
      <c r="E288" s="152"/>
      <c r="F288" s="152"/>
      <c r="G288" s="152">
        <v>0</v>
      </c>
      <c r="H288" s="152">
        <v>6</v>
      </c>
      <c r="I288" s="152">
        <v>1</v>
      </c>
      <c r="J288" s="152"/>
      <c r="K288" s="152">
        <v>1</v>
      </c>
      <c r="L288" s="152">
        <v>8</v>
      </c>
      <c r="M288" s="152">
        <v>8</v>
      </c>
      <c r="N288" s="152"/>
      <c r="O288" s="152"/>
      <c r="P288" s="152"/>
      <c r="Q288" s="152">
        <v>0</v>
      </c>
      <c r="R288" s="152"/>
      <c r="S288" s="152"/>
      <c r="T288" s="152"/>
      <c r="U288" s="152"/>
      <c r="V288" s="152">
        <v>0</v>
      </c>
      <c r="W288" s="152">
        <v>0</v>
      </c>
      <c r="X288" s="152"/>
      <c r="Y288" s="152"/>
      <c r="Z288" s="152"/>
      <c r="AA288" s="152">
        <v>0</v>
      </c>
      <c r="AB288" s="152"/>
      <c r="AC288" s="152"/>
      <c r="AD288" s="152"/>
      <c r="AE288" s="152"/>
      <c r="AF288" s="152">
        <v>0</v>
      </c>
      <c r="AG288" s="152">
        <v>0</v>
      </c>
      <c r="AH288" s="152"/>
      <c r="AI288" s="152"/>
      <c r="AJ288" s="152"/>
      <c r="AK288" s="152">
        <v>0</v>
      </c>
      <c r="AL288" s="152"/>
      <c r="AM288" s="152"/>
      <c r="AN288" s="152"/>
      <c r="AO288" s="152"/>
      <c r="AP288" s="152">
        <v>0</v>
      </c>
      <c r="AQ288" s="152">
        <v>0</v>
      </c>
      <c r="AR288" s="152"/>
      <c r="AS288" s="152"/>
      <c r="AT288" s="152"/>
      <c r="AU288" s="152">
        <v>0</v>
      </c>
      <c r="AV288" s="152">
        <v>1</v>
      </c>
      <c r="AW288" s="152"/>
      <c r="AX288" s="152"/>
      <c r="AY288" s="152"/>
      <c r="AZ288" s="152">
        <v>1</v>
      </c>
      <c r="BA288" s="152">
        <v>1</v>
      </c>
      <c r="BB288" s="152"/>
      <c r="BC288" s="152"/>
      <c r="BD288" s="152">
        <v>0</v>
      </c>
      <c r="BE288" s="152"/>
      <c r="BF288" s="152"/>
      <c r="BG288" s="152"/>
      <c r="BH288" s="152"/>
      <c r="BI288" s="152">
        <v>0</v>
      </c>
      <c r="BJ288" s="152">
        <v>0</v>
      </c>
      <c r="BK288" s="152"/>
      <c r="BL288" s="152"/>
      <c r="BM288" s="152"/>
      <c r="BN288" s="152">
        <v>0</v>
      </c>
      <c r="BO288" s="152">
        <v>0</v>
      </c>
      <c r="BP288" s="152">
        <v>9</v>
      </c>
    </row>
    <row r="289" spans="1:68" x14ac:dyDescent="0.35">
      <c r="A289" s="146" t="s">
        <v>829</v>
      </c>
      <c r="B289" s="146" t="s">
        <v>1239</v>
      </c>
      <c r="C289" s="152">
        <v>2</v>
      </c>
      <c r="D289" s="152"/>
      <c r="E289" s="152"/>
      <c r="F289" s="152"/>
      <c r="G289" s="152">
        <v>2</v>
      </c>
      <c r="H289" s="152">
        <v>5</v>
      </c>
      <c r="I289" s="152">
        <v>3</v>
      </c>
      <c r="J289" s="152"/>
      <c r="K289" s="152"/>
      <c r="L289" s="152">
        <v>8</v>
      </c>
      <c r="M289" s="152">
        <v>10</v>
      </c>
      <c r="N289" s="152"/>
      <c r="O289" s="152"/>
      <c r="P289" s="152"/>
      <c r="Q289" s="152">
        <v>0</v>
      </c>
      <c r="R289" s="152"/>
      <c r="S289" s="152"/>
      <c r="T289" s="152"/>
      <c r="U289" s="152"/>
      <c r="V289" s="152">
        <v>0</v>
      </c>
      <c r="W289" s="152">
        <v>0</v>
      </c>
      <c r="X289" s="152">
        <v>1</v>
      </c>
      <c r="Y289" s="152"/>
      <c r="Z289" s="152"/>
      <c r="AA289" s="152">
        <v>1</v>
      </c>
      <c r="AB289" s="152"/>
      <c r="AC289" s="152"/>
      <c r="AD289" s="152"/>
      <c r="AE289" s="152"/>
      <c r="AF289" s="152">
        <v>0</v>
      </c>
      <c r="AG289" s="152">
        <v>1</v>
      </c>
      <c r="AH289" s="152"/>
      <c r="AI289" s="152"/>
      <c r="AJ289" s="152"/>
      <c r="AK289" s="152">
        <v>0</v>
      </c>
      <c r="AL289" s="152"/>
      <c r="AM289" s="152"/>
      <c r="AN289" s="152"/>
      <c r="AO289" s="152"/>
      <c r="AP289" s="152">
        <v>0</v>
      </c>
      <c r="AQ289" s="152">
        <v>0</v>
      </c>
      <c r="AR289" s="152"/>
      <c r="AS289" s="152"/>
      <c r="AT289" s="152"/>
      <c r="AU289" s="152">
        <v>0</v>
      </c>
      <c r="AV289" s="152"/>
      <c r="AW289" s="152"/>
      <c r="AX289" s="152"/>
      <c r="AY289" s="152"/>
      <c r="AZ289" s="152">
        <v>0</v>
      </c>
      <c r="BA289" s="152">
        <v>0</v>
      </c>
      <c r="BB289" s="152"/>
      <c r="BC289" s="152"/>
      <c r="BD289" s="152">
        <v>0</v>
      </c>
      <c r="BE289" s="152"/>
      <c r="BF289" s="152"/>
      <c r="BG289" s="152"/>
      <c r="BH289" s="152"/>
      <c r="BI289" s="152">
        <v>0</v>
      </c>
      <c r="BJ289" s="152">
        <v>0</v>
      </c>
      <c r="BK289" s="152"/>
      <c r="BL289" s="152"/>
      <c r="BM289" s="152"/>
      <c r="BN289" s="152">
        <v>0</v>
      </c>
      <c r="BO289" s="152">
        <v>0</v>
      </c>
      <c r="BP289" s="152">
        <v>11</v>
      </c>
    </row>
    <row r="290" spans="1:68" x14ac:dyDescent="0.35">
      <c r="A290" s="146" t="s">
        <v>830</v>
      </c>
      <c r="B290" s="146" t="s">
        <v>1240</v>
      </c>
      <c r="C290" s="152"/>
      <c r="D290" s="152"/>
      <c r="E290" s="152"/>
      <c r="F290" s="152"/>
      <c r="G290" s="152">
        <v>0</v>
      </c>
      <c r="H290" s="152">
        <v>4</v>
      </c>
      <c r="I290" s="152">
        <v>1</v>
      </c>
      <c r="J290" s="152"/>
      <c r="K290" s="152"/>
      <c r="L290" s="152">
        <v>5</v>
      </c>
      <c r="M290" s="152">
        <v>5</v>
      </c>
      <c r="N290" s="152"/>
      <c r="O290" s="152"/>
      <c r="P290" s="152"/>
      <c r="Q290" s="152">
        <v>0</v>
      </c>
      <c r="R290" s="152"/>
      <c r="S290" s="152"/>
      <c r="T290" s="152"/>
      <c r="U290" s="152"/>
      <c r="V290" s="152">
        <v>0</v>
      </c>
      <c r="W290" s="152">
        <v>0</v>
      </c>
      <c r="X290" s="152"/>
      <c r="Y290" s="152"/>
      <c r="Z290" s="152"/>
      <c r="AA290" s="152">
        <v>0</v>
      </c>
      <c r="AB290" s="152"/>
      <c r="AC290" s="152"/>
      <c r="AD290" s="152"/>
      <c r="AE290" s="152"/>
      <c r="AF290" s="152">
        <v>0</v>
      </c>
      <c r="AG290" s="152">
        <v>0</v>
      </c>
      <c r="AH290" s="152"/>
      <c r="AI290" s="152"/>
      <c r="AJ290" s="152"/>
      <c r="AK290" s="152">
        <v>0</v>
      </c>
      <c r="AL290" s="152"/>
      <c r="AM290" s="152"/>
      <c r="AN290" s="152"/>
      <c r="AO290" s="152"/>
      <c r="AP290" s="152">
        <v>0</v>
      </c>
      <c r="AQ290" s="152">
        <v>0</v>
      </c>
      <c r="AR290" s="152"/>
      <c r="AS290" s="152"/>
      <c r="AT290" s="152"/>
      <c r="AU290" s="152">
        <v>0</v>
      </c>
      <c r="AV290" s="152"/>
      <c r="AW290" s="152"/>
      <c r="AX290" s="152"/>
      <c r="AY290" s="152"/>
      <c r="AZ290" s="152">
        <v>0</v>
      </c>
      <c r="BA290" s="152">
        <v>0</v>
      </c>
      <c r="BB290" s="152"/>
      <c r="BC290" s="152"/>
      <c r="BD290" s="152">
        <v>0</v>
      </c>
      <c r="BE290" s="152"/>
      <c r="BF290" s="152"/>
      <c r="BG290" s="152"/>
      <c r="BH290" s="152"/>
      <c r="BI290" s="152">
        <v>0</v>
      </c>
      <c r="BJ290" s="152">
        <v>0</v>
      </c>
      <c r="BK290" s="152"/>
      <c r="BL290" s="152"/>
      <c r="BM290" s="152"/>
      <c r="BN290" s="152">
        <v>0</v>
      </c>
      <c r="BO290" s="152">
        <v>0</v>
      </c>
      <c r="BP290" s="152">
        <v>5</v>
      </c>
    </row>
    <row r="291" spans="1:68" x14ac:dyDescent="0.35">
      <c r="A291" s="146" t="s">
        <v>831</v>
      </c>
      <c r="B291" s="146" t="s">
        <v>832</v>
      </c>
      <c r="C291" s="152"/>
      <c r="D291" s="152"/>
      <c r="E291" s="152"/>
      <c r="F291" s="152"/>
      <c r="G291" s="152">
        <v>0</v>
      </c>
      <c r="H291" s="152">
        <v>1</v>
      </c>
      <c r="I291" s="152"/>
      <c r="J291" s="152"/>
      <c r="K291" s="152"/>
      <c r="L291" s="152">
        <v>1</v>
      </c>
      <c r="M291" s="152">
        <v>1</v>
      </c>
      <c r="N291" s="152"/>
      <c r="O291" s="152"/>
      <c r="P291" s="152"/>
      <c r="Q291" s="152">
        <v>0</v>
      </c>
      <c r="R291" s="152"/>
      <c r="S291" s="152"/>
      <c r="T291" s="152"/>
      <c r="U291" s="152"/>
      <c r="V291" s="152">
        <v>0</v>
      </c>
      <c r="W291" s="152">
        <v>0</v>
      </c>
      <c r="X291" s="152"/>
      <c r="Y291" s="152"/>
      <c r="Z291" s="152"/>
      <c r="AA291" s="152">
        <v>0</v>
      </c>
      <c r="AB291" s="152">
        <v>2</v>
      </c>
      <c r="AC291" s="152"/>
      <c r="AD291" s="152"/>
      <c r="AE291" s="152"/>
      <c r="AF291" s="152">
        <v>2</v>
      </c>
      <c r="AG291" s="152">
        <v>2</v>
      </c>
      <c r="AH291" s="152"/>
      <c r="AI291" s="152"/>
      <c r="AJ291" s="152"/>
      <c r="AK291" s="152">
        <v>0</v>
      </c>
      <c r="AL291" s="152"/>
      <c r="AM291" s="152"/>
      <c r="AN291" s="152"/>
      <c r="AO291" s="152"/>
      <c r="AP291" s="152">
        <v>0</v>
      </c>
      <c r="AQ291" s="152">
        <v>0</v>
      </c>
      <c r="AR291" s="152"/>
      <c r="AS291" s="152"/>
      <c r="AT291" s="152"/>
      <c r="AU291" s="152">
        <v>0</v>
      </c>
      <c r="AV291" s="152"/>
      <c r="AW291" s="152"/>
      <c r="AX291" s="152"/>
      <c r="AY291" s="152"/>
      <c r="AZ291" s="152">
        <v>0</v>
      </c>
      <c r="BA291" s="152">
        <v>0</v>
      </c>
      <c r="BB291" s="152">
        <v>4</v>
      </c>
      <c r="BC291" s="152"/>
      <c r="BD291" s="152">
        <v>4</v>
      </c>
      <c r="BE291" s="152">
        <v>2</v>
      </c>
      <c r="BF291" s="152"/>
      <c r="BG291" s="152"/>
      <c r="BH291" s="152"/>
      <c r="BI291" s="152">
        <v>2</v>
      </c>
      <c r="BJ291" s="152">
        <v>6</v>
      </c>
      <c r="BK291" s="152"/>
      <c r="BL291" s="152"/>
      <c r="BM291" s="152"/>
      <c r="BN291" s="152">
        <v>0</v>
      </c>
      <c r="BO291" s="152">
        <v>0</v>
      </c>
      <c r="BP291" s="152">
        <v>9</v>
      </c>
    </row>
    <row r="292" spans="1:68" x14ac:dyDescent="0.35">
      <c r="A292" s="146" t="s">
        <v>833</v>
      </c>
      <c r="B292" s="146" t="s">
        <v>834</v>
      </c>
      <c r="C292" s="152"/>
      <c r="D292" s="152"/>
      <c r="E292" s="152"/>
      <c r="F292" s="152"/>
      <c r="G292" s="152">
        <v>0</v>
      </c>
      <c r="H292" s="152"/>
      <c r="I292" s="152"/>
      <c r="J292" s="152"/>
      <c r="K292" s="152"/>
      <c r="L292" s="152">
        <v>0</v>
      </c>
      <c r="M292" s="152">
        <v>0</v>
      </c>
      <c r="N292" s="152"/>
      <c r="O292" s="152"/>
      <c r="P292" s="152"/>
      <c r="Q292" s="152">
        <v>0</v>
      </c>
      <c r="R292" s="152"/>
      <c r="S292" s="152"/>
      <c r="T292" s="152"/>
      <c r="U292" s="152"/>
      <c r="V292" s="152">
        <v>0</v>
      </c>
      <c r="W292" s="152">
        <v>0</v>
      </c>
      <c r="X292" s="152"/>
      <c r="Y292" s="152"/>
      <c r="Z292" s="152"/>
      <c r="AA292" s="152">
        <v>0</v>
      </c>
      <c r="AB292" s="152"/>
      <c r="AC292" s="152"/>
      <c r="AD292" s="152"/>
      <c r="AE292" s="152"/>
      <c r="AF292" s="152">
        <v>0</v>
      </c>
      <c r="AG292" s="152">
        <v>0</v>
      </c>
      <c r="AH292" s="152"/>
      <c r="AI292" s="152"/>
      <c r="AJ292" s="152"/>
      <c r="AK292" s="152">
        <v>0</v>
      </c>
      <c r="AL292" s="152">
        <v>1</v>
      </c>
      <c r="AM292" s="152"/>
      <c r="AN292" s="152"/>
      <c r="AO292" s="152"/>
      <c r="AP292" s="152">
        <v>1</v>
      </c>
      <c r="AQ292" s="152">
        <v>1</v>
      </c>
      <c r="AR292" s="152"/>
      <c r="AS292" s="152"/>
      <c r="AT292" s="152"/>
      <c r="AU292" s="152">
        <v>0</v>
      </c>
      <c r="AV292" s="152"/>
      <c r="AW292" s="152"/>
      <c r="AX292" s="152"/>
      <c r="AY292" s="152"/>
      <c r="AZ292" s="152">
        <v>0</v>
      </c>
      <c r="BA292" s="152">
        <v>0</v>
      </c>
      <c r="BB292" s="152"/>
      <c r="BC292" s="152"/>
      <c r="BD292" s="152">
        <v>0</v>
      </c>
      <c r="BE292" s="152"/>
      <c r="BF292" s="152"/>
      <c r="BG292" s="152"/>
      <c r="BH292" s="152"/>
      <c r="BI292" s="152">
        <v>0</v>
      </c>
      <c r="BJ292" s="152">
        <v>0</v>
      </c>
      <c r="BK292" s="152"/>
      <c r="BL292" s="152"/>
      <c r="BM292" s="152"/>
      <c r="BN292" s="152">
        <v>0</v>
      </c>
      <c r="BO292" s="152">
        <v>0</v>
      </c>
      <c r="BP292" s="152">
        <v>1</v>
      </c>
    </row>
    <row r="293" spans="1:68" x14ac:dyDescent="0.35">
      <c r="A293" s="146" t="s">
        <v>835</v>
      </c>
      <c r="B293" s="146" t="s">
        <v>1241</v>
      </c>
      <c r="C293" s="152">
        <v>1</v>
      </c>
      <c r="D293" s="152"/>
      <c r="E293" s="152"/>
      <c r="F293" s="152"/>
      <c r="G293" s="152">
        <v>1</v>
      </c>
      <c r="H293" s="152">
        <v>6</v>
      </c>
      <c r="I293" s="152">
        <v>7</v>
      </c>
      <c r="J293" s="152">
        <v>2</v>
      </c>
      <c r="K293" s="152"/>
      <c r="L293" s="152">
        <v>15</v>
      </c>
      <c r="M293" s="152">
        <v>16</v>
      </c>
      <c r="N293" s="152"/>
      <c r="O293" s="152"/>
      <c r="P293" s="152"/>
      <c r="Q293" s="152">
        <v>0</v>
      </c>
      <c r="R293" s="152"/>
      <c r="S293" s="152"/>
      <c r="T293" s="152"/>
      <c r="U293" s="152"/>
      <c r="V293" s="152">
        <v>0</v>
      </c>
      <c r="W293" s="152">
        <v>0</v>
      </c>
      <c r="X293" s="152"/>
      <c r="Y293" s="152"/>
      <c r="Z293" s="152"/>
      <c r="AA293" s="152">
        <v>0</v>
      </c>
      <c r="AB293" s="152"/>
      <c r="AC293" s="152"/>
      <c r="AD293" s="152"/>
      <c r="AE293" s="152"/>
      <c r="AF293" s="152">
        <v>0</v>
      </c>
      <c r="AG293" s="152">
        <v>0</v>
      </c>
      <c r="AH293" s="152"/>
      <c r="AI293" s="152"/>
      <c r="AJ293" s="152"/>
      <c r="AK293" s="152">
        <v>0</v>
      </c>
      <c r="AL293" s="152"/>
      <c r="AM293" s="152"/>
      <c r="AN293" s="152"/>
      <c r="AO293" s="152"/>
      <c r="AP293" s="152">
        <v>0</v>
      </c>
      <c r="AQ293" s="152">
        <v>0</v>
      </c>
      <c r="AR293" s="152"/>
      <c r="AS293" s="152"/>
      <c r="AT293" s="152"/>
      <c r="AU293" s="152">
        <v>0</v>
      </c>
      <c r="AV293" s="152"/>
      <c r="AW293" s="152"/>
      <c r="AX293" s="152"/>
      <c r="AY293" s="152"/>
      <c r="AZ293" s="152">
        <v>0</v>
      </c>
      <c r="BA293" s="152">
        <v>0</v>
      </c>
      <c r="BB293" s="152"/>
      <c r="BC293" s="152"/>
      <c r="BD293" s="152">
        <v>0</v>
      </c>
      <c r="BE293" s="152"/>
      <c r="BF293" s="152"/>
      <c r="BG293" s="152"/>
      <c r="BH293" s="152"/>
      <c r="BI293" s="152">
        <v>0</v>
      </c>
      <c r="BJ293" s="152">
        <v>0</v>
      </c>
      <c r="BK293" s="152"/>
      <c r="BL293" s="152"/>
      <c r="BM293" s="152"/>
      <c r="BN293" s="152">
        <v>0</v>
      </c>
      <c r="BO293" s="152">
        <v>0</v>
      </c>
      <c r="BP293" s="152">
        <v>16</v>
      </c>
    </row>
    <row r="294" spans="1:68" x14ac:dyDescent="0.35">
      <c r="A294" s="146" t="s">
        <v>836</v>
      </c>
      <c r="B294" s="146" t="s">
        <v>1242</v>
      </c>
      <c r="C294" s="152"/>
      <c r="D294" s="152"/>
      <c r="E294" s="152"/>
      <c r="F294" s="152"/>
      <c r="G294" s="152">
        <v>0</v>
      </c>
      <c r="H294" s="152"/>
      <c r="I294" s="152"/>
      <c r="J294" s="152"/>
      <c r="K294" s="152"/>
      <c r="L294" s="152">
        <v>0</v>
      </c>
      <c r="M294" s="152">
        <v>0</v>
      </c>
      <c r="N294" s="152"/>
      <c r="O294" s="152"/>
      <c r="P294" s="152"/>
      <c r="Q294" s="152">
        <v>0</v>
      </c>
      <c r="R294" s="152"/>
      <c r="S294" s="152"/>
      <c r="T294" s="152"/>
      <c r="U294" s="152"/>
      <c r="V294" s="152">
        <v>0</v>
      </c>
      <c r="W294" s="152">
        <v>0</v>
      </c>
      <c r="X294" s="152"/>
      <c r="Y294" s="152"/>
      <c r="Z294" s="152"/>
      <c r="AA294" s="152">
        <v>0</v>
      </c>
      <c r="AB294" s="152">
        <v>1</v>
      </c>
      <c r="AC294" s="152"/>
      <c r="AD294" s="152"/>
      <c r="AE294" s="152"/>
      <c r="AF294" s="152">
        <v>1</v>
      </c>
      <c r="AG294" s="152">
        <v>1</v>
      </c>
      <c r="AH294" s="152"/>
      <c r="AI294" s="152"/>
      <c r="AJ294" s="152"/>
      <c r="AK294" s="152">
        <v>0</v>
      </c>
      <c r="AL294" s="152"/>
      <c r="AM294" s="152"/>
      <c r="AN294" s="152"/>
      <c r="AO294" s="152"/>
      <c r="AP294" s="152">
        <v>0</v>
      </c>
      <c r="AQ294" s="152">
        <v>0</v>
      </c>
      <c r="AR294" s="152"/>
      <c r="AS294" s="152"/>
      <c r="AT294" s="152"/>
      <c r="AU294" s="152">
        <v>0</v>
      </c>
      <c r="AV294" s="152"/>
      <c r="AW294" s="152"/>
      <c r="AX294" s="152"/>
      <c r="AY294" s="152"/>
      <c r="AZ294" s="152">
        <v>0</v>
      </c>
      <c r="BA294" s="152">
        <v>0</v>
      </c>
      <c r="BB294" s="152"/>
      <c r="BC294" s="152"/>
      <c r="BD294" s="152">
        <v>0</v>
      </c>
      <c r="BE294" s="152"/>
      <c r="BF294" s="152"/>
      <c r="BG294" s="152"/>
      <c r="BH294" s="152"/>
      <c r="BI294" s="152">
        <v>0</v>
      </c>
      <c r="BJ294" s="152">
        <v>0</v>
      </c>
      <c r="BK294" s="152"/>
      <c r="BL294" s="152"/>
      <c r="BM294" s="152"/>
      <c r="BN294" s="152">
        <v>0</v>
      </c>
      <c r="BO294" s="152">
        <v>0</v>
      </c>
      <c r="BP294" s="152">
        <v>1</v>
      </c>
    </row>
    <row r="295" spans="1:68" x14ac:dyDescent="0.35">
      <c r="A295" s="146" t="s">
        <v>837</v>
      </c>
      <c r="B295" s="146" t="s">
        <v>1243</v>
      </c>
      <c r="C295" s="152"/>
      <c r="D295" s="152"/>
      <c r="E295" s="152"/>
      <c r="F295" s="152"/>
      <c r="G295" s="152">
        <v>0</v>
      </c>
      <c r="H295" s="152">
        <v>8</v>
      </c>
      <c r="I295" s="152">
        <v>7</v>
      </c>
      <c r="J295" s="152">
        <v>3</v>
      </c>
      <c r="K295" s="152"/>
      <c r="L295" s="152">
        <v>18</v>
      </c>
      <c r="M295" s="152">
        <v>18</v>
      </c>
      <c r="N295" s="152"/>
      <c r="O295" s="152"/>
      <c r="P295" s="152"/>
      <c r="Q295" s="152">
        <v>0</v>
      </c>
      <c r="R295" s="152"/>
      <c r="S295" s="152"/>
      <c r="T295" s="152"/>
      <c r="U295" s="152"/>
      <c r="V295" s="152">
        <v>0</v>
      </c>
      <c r="W295" s="152">
        <v>0</v>
      </c>
      <c r="X295" s="152"/>
      <c r="Y295" s="152"/>
      <c r="Z295" s="152"/>
      <c r="AA295" s="152">
        <v>0</v>
      </c>
      <c r="AB295" s="152"/>
      <c r="AC295" s="152"/>
      <c r="AD295" s="152"/>
      <c r="AE295" s="152"/>
      <c r="AF295" s="152">
        <v>0</v>
      </c>
      <c r="AG295" s="152">
        <v>0</v>
      </c>
      <c r="AH295" s="152"/>
      <c r="AI295" s="152"/>
      <c r="AJ295" s="152"/>
      <c r="AK295" s="152">
        <v>0</v>
      </c>
      <c r="AL295" s="152"/>
      <c r="AM295" s="152"/>
      <c r="AN295" s="152"/>
      <c r="AO295" s="152"/>
      <c r="AP295" s="152">
        <v>0</v>
      </c>
      <c r="AQ295" s="152">
        <v>0</v>
      </c>
      <c r="AR295" s="152"/>
      <c r="AS295" s="152"/>
      <c r="AT295" s="152"/>
      <c r="AU295" s="152">
        <v>0</v>
      </c>
      <c r="AV295" s="152"/>
      <c r="AW295" s="152"/>
      <c r="AX295" s="152"/>
      <c r="AY295" s="152"/>
      <c r="AZ295" s="152">
        <v>0</v>
      </c>
      <c r="BA295" s="152">
        <v>0</v>
      </c>
      <c r="BB295" s="152"/>
      <c r="BC295" s="152"/>
      <c r="BD295" s="152">
        <v>0</v>
      </c>
      <c r="BE295" s="152"/>
      <c r="BF295" s="152"/>
      <c r="BG295" s="152"/>
      <c r="BH295" s="152"/>
      <c r="BI295" s="152">
        <v>0</v>
      </c>
      <c r="BJ295" s="152">
        <v>0</v>
      </c>
      <c r="BK295" s="152"/>
      <c r="BL295" s="152"/>
      <c r="BM295" s="152"/>
      <c r="BN295" s="152">
        <v>0</v>
      </c>
      <c r="BO295" s="152">
        <v>0</v>
      </c>
      <c r="BP295" s="152">
        <v>18</v>
      </c>
    </row>
    <row r="296" spans="1:68" x14ac:dyDescent="0.35">
      <c r="A296" s="146" t="s">
        <v>838</v>
      </c>
      <c r="B296" s="146" t="s">
        <v>1244</v>
      </c>
      <c r="C296" s="152"/>
      <c r="D296" s="152"/>
      <c r="E296" s="152"/>
      <c r="F296" s="152"/>
      <c r="G296" s="152">
        <v>0</v>
      </c>
      <c r="H296" s="152"/>
      <c r="I296" s="152"/>
      <c r="J296" s="152"/>
      <c r="K296" s="152"/>
      <c r="L296" s="152">
        <v>0</v>
      </c>
      <c r="M296" s="152">
        <v>0</v>
      </c>
      <c r="N296" s="152"/>
      <c r="O296" s="152"/>
      <c r="P296" s="152"/>
      <c r="Q296" s="152">
        <v>0</v>
      </c>
      <c r="R296" s="152"/>
      <c r="S296" s="152"/>
      <c r="T296" s="152"/>
      <c r="U296" s="152"/>
      <c r="V296" s="152">
        <v>0</v>
      </c>
      <c r="W296" s="152">
        <v>0</v>
      </c>
      <c r="X296" s="152">
        <v>1</v>
      </c>
      <c r="Y296" s="152"/>
      <c r="Z296" s="152"/>
      <c r="AA296" s="152">
        <v>1</v>
      </c>
      <c r="AB296" s="152">
        <v>1</v>
      </c>
      <c r="AC296" s="152"/>
      <c r="AD296" s="152"/>
      <c r="AE296" s="152"/>
      <c r="AF296" s="152">
        <v>1</v>
      </c>
      <c r="AG296" s="152">
        <v>2</v>
      </c>
      <c r="AH296" s="152"/>
      <c r="AI296" s="152"/>
      <c r="AJ296" s="152"/>
      <c r="AK296" s="152">
        <v>0</v>
      </c>
      <c r="AL296" s="152"/>
      <c r="AM296" s="152"/>
      <c r="AN296" s="152"/>
      <c r="AO296" s="152"/>
      <c r="AP296" s="152">
        <v>0</v>
      </c>
      <c r="AQ296" s="152">
        <v>0</v>
      </c>
      <c r="AR296" s="152"/>
      <c r="AS296" s="152"/>
      <c r="AT296" s="152"/>
      <c r="AU296" s="152">
        <v>0</v>
      </c>
      <c r="AV296" s="152"/>
      <c r="AW296" s="152"/>
      <c r="AX296" s="152"/>
      <c r="AY296" s="152"/>
      <c r="AZ296" s="152">
        <v>0</v>
      </c>
      <c r="BA296" s="152">
        <v>0</v>
      </c>
      <c r="BB296" s="152"/>
      <c r="BC296" s="152"/>
      <c r="BD296" s="152">
        <v>0</v>
      </c>
      <c r="BE296" s="152"/>
      <c r="BF296" s="152"/>
      <c r="BG296" s="152"/>
      <c r="BH296" s="152"/>
      <c r="BI296" s="152">
        <v>0</v>
      </c>
      <c r="BJ296" s="152">
        <v>0</v>
      </c>
      <c r="BK296" s="152"/>
      <c r="BL296" s="152"/>
      <c r="BM296" s="152"/>
      <c r="BN296" s="152">
        <v>0</v>
      </c>
      <c r="BO296" s="152">
        <v>0</v>
      </c>
      <c r="BP296" s="152">
        <v>2</v>
      </c>
    </row>
    <row r="297" spans="1:68" x14ac:dyDescent="0.35">
      <c r="A297" s="146" t="s">
        <v>839</v>
      </c>
      <c r="B297" s="146" t="s">
        <v>840</v>
      </c>
      <c r="C297" s="152">
        <v>27</v>
      </c>
      <c r="D297" s="152"/>
      <c r="E297" s="152"/>
      <c r="F297" s="152"/>
      <c r="G297" s="152">
        <v>27</v>
      </c>
      <c r="H297" s="152">
        <v>10</v>
      </c>
      <c r="I297" s="152">
        <v>1</v>
      </c>
      <c r="J297" s="152">
        <v>1</v>
      </c>
      <c r="K297" s="152">
        <v>1</v>
      </c>
      <c r="L297" s="152">
        <v>13</v>
      </c>
      <c r="M297" s="152">
        <v>40</v>
      </c>
      <c r="N297" s="152">
        <v>2</v>
      </c>
      <c r="O297" s="152"/>
      <c r="P297" s="152"/>
      <c r="Q297" s="152">
        <v>2</v>
      </c>
      <c r="R297" s="152"/>
      <c r="S297" s="152"/>
      <c r="T297" s="152"/>
      <c r="U297" s="152"/>
      <c r="V297" s="152">
        <v>0</v>
      </c>
      <c r="W297" s="152">
        <v>2</v>
      </c>
      <c r="X297" s="152">
        <v>1</v>
      </c>
      <c r="Y297" s="152"/>
      <c r="Z297" s="152"/>
      <c r="AA297" s="152">
        <v>1</v>
      </c>
      <c r="AB297" s="152"/>
      <c r="AC297" s="152"/>
      <c r="AD297" s="152"/>
      <c r="AE297" s="152"/>
      <c r="AF297" s="152">
        <v>0</v>
      </c>
      <c r="AG297" s="152">
        <v>1</v>
      </c>
      <c r="AH297" s="152">
        <v>2</v>
      </c>
      <c r="AI297" s="152"/>
      <c r="AJ297" s="152"/>
      <c r="AK297" s="152">
        <v>2</v>
      </c>
      <c r="AL297" s="152"/>
      <c r="AM297" s="152"/>
      <c r="AN297" s="152"/>
      <c r="AO297" s="152"/>
      <c r="AP297" s="152">
        <v>0</v>
      </c>
      <c r="AQ297" s="152">
        <v>2</v>
      </c>
      <c r="AR297" s="152">
        <v>4</v>
      </c>
      <c r="AS297" s="152"/>
      <c r="AT297" s="152"/>
      <c r="AU297" s="152">
        <v>4</v>
      </c>
      <c r="AV297" s="152">
        <v>1</v>
      </c>
      <c r="AW297" s="152">
        <v>1</v>
      </c>
      <c r="AX297" s="152"/>
      <c r="AY297" s="152"/>
      <c r="AZ297" s="152">
        <v>2</v>
      </c>
      <c r="BA297" s="152">
        <v>6</v>
      </c>
      <c r="BB297" s="152"/>
      <c r="BC297" s="152"/>
      <c r="BD297" s="152">
        <v>0</v>
      </c>
      <c r="BE297" s="152"/>
      <c r="BF297" s="152"/>
      <c r="BG297" s="152"/>
      <c r="BH297" s="152"/>
      <c r="BI297" s="152">
        <v>0</v>
      </c>
      <c r="BJ297" s="152">
        <v>0</v>
      </c>
      <c r="BK297" s="152"/>
      <c r="BL297" s="152"/>
      <c r="BM297" s="152"/>
      <c r="BN297" s="152">
        <v>0</v>
      </c>
      <c r="BO297" s="152">
        <v>0</v>
      </c>
      <c r="BP297" s="152">
        <v>51</v>
      </c>
    </row>
    <row r="298" spans="1:68" x14ac:dyDescent="0.35">
      <c r="A298" s="146" t="s">
        <v>841</v>
      </c>
      <c r="B298" s="146" t="s">
        <v>842</v>
      </c>
      <c r="C298" s="152">
        <v>337</v>
      </c>
      <c r="D298" s="152">
        <v>2</v>
      </c>
      <c r="E298" s="152"/>
      <c r="F298" s="152"/>
      <c r="G298" s="152">
        <v>339</v>
      </c>
      <c r="H298" s="152">
        <v>62</v>
      </c>
      <c r="I298" s="152">
        <v>17</v>
      </c>
      <c r="J298" s="152">
        <v>5</v>
      </c>
      <c r="K298" s="152">
        <v>1</v>
      </c>
      <c r="L298" s="152">
        <v>85</v>
      </c>
      <c r="M298" s="152">
        <v>424</v>
      </c>
      <c r="N298" s="152">
        <v>78</v>
      </c>
      <c r="O298" s="152"/>
      <c r="P298" s="152"/>
      <c r="Q298" s="152">
        <v>78</v>
      </c>
      <c r="R298" s="152">
        <v>3</v>
      </c>
      <c r="S298" s="152"/>
      <c r="T298" s="152"/>
      <c r="U298" s="152"/>
      <c r="V298" s="152">
        <v>3</v>
      </c>
      <c r="W298" s="152">
        <v>81</v>
      </c>
      <c r="X298" s="152">
        <v>60</v>
      </c>
      <c r="Y298" s="152"/>
      <c r="Z298" s="152"/>
      <c r="AA298" s="152">
        <v>60</v>
      </c>
      <c r="AB298" s="152">
        <v>3</v>
      </c>
      <c r="AC298" s="152"/>
      <c r="AD298" s="152">
        <v>1</v>
      </c>
      <c r="AE298" s="152"/>
      <c r="AF298" s="152">
        <v>4</v>
      </c>
      <c r="AG298" s="152">
        <v>64</v>
      </c>
      <c r="AH298" s="152">
        <v>11</v>
      </c>
      <c r="AI298" s="152"/>
      <c r="AJ298" s="152"/>
      <c r="AK298" s="152">
        <v>11</v>
      </c>
      <c r="AL298" s="152">
        <v>1</v>
      </c>
      <c r="AM298" s="152">
        <v>1</v>
      </c>
      <c r="AN298" s="152"/>
      <c r="AO298" s="152"/>
      <c r="AP298" s="152">
        <v>2</v>
      </c>
      <c r="AQ298" s="152">
        <v>13</v>
      </c>
      <c r="AR298" s="152">
        <v>91</v>
      </c>
      <c r="AS298" s="152"/>
      <c r="AT298" s="152"/>
      <c r="AU298" s="152">
        <v>91</v>
      </c>
      <c r="AV298" s="152">
        <v>2</v>
      </c>
      <c r="AW298" s="152">
        <v>1</v>
      </c>
      <c r="AX298" s="152"/>
      <c r="AY298" s="152"/>
      <c r="AZ298" s="152">
        <v>3</v>
      </c>
      <c r="BA298" s="152">
        <v>94</v>
      </c>
      <c r="BB298" s="152">
        <v>32</v>
      </c>
      <c r="BC298" s="152"/>
      <c r="BD298" s="152">
        <v>32</v>
      </c>
      <c r="BE298" s="152"/>
      <c r="BF298" s="152"/>
      <c r="BG298" s="152"/>
      <c r="BH298" s="152"/>
      <c r="BI298" s="152">
        <v>0</v>
      </c>
      <c r="BJ298" s="152">
        <v>32</v>
      </c>
      <c r="BK298" s="152"/>
      <c r="BL298" s="152"/>
      <c r="BM298" s="152"/>
      <c r="BN298" s="152">
        <v>0</v>
      </c>
      <c r="BO298" s="152">
        <v>0</v>
      </c>
      <c r="BP298" s="152">
        <v>708</v>
      </c>
    </row>
    <row r="299" spans="1:68" x14ac:dyDescent="0.35">
      <c r="A299" s="146" t="s">
        <v>843</v>
      </c>
      <c r="B299" s="146" t="s">
        <v>844</v>
      </c>
      <c r="C299" s="152">
        <v>2</v>
      </c>
      <c r="D299" s="152"/>
      <c r="E299" s="152"/>
      <c r="F299" s="152"/>
      <c r="G299" s="152">
        <v>2</v>
      </c>
      <c r="H299" s="152">
        <v>3</v>
      </c>
      <c r="I299" s="152">
        <v>2</v>
      </c>
      <c r="J299" s="152"/>
      <c r="K299" s="152"/>
      <c r="L299" s="152">
        <v>5</v>
      </c>
      <c r="M299" s="152">
        <v>7</v>
      </c>
      <c r="N299" s="152"/>
      <c r="O299" s="152"/>
      <c r="P299" s="152"/>
      <c r="Q299" s="152">
        <v>0</v>
      </c>
      <c r="R299" s="152"/>
      <c r="S299" s="152"/>
      <c r="T299" s="152"/>
      <c r="U299" s="152"/>
      <c r="V299" s="152">
        <v>0</v>
      </c>
      <c r="W299" s="152">
        <v>0</v>
      </c>
      <c r="X299" s="152"/>
      <c r="Y299" s="152"/>
      <c r="Z299" s="152"/>
      <c r="AA299" s="152">
        <v>0</v>
      </c>
      <c r="AB299" s="152"/>
      <c r="AC299" s="152"/>
      <c r="AD299" s="152"/>
      <c r="AE299" s="152"/>
      <c r="AF299" s="152">
        <v>0</v>
      </c>
      <c r="AG299" s="152">
        <v>0</v>
      </c>
      <c r="AH299" s="152"/>
      <c r="AI299" s="152"/>
      <c r="AJ299" s="152"/>
      <c r="AK299" s="152">
        <v>0</v>
      </c>
      <c r="AL299" s="152"/>
      <c r="AM299" s="152"/>
      <c r="AN299" s="152"/>
      <c r="AO299" s="152"/>
      <c r="AP299" s="152">
        <v>0</v>
      </c>
      <c r="AQ299" s="152">
        <v>0</v>
      </c>
      <c r="AR299" s="152"/>
      <c r="AS299" s="152"/>
      <c r="AT299" s="152"/>
      <c r="AU299" s="152">
        <v>0</v>
      </c>
      <c r="AV299" s="152"/>
      <c r="AW299" s="152"/>
      <c r="AX299" s="152"/>
      <c r="AY299" s="152"/>
      <c r="AZ299" s="152">
        <v>0</v>
      </c>
      <c r="BA299" s="152">
        <v>0</v>
      </c>
      <c r="BB299" s="152"/>
      <c r="BC299" s="152"/>
      <c r="BD299" s="152">
        <v>0</v>
      </c>
      <c r="BE299" s="152"/>
      <c r="BF299" s="152"/>
      <c r="BG299" s="152"/>
      <c r="BH299" s="152"/>
      <c r="BI299" s="152">
        <v>0</v>
      </c>
      <c r="BJ299" s="152">
        <v>0</v>
      </c>
      <c r="BK299" s="152"/>
      <c r="BL299" s="152"/>
      <c r="BM299" s="152"/>
      <c r="BN299" s="152">
        <v>0</v>
      </c>
      <c r="BO299" s="152">
        <v>0</v>
      </c>
      <c r="BP299" s="152">
        <v>7</v>
      </c>
    </row>
    <row r="300" spans="1:68" x14ac:dyDescent="0.35">
      <c r="A300" s="146" t="s">
        <v>845</v>
      </c>
      <c r="B300" s="146" t="s">
        <v>846</v>
      </c>
      <c r="C300" s="152">
        <v>1</v>
      </c>
      <c r="D300" s="152"/>
      <c r="E300" s="152"/>
      <c r="F300" s="152"/>
      <c r="G300" s="152">
        <v>1</v>
      </c>
      <c r="H300" s="152">
        <v>2</v>
      </c>
      <c r="I300" s="152">
        <v>1</v>
      </c>
      <c r="J300" s="152"/>
      <c r="K300" s="152">
        <v>2</v>
      </c>
      <c r="L300" s="152">
        <v>5</v>
      </c>
      <c r="M300" s="152">
        <v>6</v>
      </c>
      <c r="N300" s="152"/>
      <c r="O300" s="152"/>
      <c r="P300" s="152"/>
      <c r="Q300" s="152">
        <v>0</v>
      </c>
      <c r="R300" s="152"/>
      <c r="S300" s="152"/>
      <c r="T300" s="152"/>
      <c r="U300" s="152"/>
      <c r="V300" s="152">
        <v>0</v>
      </c>
      <c r="W300" s="152">
        <v>0</v>
      </c>
      <c r="X300" s="152"/>
      <c r="Y300" s="152"/>
      <c r="Z300" s="152"/>
      <c r="AA300" s="152">
        <v>0</v>
      </c>
      <c r="AB300" s="152"/>
      <c r="AC300" s="152"/>
      <c r="AD300" s="152"/>
      <c r="AE300" s="152"/>
      <c r="AF300" s="152">
        <v>0</v>
      </c>
      <c r="AG300" s="152">
        <v>0</v>
      </c>
      <c r="AH300" s="152"/>
      <c r="AI300" s="152"/>
      <c r="AJ300" s="152"/>
      <c r="AK300" s="152">
        <v>0</v>
      </c>
      <c r="AL300" s="152"/>
      <c r="AM300" s="152"/>
      <c r="AN300" s="152"/>
      <c r="AO300" s="152"/>
      <c r="AP300" s="152">
        <v>0</v>
      </c>
      <c r="AQ300" s="152">
        <v>0</v>
      </c>
      <c r="AR300" s="152">
        <v>1</v>
      </c>
      <c r="AS300" s="152"/>
      <c r="AT300" s="152"/>
      <c r="AU300" s="152">
        <v>1</v>
      </c>
      <c r="AV300" s="152">
        <v>1</v>
      </c>
      <c r="AW300" s="152"/>
      <c r="AX300" s="152"/>
      <c r="AY300" s="152"/>
      <c r="AZ300" s="152">
        <v>1</v>
      </c>
      <c r="BA300" s="152">
        <v>2</v>
      </c>
      <c r="BB300" s="152"/>
      <c r="BC300" s="152"/>
      <c r="BD300" s="152">
        <v>0</v>
      </c>
      <c r="BE300" s="152"/>
      <c r="BF300" s="152"/>
      <c r="BG300" s="152"/>
      <c r="BH300" s="152"/>
      <c r="BI300" s="152">
        <v>0</v>
      </c>
      <c r="BJ300" s="152">
        <v>0</v>
      </c>
      <c r="BK300" s="152"/>
      <c r="BL300" s="152"/>
      <c r="BM300" s="152"/>
      <c r="BN300" s="152">
        <v>0</v>
      </c>
      <c r="BO300" s="152">
        <v>0</v>
      </c>
      <c r="BP300" s="152">
        <v>8</v>
      </c>
    </row>
    <row r="301" spans="1:68" x14ac:dyDescent="0.35">
      <c r="A301" s="146" t="s">
        <v>847</v>
      </c>
      <c r="B301" s="146" t="s">
        <v>848</v>
      </c>
      <c r="C301" s="152">
        <v>3</v>
      </c>
      <c r="D301" s="152"/>
      <c r="E301" s="152"/>
      <c r="F301" s="152"/>
      <c r="G301" s="152">
        <v>3</v>
      </c>
      <c r="H301" s="152">
        <v>29</v>
      </c>
      <c r="I301" s="152">
        <v>8</v>
      </c>
      <c r="J301" s="152">
        <v>3</v>
      </c>
      <c r="K301" s="152"/>
      <c r="L301" s="152">
        <v>40</v>
      </c>
      <c r="M301" s="152">
        <v>43</v>
      </c>
      <c r="N301" s="152"/>
      <c r="O301" s="152"/>
      <c r="P301" s="152"/>
      <c r="Q301" s="152">
        <v>0</v>
      </c>
      <c r="R301" s="152"/>
      <c r="S301" s="152"/>
      <c r="T301" s="152"/>
      <c r="U301" s="152"/>
      <c r="V301" s="152">
        <v>0</v>
      </c>
      <c r="W301" s="152">
        <v>0</v>
      </c>
      <c r="X301" s="152"/>
      <c r="Y301" s="152"/>
      <c r="Z301" s="152"/>
      <c r="AA301" s="152">
        <v>0</v>
      </c>
      <c r="AB301" s="152">
        <v>1</v>
      </c>
      <c r="AC301" s="152"/>
      <c r="AD301" s="152"/>
      <c r="AE301" s="152"/>
      <c r="AF301" s="152">
        <v>1</v>
      </c>
      <c r="AG301" s="152">
        <v>1</v>
      </c>
      <c r="AH301" s="152"/>
      <c r="AI301" s="152"/>
      <c r="AJ301" s="152"/>
      <c r="AK301" s="152">
        <v>0</v>
      </c>
      <c r="AL301" s="152"/>
      <c r="AM301" s="152"/>
      <c r="AN301" s="152"/>
      <c r="AO301" s="152"/>
      <c r="AP301" s="152">
        <v>0</v>
      </c>
      <c r="AQ301" s="152">
        <v>0</v>
      </c>
      <c r="AR301" s="152">
        <v>3</v>
      </c>
      <c r="AS301" s="152"/>
      <c r="AT301" s="152"/>
      <c r="AU301" s="152">
        <v>3</v>
      </c>
      <c r="AV301" s="152">
        <v>9</v>
      </c>
      <c r="AW301" s="152">
        <v>2</v>
      </c>
      <c r="AX301" s="152"/>
      <c r="AY301" s="152"/>
      <c r="AZ301" s="152">
        <v>11</v>
      </c>
      <c r="BA301" s="152">
        <v>14</v>
      </c>
      <c r="BB301" s="152"/>
      <c r="BC301" s="152"/>
      <c r="BD301" s="152">
        <v>0</v>
      </c>
      <c r="BE301" s="152"/>
      <c r="BF301" s="152"/>
      <c r="BG301" s="152"/>
      <c r="BH301" s="152"/>
      <c r="BI301" s="152">
        <v>0</v>
      </c>
      <c r="BJ301" s="152">
        <v>0</v>
      </c>
      <c r="BK301" s="152"/>
      <c r="BL301" s="152"/>
      <c r="BM301" s="152"/>
      <c r="BN301" s="152">
        <v>0</v>
      </c>
      <c r="BO301" s="152">
        <v>0</v>
      </c>
      <c r="BP301" s="152">
        <v>58</v>
      </c>
    </row>
    <row r="302" spans="1:68" x14ac:dyDescent="0.35">
      <c r="A302" s="146" t="s">
        <v>849</v>
      </c>
      <c r="B302" s="146" t="s">
        <v>850</v>
      </c>
      <c r="C302" s="152">
        <v>31</v>
      </c>
      <c r="D302" s="152">
        <v>1</v>
      </c>
      <c r="E302" s="152"/>
      <c r="F302" s="152"/>
      <c r="G302" s="152">
        <v>32</v>
      </c>
      <c r="H302" s="152">
        <v>152</v>
      </c>
      <c r="I302" s="152">
        <v>79</v>
      </c>
      <c r="J302" s="152">
        <v>16</v>
      </c>
      <c r="K302" s="152">
        <v>3</v>
      </c>
      <c r="L302" s="152">
        <v>250</v>
      </c>
      <c r="M302" s="152">
        <v>282</v>
      </c>
      <c r="N302" s="152">
        <v>5</v>
      </c>
      <c r="O302" s="152"/>
      <c r="P302" s="152"/>
      <c r="Q302" s="152">
        <v>5</v>
      </c>
      <c r="R302" s="152">
        <v>5</v>
      </c>
      <c r="S302" s="152">
        <v>1</v>
      </c>
      <c r="T302" s="152"/>
      <c r="U302" s="152"/>
      <c r="V302" s="152">
        <v>6</v>
      </c>
      <c r="W302" s="152">
        <v>11</v>
      </c>
      <c r="X302" s="152">
        <v>4</v>
      </c>
      <c r="Y302" s="152"/>
      <c r="Z302" s="152"/>
      <c r="AA302" s="152">
        <v>4</v>
      </c>
      <c r="AB302" s="152">
        <v>1</v>
      </c>
      <c r="AC302" s="152"/>
      <c r="AD302" s="152"/>
      <c r="AE302" s="152"/>
      <c r="AF302" s="152">
        <v>1</v>
      </c>
      <c r="AG302" s="152">
        <v>5</v>
      </c>
      <c r="AH302" s="152">
        <v>2</v>
      </c>
      <c r="AI302" s="152"/>
      <c r="AJ302" s="152"/>
      <c r="AK302" s="152">
        <v>2</v>
      </c>
      <c r="AL302" s="152">
        <v>4</v>
      </c>
      <c r="AM302" s="152">
        <v>1</v>
      </c>
      <c r="AN302" s="152"/>
      <c r="AO302" s="152"/>
      <c r="AP302" s="152">
        <v>5</v>
      </c>
      <c r="AQ302" s="152">
        <v>7</v>
      </c>
      <c r="AR302" s="152">
        <v>15</v>
      </c>
      <c r="AS302" s="152"/>
      <c r="AT302" s="152"/>
      <c r="AU302" s="152">
        <v>15</v>
      </c>
      <c r="AV302" s="152">
        <v>22</v>
      </c>
      <c r="AW302" s="152">
        <v>4</v>
      </c>
      <c r="AX302" s="152"/>
      <c r="AY302" s="152"/>
      <c r="AZ302" s="152">
        <v>26</v>
      </c>
      <c r="BA302" s="152">
        <v>41</v>
      </c>
      <c r="BB302" s="152"/>
      <c r="BC302" s="152"/>
      <c r="BD302" s="152">
        <v>0</v>
      </c>
      <c r="BE302" s="152"/>
      <c r="BF302" s="152"/>
      <c r="BG302" s="152"/>
      <c r="BH302" s="152"/>
      <c r="BI302" s="152">
        <v>0</v>
      </c>
      <c r="BJ302" s="152">
        <v>0</v>
      </c>
      <c r="BK302" s="152"/>
      <c r="BL302" s="152"/>
      <c r="BM302" s="152"/>
      <c r="BN302" s="152">
        <v>0</v>
      </c>
      <c r="BO302" s="152">
        <v>0</v>
      </c>
      <c r="BP302" s="152">
        <v>346</v>
      </c>
    </row>
    <row r="303" spans="1:68" x14ac:dyDescent="0.35">
      <c r="A303" s="146" t="s">
        <v>851</v>
      </c>
      <c r="B303" s="146" t="s">
        <v>852</v>
      </c>
      <c r="C303" s="152">
        <v>38</v>
      </c>
      <c r="D303" s="152"/>
      <c r="E303" s="152"/>
      <c r="F303" s="152"/>
      <c r="G303" s="152">
        <v>38</v>
      </c>
      <c r="H303" s="152">
        <v>7</v>
      </c>
      <c r="I303" s="152">
        <v>1</v>
      </c>
      <c r="J303" s="152"/>
      <c r="K303" s="152"/>
      <c r="L303" s="152">
        <v>8</v>
      </c>
      <c r="M303" s="152">
        <v>46</v>
      </c>
      <c r="N303" s="152">
        <v>6</v>
      </c>
      <c r="O303" s="152"/>
      <c r="P303" s="152"/>
      <c r="Q303" s="152">
        <v>6</v>
      </c>
      <c r="R303" s="152"/>
      <c r="S303" s="152"/>
      <c r="T303" s="152"/>
      <c r="U303" s="152"/>
      <c r="V303" s="152">
        <v>0</v>
      </c>
      <c r="W303" s="152">
        <v>6</v>
      </c>
      <c r="X303" s="152">
        <v>5</v>
      </c>
      <c r="Y303" s="152"/>
      <c r="Z303" s="152"/>
      <c r="AA303" s="152">
        <v>5</v>
      </c>
      <c r="AB303" s="152"/>
      <c r="AC303" s="152"/>
      <c r="AD303" s="152"/>
      <c r="AE303" s="152"/>
      <c r="AF303" s="152">
        <v>0</v>
      </c>
      <c r="AG303" s="152">
        <v>5</v>
      </c>
      <c r="AH303" s="152">
        <v>10</v>
      </c>
      <c r="AI303" s="152"/>
      <c r="AJ303" s="152"/>
      <c r="AK303" s="152">
        <v>10</v>
      </c>
      <c r="AL303" s="152"/>
      <c r="AM303" s="152"/>
      <c r="AN303" s="152"/>
      <c r="AO303" s="152"/>
      <c r="AP303" s="152">
        <v>0</v>
      </c>
      <c r="AQ303" s="152">
        <v>10</v>
      </c>
      <c r="AR303" s="152">
        <v>8</v>
      </c>
      <c r="AS303" s="152"/>
      <c r="AT303" s="152"/>
      <c r="AU303" s="152">
        <v>8</v>
      </c>
      <c r="AV303" s="152">
        <v>1</v>
      </c>
      <c r="AW303" s="152"/>
      <c r="AX303" s="152"/>
      <c r="AY303" s="152"/>
      <c r="AZ303" s="152">
        <v>1</v>
      </c>
      <c r="BA303" s="152">
        <v>9</v>
      </c>
      <c r="BB303" s="152">
        <v>2</v>
      </c>
      <c r="BC303" s="152"/>
      <c r="BD303" s="152">
        <v>2</v>
      </c>
      <c r="BE303" s="152"/>
      <c r="BF303" s="152"/>
      <c r="BG303" s="152"/>
      <c r="BH303" s="152"/>
      <c r="BI303" s="152">
        <v>0</v>
      </c>
      <c r="BJ303" s="152">
        <v>2</v>
      </c>
      <c r="BK303" s="152"/>
      <c r="BL303" s="152"/>
      <c r="BM303" s="152"/>
      <c r="BN303" s="152">
        <v>0</v>
      </c>
      <c r="BO303" s="152">
        <v>0</v>
      </c>
      <c r="BP303" s="152">
        <v>78</v>
      </c>
    </row>
    <row r="304" spans="1:68" x14ac:dyDescent="0.35">
      <c r="A304" s="146" t="s">
        <v>853</v>
      </c>
      <c r="B304" s="146" t="s">
        <v>854</v>
      </c>
      <c r="C304" s="152">
        <v>152</v>
      </c>
      <c r="D304" s="152"/>
      <c r="E304" s="152"/>
      <c r="F304" s="152"/>
      <c r="G304" s="152">
        <v>152</v>
      </c>
      <c r="H304" s="152">
        <v>133</v>
      </c>
      <c r="I304" s="152">
        <v>5</v>
      </c>
      <c r="J304" s="152">
        <v>2</v>
      </c>
      <c r="K304" s="152"/>
      <c r="L304" s="152">
        <v>140</v>
      </c>
      <c r="M304" s="152">
        <v>292</v>
      </c>
      <c r="N304" s="152">
        <v>13</v>
      </c>
      <c r="O304" s="152"/>
      <c r="P304" s="152"/>
      <c r="Q304" s="152">
        <v>13</v>
      </c>
      <c r="R304" s="152"/>
      <c r="S304" s="152"/>
      <c r="T304" s="152"/>
      <c r="U304" s="152"/>
      <c r="V304" s="152">
        <v>0</v>
      </c>
      <c r="W304" s="152">
        <v>13</v>
      </c>
      <c r="X304" s="152">
        <v>9</v>
      </c>
      <c r="Y304" s="152"/>
      <c r="Z304" s="152"/>
      <c r="AA304" s="152">
        <v>9</v>
      </c>
      <c r="AB304" s="152">
        <v>1</v>
      </c>
      <c r="AC304" s="152"/>
      <c r="AD304" s="152"/>
      <c r="AE304" s="152"/>
      <c r="AF304" s="152">
        <v>1</v>
      </c>
      <c r="AG304" s="152">
        <v>10</v>
      </c>
      <c r="AH304" s="152">
        <v>6</v>
      </c>
      <c r="AI304" s="152"/>
      <c r="AJ304" s="152"/>
      <c r="AK304" s="152">
        <v>6</v>
      </c>
      <c r="AL304" s="152">
        <v>2</v>
      </c>
      <c r="AM304" s="152"/>
      <c r="AN304" s="152"/>
      <c r="AO304" s="152"/>
      <c r="AP304" s="152">
        <v>2</v>
      </c>
      <c r="AQ304" s="152">
        <v>8</v>
      </c>
      <c r="AR304" s="152">
        <v>44</v>
      </c>
      <c r="AS304" s="152"/>
      <c r="AT304" s="152"/>
      <c r="AU304" s="152">
        <v>44</v>
      </c>
      <c r="AV304" s="152">
        <v>15</v>
      </c>
      <c r="AW304" s="152">
        <v>1</v>
      </c>
      <c r="AX304" s="152"/>
      <c r="AY304" s="152"/>
      <c r="AZ304" s="152">
        <v>16</v>
      </c>
      <c r="BA304" s="152">
        <v>60</v>
      </c>
      <c r="BB304" s="152">
        <v>7</v>
      </c>
      <c r="BC304" s="152"/>
      <c r="BD304" s="152">
        <v>7</v>
      </c>
      <c r="BE304" s="152">
        <v>2</v>
      </c>
      <c r="BF304" s="152"/>
      <c r="BG304" s="152"/>
      <c r="BH304" s="152"/>
      <c r="BI304" s="152">
        <v>2</v>
      </c>
      <c r="BJ304" s="152">
        <v>9</v>
      </c>
      <c r="BK304" s="152"/>
      <c r="BL304" s="152"/>
      <c r="BM304" s="152"/>
      <c r="BN304" s="152">
        <v>0</v>
      </c>
      <c r="BO304" s="152">
        <v>0</v>
      </c>
      <c r="BP304" s="152">
        <v>392</v>
      </c>
    </row>
    <row r="305" spans="1:68" x14ac:dyDescent="0.35">
      <c r="A305" s="146" t="s">
        <v>855</v>
      </c>
      <c r="B305" s="146" t="s">
        <v>1245</v>
      </c>
      <c r="C305" s="152">
        <v>293</v>
      </c>
      <c r="D305" s="152">
        <v>8</v>
      </c>
      <c r="E305" s="152"/>
      <c r="F305" s="152"/>
      <c r="G305" s="152">
        <v>301</v>
      </c>
      <c r="H305" s="152">
        <v>248</v>
      </c>
      <c r="I305" s="152">
        <v>103</v>
      </c>
      <c r="J305" s="152">
        <v>46</v>
      </c>
      <c r="K305" s="152">
        <v>7</v>
      </c>
      <c r="L305" s="152">
        <v>404</v>
      </c>
      <c r="M305" s="152">
        <v>705</v>
      </c>
      <c r="N305" s="152">
        <v>139</v>
      </c>
      <c r="O305" s="152"/>
      <c r="P305" s="152"/>
      <c r="Q305" s="152">
        <v>139</v>
      </c>
      <c r="R305" s="152">
        <v>17</v>
      </c>
      <c r="S305" s="152">
        <v>2</v>
      </c>
      <c r="T305" s="152">
        <v>1</v>
      </c>
      <c r="U305" s="152"/>
      <c r="V305" s="152">
        <v>20</v>
      </c>
      <c r="W305" s="152">
        <v>159</v>
      </c>
      <c r="X305" s="152">
        <v>93</v>
      </c>
      <c r="Y305" s="152"/>
      <c r="Z305" s="152"/>
      <c r="AA305" s="152">
        <v>93</v>
      </c>
      <c r="AB305" s="152">
        <v>6</v>
      </c>
      <c r="AC305" s="152">
        <v>1</v>
      </c>
      <c r="AD305" s="152"/>
      <c r="AE305" s="152"/>
      <c r="AF305" s="152">
        <v>7</v>
      </c>
      <c r="AG305" s="152">
        <v>100</v>
      </c>
      <c r="AH305" s="152">
        <v>37</v>
      </c>
      <c r="AI305" s="152">
        <v>1</v>
      </c>
      <c r="AJ305" s="152"/>
      <c r="AK305" s="152">
        <v>38</v>
      </c>
      <c r="AL305" s="152">
        <v>3</v>
      </c>
      <c r="AM305" s="152">
        <v>1</v>
      </c>
      <c r="AN305" s="152"/>
      <c r="AO305" s="152"/>
      <c r="AP305" s="152">
        <v>4</v>
      </c>
      <c r="AQ305" s="152">
        <v>42</v>
      </c>
      <c r="AR305" s="152">
        <v>31</v>
      </c>
      <c r="AS305" s="152"/>
      <c r="AT305" s="152"/>
      <c r="AU305" s="152">
        <v>31</v>
      </c>
      <c r="AV305" s="152">
        <v>19</v>
      </c>
      <c r="AW305" s="152">
        <v>3</v>
      </c>
      <c r="AX305" s="152"/>
      <c r="AY305" s="152"/>
      <c r="AZ305" s="152">
        <v>22</v>
      </c>
      <c r="BA305" s="152">
        <v>53</v>
      </c>
      <c r="BB305" s="152">
        <v>83</v>
      </c>
      <c r="BC305" s="152">
        <v>1</v>
      </c>
      <c r="BD305" s="152">
        <v>84</v>
      </c>
      <c r="BE305" s="152">
        <v>24</v>
      </c>
      <c r="BF305" s="152">
        <v>4</v>
      </c>
      <c r="BG305" s="152"/>
      <c r="BH305" s="152"/>
      <c r="BI305" s="152">
        <v>28</v>
      </c>
      <c r="BJ305" s="152">
        <v>112</v>
      </c>
      <c r="BK305" s="152"/>
      <c r="BL305" s="152"/>
      <c r="BM305" s="152"/>
      <c r="BN305" s="152">
        <v>0</v>
      </c>
      <c r="BO305" s="152">
        <v>0</v>
      </c>
      <c r="BP305" s="152">
        <v>1171</v>
      </c>
    </row>
    <row r="306" spans="1:68" x14ac:dyDescent="0.35">
      <c r="A306" s="146" t="s">
        <v>856</v>
      </c>
      <c r="B306" s="146" t="s">
        <v>857</v>
      </c>
      <c r="C306" s="152">
        <v>60</v>
      </c>
      <c r="D306" s="152">
        <v>2</v>
      </c>
      <c r="E306" s="152"/>
      <c r="F306" s="152"/>
      <c r="G306" s="152">
        <v>62</v>
      </c>
      <c r="H306" s="152">
        <v>62</v>
      </c>
      <c r="I306" s="152">
        <v>13</v>
      </c>
      <c r="J306" s="152">
        <v>3</v>
      </c>
      <c r="K306" s="152"/>
      <c r="L306" s="152">
        <v>78</v>
      </c>
      <c r="M306" s="152">
        <v>140</v>
      </c>
      <c r="N306" s="152">
        <v>23</v>
      </c>
      <c r="O306" s="152"/>
      <c r="P306" s="152"/>
      <c r="Q306" s="152">
        <v>23</v>
      </c>
      <c r="R306" s="152"/>
      <c r="S306" s="152"/>
      <c r="T306" s="152">
        <v>1</v>
      </c>
      <c r="U306" s="152"/>
      <c r="V306" s="152">
        <v>1</v>
      </c>
      <c r="W306" s="152">
        <v>24</v>
      </c>
      <c r="X306" s="152">
        <v>2</v>
      </c>
      <c r="Y306" s="152"/>
      <c r="Z306" s="152"/>
      <c r="AA306" s="152">
        <v>2</v>
      </c>
      <c r="AB306" s="152"/>
      <c r="AC306" s="152"/>
      <c r="AD306" s="152"/>
      <c r="AE306" s="152"/>
      <c r="AF306" s="152">
        <v>0</v>
      </c>
      <c r="AG306" s="152">
        <v>2</v>
      </c>
      <c r="AH306" s="152">
        <v>3</v>
      </c>
      <c r="AI306" s="152"/>
      <c r="AJ306" s="152"/>
      <c r="AK306" s="152">
        <v>3</v>
      </c>
      <c r="AL306" s="152"/>
      <c r="AM306" s="152"/>
      <c r="AN306" s="152"/>
      <c r="AO306" s="152"/>
      <c r="AP306" s="152">
        <v>0</v>
      </c>
      <c r="AQ306" s="152">
        <v>3</v>
      </c>
      <c r="AR306" s="152">
        <v>1</v>
      </c>
      <c r="AS306" s="152"/>
      <c r="AT306" s="152"/>
      <c r="AU306" s="152">
        <v>1</v>
      </c>
      <c r="AV306" s="152"/>
      <c r="AW306" s="152"/>
      <c r="AX306" s="152"/>
      <c r="AY306" s="152"/>
      <c r="AZ306" s="152">
        <v>0</v>
      </c>
      <c r="BA306" s="152">
        <v>1</v>
      </c>
      <c r="BB306" s="152">
        <v>5</v>
      </c>
      <c r="BC306" s="152"/>
      <c r="BD306" s="152">
        <v>5</v>
      </c>
      <c r="BE306" s="152"/>
      <c r="BF306" s="152"/>
      <c r="BG306" s="152"/>
      <c r="BH306" s="152"/>
      <c r="BI306" s="152">
        <v>0</v>
      </c>
      <c r="BJ306" s="152">
        <v>5</v>
      </c>
      <c r="BK306" s="152"/>
      <c r="BL306" s="152"/>
      <c r="BM306" s="152"/>
      <c r="BN306" s="152">
        <v>0</v>
      </c>
      <c r="BO306" s="152">
        <v>0</v>
      </c>
      <c r="BP306" s="152">
        <v>175</v>
      </c>
    </row>
    <row r="307" spans="1:68" x14ac:dyDescent="0.35">
      <c r="A307" s="146" t="s">
        <v>858</v>
      </c>
      <c r="B307" s="146" t="s">
        <v>1246</v>
      </c>
      <c r="C307" s="152">
        <v>6</v>
      </c>
      <c r="D307" s="152"/>
      <c r="E307" s="152"/>
      <c r="F307" s="152"/>
      <c r="G307" s="152">
        <v>6</v>
      </c>
      <c r="H307" s="152">
        <v>12</v>
      </c>
      <c r="I307" s="152">
        <v>5</v>
      </c>
      <c r="J307" s="152"/>
      <c r="K307" s="152"/>
      <c r="L307" s="152">
        <v>17</v>
      </c>
      <c r="M307" s="152">
        <v>23</v>
      </c>
      <c r="N307" s="152">
        <v>1</v>
      </c>
      <c r="O307" s="152"/>
      <c r="P307" s="152"/>
      <c r="Q307" s="152">
        <v>1</v>
      </c>
      <c r="R307" s="152"/>
      <c r="S307" s="152"/>
      <c r="T307" s="152"/>
      <c r="U307" s="152"/>
      <c r="V307" s="152">
        <v>0</v>
      </c>
      <c r="W307" s="152">
        <v>1</v>
      </c>
      <c r="X307" s="152">
        <v>3</v>
      </c>
      <c r="Y307" s="152"/>
      <c r="Z307" s="152"/>
      <c r="AA307" s="152">
        <v>3</v>
      </c>
      <c r="AB307" s="152">
        <v>1</v>
      </c>
      <c r="AC307" s="152"/>
      <c r="AD307" s="152"/>
      <c r="AE307" s="152"/>
      <c r="AF307" s="152">
        <v>1</v>
      </c>
      <c r="AG307" s="152">
        <v>4</v>
      </c>
      <c r="AH307" s="152"/>
      <c r="AI307" s="152"/>
      <c r="AJ307" s="152"/>
      <c r="AK307" s="152">
        <v>0</v>
      </c>
      <c r="AL307" s="152"/>
      <c r="AM307" s="152"/>
      <c r="AN307" s="152"/>
      <c r="AO307" s="152"/>
      <c r="AP307" s="152">
        <v>0</v>
      </c>
      <c r="AQ307" s="152">
        <v>0</v>
      </c>
      <c r="AR307" s="152">
        <v>4</v>
      </c>
      <c r="AS307" s="152"/>
      <c r="AT307" s="152"/>
      <c r="AU307" s="152">
        <v>4</v>
      </c>
      <c r="AV307" s="152">
        <v>5</v>
      </c>
      <c r="AW307" s="152">
        <v>1</v>
      </c>
      <c r="AX307" s="152"/>
      <c r="AY307" s="152"/>
      <c r="AZ307" s="152">
        <v>6</v>
      </c>
      <c r="BA307" s="152">
        <v>10</v>
      </c>
      <c r="BB307" s="152">
        <v>4</v>
      </c>
      <c r="BC307" s="152"/>
      <c r="BD307" s="152">
        <v>4</v>
      </c>
      <c r="BE307" s="152"/>
      <c r="BF307" s="152">
        <v>1</v>
      </c>
      <c r="BG307" s="152"/>
      <c r="BH307" s="152"/>
      <c r="BI307" s="152">
        <v>1</v>
      </c>
      <c r="BJ307" s="152">
        <v>5</v>
      </c>
      <c r="BK307" s="152"/>
      <c r="BL307" s="152"/>
      <c r="BM307" s="152"/>
      <c r="BN307" s="152">
        <v>0</v>
      </c>
      <c r="BO307" s="152">
        <v>0</v>
      </c>
      <c r="BP307" s="152">
        <v>43</v>
      </c>
    </row>
    <row r="308" spans="1:68" x14ac:dyDescent="0.35">
      <c r="A308" s="146" t="s">
        <v>859</v>
      </c>
      <c r="B308" s="146" t="s">
        <v>860</v>
      </c>
      <c r="C308" s="152">
        <v>60</v>
      </c>
      <c r="D308" s="152"/>
      <c r="E308" s="152"/>
      <c r="F308" s="152"/>
      <c r="G308" s="152">
        <v>60</v>
      </c>
      <c r="H308" s="152">
        <v>45</v>
      </c>
      <c r="I308" s="152">
        <v>4</v>
      </c>
      <c r="J308" s="152">
        <v>1</v>
      </c>
      <c r="K308" s="152"/>
      <c r="L308" s="152">
        <v>50</v>
      </c>
      <c r="M308" s="152">
        <v>110</v>
      </c>
      <c r="N308" s="152">
        <v>127</v>
      </c>
      <c r="O308" s="152">
        <v>1</v>
      </c>
      <c r="P308" s="152"/>
      <c r="Q308" s="152">
        <v>128</v>
      </c>
      <c r="R308" s="152">
        <v>20</v>
      </c>
      <c r="S308" s="152">
        <v>1</v>
      </c>
      <c r="T308" s="152"/>
      <c r="U308" s="152"/>
      <c r="V308" s="152">
        <v>21</v>
      </c>
      <c r="W308" s="152">
        <v>149</v>
      </c>
      <c r="X308" s="152">
        <v>18</v>
      </c>
      <c r="Y308" s="152"/>
      <c r="Z308" s="152"/>
      <c r="AA308" s="152">
        <v>18</v>
      </c>
      <c r="AB308" s="152">
        <v>2</v>
      </c>
      <c r="AC308" s="152"/>
      <c r="AD308" s="152"/>
      <c r="AE308" s="152"/>
      <c r="AF308" s="152">
        <v>2</v>
      </c>
      <c r="AG308" s="152">
        <v>20</v>
      </c>
      <c r="AH308" s="152"/>
      <c r="AI308" s="152"/>
      <c r="AJ308" s="152"/>
      <c r="AK308" s="152">
        <v>0</v>
      </c>
      <c r="AL308" s="152"/>
      <c r="AM308" s="152"/>
      <c r="AN308" s="152"/>
      <c r="AO308" s="152"/>
      <c r="AP308" s="152">
        <v>0</v>
      </c>
      <c r="AQ308" s="152">
        <v>0</v>
      </c>
      <c r="AR308" s="152">
        <v>91</v>
      </c>
      <c r="AS308" s="152"/>
      <c r="AT308" s="152"/>
      <c r="AU308" s="152">
        <v>91</v>
      </c>
      <c r="AV308" s="152">
        <v>9</v>
      </c>
      <c r="AW308" s="152"/>
      <c r="AX308" s="152"/>
      <c r="AY308" s="152"/>
      <c r="AZ308" s="152">
        <v>9</v>
      </c>
      <c r="BA308" s="152">
        <v>100</v>
      </c>
      <c r="BB308" s="152">
        <v>93</v>
      </c>
      <c r="BC308" s="152">
        <v>2</v>
      </c>
      <c r="BD308" s="152">
        <v>95</v>
      </c>
      <c r="BE308" s="152">
        <v>10</v>
      </c>
      <c r="BF308" s="152"/>
      <c r="BG308" s="152"/>
      <c r="BH308" s="152"/>
      <c r="BI308" s="152">
        <v>10</v>
      </c>
      <c r="BJ308" s="152">
        <v>105</v>
      </c>
      <c r="BK308" s="152"/>
      <c r="BL308" s="152"/>
      <c r="BM308" s="152"/>
      <c r="BN308" s="152">
        <v>0</v>
      </c>
      <c r="BO308" s="152">
        <v>0</v>
      </c>
      <c r="BP308" s="152">
        <v>484</v>
      </c>
    </row>
    <row r="309" spans="1:68" x14ac:dyDescent="0.35">
      <c r="A309" s="146" t="s">
        <v>861</v>
      </c>
      <c r="B309" s="146" t="s">
        <v>1247</v>
      </c>
      <c r="C309" s="152">
        <v>295</v>
      </c>
      <c r="D309" s="152">
        <v>4</v>
      </c>
      <c r="E309" s="152"/>
      <c r="F309" s="152"/>
      <c r="G309" s="152">
        <v>299</v>
      </c>
      <c r="H309" s="152">
        <v>214</v>
      </c>
      <c r="I309" s="152">
        <v>38</v>
      </c>
      <c r="J309" s="152">
        <v>9</v>
      </c>
      <c r="K309" s="152"/>
      <c r="L309" s="152">
        <v>261</v>
      </c>
      <c r="M309" s="152">
        <v>560</v>
      </c>
      <c r="N309" s="152">
        <v>129</v>
      </c>
      <c r="O309" s="152"/>
      <c r="P309" s="152"/>
      <c r="Q309" s="152">
        <v>129</v>
      </c>
      <c r="R309" s="152">
        <v>6</v>
      </c>
      <c r="S309" s="152"/>
      <c r="T309" s="152"/>
      <c r="U309" s="152"/>
      <c r="V309" s="152">
        <v>6</v>
      </c>
      <c r="W309" s="152">
        <v>135</v>
      </c>
      <c r="X309" s="152">
        <v>9</v>
      </c>
      <c r="Y309" s="152"/>
      <c r="Z309" s="152"/>
      <c r="AA309" s="152">
        <v>9</v>
      </c>
      <c r="AB309" s="152">
        <v>1</v>
      </c>
      <c r="AC309" s="152"/>
      <c r="AD309" s="152"/>
      <c r="AE309" s="152"/>
      <c r="AF309" s="152">
        <v>1</v>
      </c>
      <c r="AG309" s="152">
        <v>10</v>
      </c>
      <c r="AH309" s="152">
        <v>1</v>
      </c>
      <c r="AI309" s="152"/>
      <c r="AJ309" s="152"/>
      <c r="AK309" s="152">
        <v>1</v>
      </c>
      <c r="AL309" s="152"/>
      <c r="AM309" s="152"/>
      <c r="AN309" s="152"/>
      <c r="AO309" s="152"/>
      <c r="AP309" s="152">
        <v>0</v>
      </c>
      <c r="AQ309" s="152">
        <v>1</v>
      </c>
      <c r="AR309" s="152">
        <v>10</v>
      </c>
      <c r="AS309" s="152"/>
      <c r="AT309" s="152"/>
      <c r="AU309" s="152">
        <v>10</v>
      </c>
      <c r="AV309" s="152">
        <v>4</v>
      </c>
      <c r="AW309" s="152"/>
      <c r="AX309" s="152"/>
      <c r="AY309" s="152"/>
      <c r="AZ309" s="152">
        <v>4</v>
      </c>
      <c r="BA309" s="152">
        <v>14</v>
      </c>
      <c r="BB309" s="152">
        <v>44</v>
      </c>
      <c r="BC309" s="152"/>
      <c r="BD309" s="152">
        <v>44</v>
      </c>
      <c r="BE309" s="152">
        <v>3</v>
      </c>
      <c r="BF309" s="152"/>
      <c r="BG309" s="152"/>
      <c r="BH309" s="152"/>
      <c r="BI309" s="152">
        <v>3</v>
      </c>
      <c r="BJ309" s="152">
        <v>47</v>
      </c>
      <c r="BK309" s="152"/>
      <c r="BL309" s="152"/>
      <c r="BM309" s="152"/>
      <c r="BN309" s="152">
        <v>0</v>
      </c>
      <c r="BO309" s="152">
        <v>0</v>
      </c>
      <c r="BP309" s="152">
        <v>767</v>
      </c>
    </row>
    <row r="310" spans="1:68" x14ac:dyDescent="0.35">
      <c r="A310" s="146" t="s">
        <v>862</v>
      </c>
      <c r="B310" s="146" t="s">
        <v>863</v>
      </c>
      <c r="C310" s="152">
        <v>1</v>
      </c>
      <c r="D310" s="152"/>
      <c r="E310" s="152"/>
      <c r="F310" s="152"/>
      <c r="G310" s="152">
        <v>1</v>
      </c>
      <c r="H310" s="152">
        <v>2</v>
      </c>
      <c r="I310" s="152">
        <v>1</v>
      </c>
      <c r="J310" s="152"/>
      <c r="K310" s="152"/>
      <c r="L310" s="152">
        <v>3</v>
      </c>
      <c r="M310" s="152">
        <v>4</v>
      </c>
      <c r="N310" s="152">
        <v>1</v>
      </c>
      <c r="O310" s="152"/>
      <c r="P310" s="152"/>
      <c r="Q310" s="152">
        <v>1</v>
      </c>
      <c r="R310" s="152"/>
      <c r="S310" s="152"/>
      <c r="T310" s="152"/>
      <c r="U310" s="152"/>
      <c r="V310" s="152">
        <v>0</v>
      </c>
      <c r="W310" s="152">
        <v>1</v>
      </c>
      <c r="X310" s="152"/>
      <c r="Y310" s="152"/>
      <c r="Z310" s="152"/>
      <c r="AA310" s="152">
        <v>0</v>
      </c>
      <c r="AB310" s="152">
        <v>1</v>
      </c>
      <c r="AC310" s="152"/>
      <c r="AD310" s="152"/>
      <c r="AE310" s="152"/>
      <c r="AF310" s="152">
        <v>1</v>
      </c>
      <c r="AG310" s="152">
        <v>1</v>
      </c>
      <c r="AH310" s="152"/>
      <c r="AI310" s="152"/>
      <c r="AJ310" s="152"/>
      <c r="AK310" s="152">
        <v>0</v>
      </c>
      <c r="AL310" s="152"/>
      <c r="AM310" s="152"/>
      <c r="AN310" s="152"/>
      <c r="AO310" s="152"/>
      <c r="AP310" s="152">
        <v>0</v>
      </c>
      <c r="AQ310" s="152">
        <v>0</v>
      </c>
      <c r="AR310" s="152"/>
      <c r="AS310" s="152"/>
      <c r="AT310" s="152"/>
      <c r="AU310" s="152">
        <v>0</v>
      </c>
      <c r="AV310" s="152"/>
      <c r="AW310" s="152"/>
      <c r="AX310" s="152"/>
      <c r="AY310" s="152"/>
      <c r="AZ310" s="152">
        <v>0</v>
      </c>
      <c r="BA310" s="152">
        <v>0</v>
      </c>
      <c r="BB310" s="152"/>
      <c r="BC310" s="152"/>
      <c r="BD310" s="152">
        <v>0</v>
      </c>
      <c r="BE310" s="152"/>
      <c r="BF310" s="152"/>
      <c r="BG310" s="152"/>
      <c r="BH310" s="152"/>
      <c r="BI310" s="152">
        <v>0</v>
      </c>
      <c r="BJ310" s="152">
        <v>0</v>
      </c>
      <c r="BK310" s="152"/>
      <c r="BL310" s="152"/>
      <c r="BM310" s="152"/>
      <c r="BN310" s="152">
        <v>0</v>
      </c>
      <c r="BO310" s="152">
        <v>0</v>
      </c>
      <c r="BP310" s="152">
        <v>6</v>
      </c>
    </row>
    <row r="311" spans="1:68" x14ac:dyDescent="0.35">
      <c r="A311" s="146" t="s">
        <v>864</v>
      </c>
      <c r="B311" s="146" t="s">
        <v>1248</v>
      </c>
      <c r="C311" s="152">
        <v>137</v>
      </c>
      <c r="D311" s="152">
        <v>2</v>
      </c>
      <c r="E311" s="152"/>
      <c r="F311" s="152"/>
      <c r="G311" s="152">
        <v>139</v>
      </c>
      <c r="H311" s="152">
        <v>16</v>
      </c>
      <c r="I311" s="152">
        <v>9</v>
      </c>
      <c r="J311" s="152">
        <v>2</v>
      </c>
      <c r="K311" s="152"/>
      <c r="L311" s="152">
        <v>27</v>
      </c>
      <c r="M311" s="152">
        <v>166</v>
      </c>
      <c r="N311" s="152">
        <v>10</v>
      </c>
      <c r="O311" s="152"/>
      <c r="P311" s="152"/>
      <c r="Q311" s="152">
        <v>10</v>
      </c>
      <c r="R311" s="152"/>
      <c r="S311" s="152"/>
      <c r="T311" s="152"/>
      <c r="U311" s="152"/>
      <c r="V311" s="152">
        <v>0</v>
      </c>
      <c r="W311" s="152">
        <v>10</v>
      </c>
      <c r="X311" s="152">
        <v>14</v>
      </c>
      <c r="Y311" s="152"/>
      <c r="Z311" s="152"/>
      <c r="AA311" s="152">
        <v>14</v>
      </c>
      <c r="AB311" s="152"/>
      <c r="AC311" s="152"/>
      <c r="AD311" s="152"/>
      <c r="AE311" s="152"/>
      <c r="AF311" s="152">
        <v>0</v>
      </c>
      <c r="AG311" s="152">
        <v>14</v>
      </c>
      <c r="AH311" s="152">
        <v>21</v>
      </c>
      <c r="AI311" s="152"/>
      <c r="AJ311" s="152"/>
      <c r="AK311" s="152">
        <v>21</v>
      </c>
      <c r="AL311" s="152"/>
      <c r="AM311" s="152"/>
      <c r="AN311" s="152"/>
      <c r="AO311" s="152"/>
      <c r="AP311" s="152">
        <v>0</v>
      </c>
      <c r="AQ311" s="152">
        <v>21</v>
      </c>
      <c r="AR311" s="152">
        <v>5</v>
      </c>
      <c r="AS311" s="152"/>
      <c r="AT311" s="152"/>
      <c r="AU311" s="152">
        <v>5</v>
      </c>
      <c r="AV311" s="152">
        <v>4</v>
      </c>
      <c r="AW311" s="152">
        <v>2</v>
      </c>
      <c r="AX311" s="152"/>
      <c r="AY311" s="152"/>
      <c r="AZ311" s="152">
        <v>6</v>
      </c>
      <c r="BA311" s="152">
        <v>11</v>
      </c>
      <c r="BB311" s="152">
        <v>1</v>
      </c>
      <c r="BC311" s="152"/>
      <c r="BD311" s="152">
        <v>1</v>
      </c>
      <c r="BE311" s="152"/>
      <c r="BF311" s="152"/>
      <c r="BG311" s="152"/>
      <c r="BH311" s="152"/>
      <c r="BI311" s="152">
        <v>0</v>
      </c>
      <c r="BJ311" s="152">
        <v>1</v>
      </c>
      <c r="BK311" s="152"/>
      <c r="BL311" s="152"/>
      <c r="BM311" s="152"/>
      <c r="BN311" s="152">
        <v>0</v>
      </c>
      <c r="BO311" s="152">
        <v>0</v>
      </c>
      <c r="BP311" s="152">
        <v>223</v>
      </c>
    </row>
    <row r="312" spans="1:68" x14ac:dyDescent="0.35">
      <c r="A312" s="146" t="s">
        <v>865</v>
      </c>
      <c r="B312" s="146" t="s">
        <v>866</v>
      </c>
      <c r="C312" s="152">
        <v>50</v>
      </c>
      <c r="D312" s="152">
        <v>1</v>
      </c>
      <c r="E312" s="152"/>
      <c r="F312" s="152"/>
      <c r="G312" s="152">
        <v>51</v>
      </c>
      <c r="H312" s="152">
        <v>4</v>
      </c>
      <c r="I312" s="152">
        <v>4</v>
      </c>
      <c r="J312" s="152"/>
      <c r="K312" s="152"/>
      <c r="L312" s="152">
        <v>8</v>
      </c>
      <c r="M312" s="152">
        <v>59</v>
      </c>
      <c r="N312" s="152">
        <v>5</v>
      </c>
      <c r="O312" s="152"/>
      <c r="P312" s="152"/>
      <c r="Q312" s="152">
        <v>5</v>
      </c>
      <c r="R312" s="152"/>
      <c r="S312" s="152"/>
      <c r="T312" s="152"/>
      <c r="U312" s="152"/>
      <c r="V312" s="152">
        <v>0</v>
      </c>
      <c r="W312" s="152">
        <v>5</v>
      </c>
      <c r="X312" s="152">
        <v>4</v>
      </c>
      <c r="Y312" s="152"/>
      <c r="Z312" s="152"/>
      <c r="AA312" s="152">
        <v>4</v>
      </c>
      <c r="AB312" s="152"/>
      <c r="AC312" s="152"/>
      <c r="AD312" s="152"/>
      <c r="AE312" s="152"/>
      <c r="AF312" s="152">
        <v>0</v>
      </c>
      <c r="AG312" s="152">
        <v>4</v>
      </c>
      <c r="AH312" s="152"/>
      <c r="AI312" s="152"/>
      <c r="AJ312" s="152"/>
      <c r="AK312" s="152">
        <v>0</v>
      </c>
      <c r="AL312" s="152"/>
      <c r="AM312" s="152"/>
      <c r="AN312" s="152"/>
      <c r="AO312" s="152"/>
      <c r="AP312" s="152">
        <v>0</v>
      </c>
      <c r="AQ312" s="152">
        <v>0</v>
      </c>
      <c r="AR312" s="152"/>
      <c r="AS312" s="152"/>
      <c r="AT312" s="152"/>
      <c r="AU312" s="152">
        <v>0</v>
      </c>
      <c r="AV312" s="152"/>
      <c r="AW312" s="152"/>
      <c r="AX312" s="152"/>
      <c r="AY312" s="152"/>
      <c r="AZ312" s="152">
        <v>0</v>
      </c>
      <c r="BA312" s="152">
        <v>0</v>
      </c>
      <c r="BB312" s="152">
        <v>4</v>
      </c>
      <c r="BC312" s="152"/>
      <c r="BD312" s="152">
        <v>4</v>
      </c>
      <c r="BE312" s="152"/>
      <c r="BF312" s="152"/>
      <c r="BG312" s="152"/>
      <c r="BH312" s="152"/>
      <c r="BI312" s="152">
        <v>0</v>
      </c>
      <c r="BJ312" s="152">
        <v>4</v>
      </c>
      <c r="BK312" s="152"/>
      <c r="BL312" s="152"/>
      <c r="BM312" s="152"/>
      <c r="BN312" s="152">
        <v>0</v>
      </c>
      <c r="BO312" s="152">
        <v>0</v>
      </c>
      <c r="BP312" s="152">
        <v>72</v>
      </c>
    </row>
    <row r="313" spans="1:68" x14ac:dyDescent="0.35">
      <c r="A313" s="146" t="s">
        <v>867</v>
      </c>
      <c r="B313" s="146" t="s">
        <v>868</v>
      </c>
      <c r="C313" s="152">
        <v>2491</v>
      </c>
      <c r="D313" s="152">
        <v>4</v>
      </c>
      <c r="E313" s="152">
        <v>1</v>
      </c>
      <c r="F313" s="152"/>
      <c r="G313" s="152">
        <v>2496</v>
      </c>
      <c r="H313" s="152">
        <v>714</v>
      </c>
      <c r="I313" s="152">
        <v>117</v>
      </c>
      <c r="J313" s="152">
        <v>11</v>
      </c>
      <c r="K313" s="152">
        <v>1</v>
      </c>
      <c r="L313" s="152">
        <v>843</v>
      </c>
      <c r="M313" s="152">
        <v>3339</v>
      </c>
      <c r="N313" s="152">
        <v>384</v>
      </c>
      <c r="O313" s="152"/>
      <c r="P313" s="152"/>
      <c r="Q313" s="152">
        <v>384</v>
      </c>
      <c r="R313" s="152">
        <v>23</v>
      </c>
      <c r="S313" s="152"/>
      <c r="T313" s="152"/>
      <c r="U313" s="152"/>
      <c r="V313" s="152">
        <v>23</v>
      </c>
      <c r="W313" s="152">
        <v>407</v>
      </c>
      <c r="X313" s="152">
        <v>272</v>
      </c>
      <c r="Y313" s="152"/>
      <c r="Z313" s="152"/>
      <c r="AA313" s="152">
        <v>272</v>
      </c>
      <c r="AB313" s="152">
        <v>12</v>
      </c>
      <c r="AC313" s="152">
        <v>1</v>
      </c>
      <c r="AD313" s="152"/>
      <c r="AE313" s="152"/>
      <c r="AF313" s="152">
        <v>13</v>
      </c>
      <c r="AG313" s="152">
        <v>285</v>
      </c>
      <c r="AH313" s="152">
        <v>102</v>
      </c>
      <c r="AI313" s="152"/>
      <c r="AJ313" s="152"/>
      <c r="AK313" s="152">
        <v>102</v>
      </c>
      <c r="AL313" s="152">
        <v>7</v>
      </c>
      <c r="AM313" s="152"/>
      <c r="AN313" s="152"/>
      <c r="AO313" s="152"/>
      <c r="AP313" s="152">
        <v>7</v>
      </c>
      <c r="AQ313" s="152">
        <v>109</v>
      </c>
      <c r="AR313" s="152">
        <v>589</v>
      </c>
      <c r="AS313" s="152">
        <v>1</v>
      </c>
      <c r="AT313" s="152"/>
      <c r="AU313" s="152">
        <v>590</v>
      </c>
      <c r="AV313" s="152">
        <v>58</v>
      </c>
      <c r="AW313" s="152">
        <v>1</v>
      </c>
      <c r="AX313" s="152"/>
      <c r="AY313" s="152"/>
      <c r="AZ313" s="152">
        <v>59</v>
      </c>
      <c r="BA313" s="152">
        <v>649</v>
      </c>
      <c r="BB313" s="152">
        <v>222</v>
      </c>
      <c r="BC313" s="152"/>
      <c r="BD313" s="152">
        <v>222</v>
      </c>
      <c r="BE313" s="152">
        <v>16</v>
      </c>
      <c r="BF313" s="152">
        <v>1</v>
      </c>
      <c r="BG313" s="152"/>
      <c r="BH313" s="152"/>
      <c r="BI313" s="152">
        <v>17</v>
      </c>
      <c r="BJ313" s="152">
        <v>239</v>
      </c>
      <c r="BK313" s="152"/>
      <c r="BL313" s="152"/>
      <c r="BM313" s="152"/>
      <c r="BN313" s="152">
        <v>0</v>
      </c>
      <c r="BO313" s="152">
        <v>0</v>
      </c>
      <c r="BP313" s="152">
        <v>5028</v>
      </c>
    </row>
    <row r="314" spans="1:68" x14ac:dyDescent="0.35">
      <c r="A314" s="146" t="s">
        <v>869</v>
      </c>
      <c r="B314" s="146" t="s">
        <v>870</v>
      </c>
      <c r="C314" s="152">
        <v>251</v>
      </c>
      <c r="D314" s="152">
        <v>2</v>
      </c>
      <c r="E314" s="152"/>
      <c r="F314" s="152"/>
      <c r="G314" s="152">
        <v>253</v>
      </c>
      <c r="H314" s="152">
        <v>72</v>
      </c>
      <c r="I314" s="152">
        <v>14</v>
      </c>
      <c r="J314" s="152">
        <v>4</v>
      </c>
      <c r="K314" s="152">
        <v>1</v>
      </c>
      <c r="L314" s="152">
        <v>91</v>
      </c>
      <c r="M314" s="152">
        <v>344</v>
      </c>
      <c r="N314" s="152">
        <v>15</v>
      </c>
      <c r="O314" s="152"/>
      <c r="P314" s="152"/>
      <c r="Q314" s="152">
        <v>15</v>
      </c>
      <c r="R314" s="152">
        <v>1</v>
      </c>
      <c r="S314" s="152"/>
      <c r="T314" s="152"/>
      <c r="U314" s="152"/>
      <c r="V314" s="152">
        <v>1</v>
      </c>
      <c r="W314" s="152">
        <v>16</v>
      </c>
      <c r="X314" s="152">
        <v>9</v>
      </c>
      <c r="Y314" s="152"/>
      <c r="Z314" s="152"/>
      <c r="AA314" s="152">
        <v>9</v>
      </c>
      <c r="AB314" s="152"/>
      <c r="AC314" s="152">
        <v>1</v>
      </c>
      <c r="AD314" s="152"/>
      <c r="AE314" s="152"/>
      <c r="AF314" s="152">
        <v>1</v>
      </c>
      <c r="AG314" s="152">
        <v>10</v>
      </c>
      <c r="AH314" s="152">
        <v>6</v>
      </c>
      <c r="AI314" s="152"/>
      <c r="AJ314" s="152"/>
      <c r="AK314" s="152">
        <v>6</v>
      </c>
      <c r="AL314" s="152"/>
      <c r="AM314" s="152"/>
      <c r="AN314" s="152"/>
      <c r="AO314" s="152"/>
      <c r="AP314" s="152">
        <v>0</v>
      </c>
      <c r="AQ314" s="152">
        <v>6</v>
      </c>
      <c r="AR314" s="152">
        <v>47</v>
      </c>
      <c r="AS314" s="152"/>
      <c r="AT314" s="152"/>
      <c r="AU314" s="152">
        <v>47</v>
      </c>
      <c r="AV314" s="152">
        <v>9</v>
      </c>
      <c r="AW314" s="152"/>
      <c r="AX314" s="152"/>
      <c r="AY314" s="152"/>
      <c r="AZ314" s="152">
        <v>9</v>
      </c>
      <c r="BA314" s="152">
        <v>56</v>
      </c>
      <c r="BB314" s="152">
        <v>6</v>
      </c>
      <c r="BC314" s="152"/>
      <c r="BD314" s="152">
        <v>6</v>
      </c>
      <c r="BE314" s="152"/>
      <c r="BF314" s="152"/>
      <c r="BG314" s="152"/>
      <c r="BH314" s="152"/>
      <c r="BI314" s="152">
        <v>0</v>
      </c>
      <c r="BJ314" s="152">
        <v>6</v>
      </c>
      <c r="BK314" s="152"/>
      <c r="BL314" s="152"/>
      <c r="BM314" s="152"/>
      <c r="BN314" s="152">
        <v>0</v>
      </c>
      <c r="BO314" s="152">
        <v>0</v>
      </c>
      <c r="BP314" s="152">
        <v>438</v>
      </c>
    </row>
    <row r="315" spans="1:68" x14ac:dyDescent="0.35">
      <c r="A315" s="146" t="s">
        <v>871</v>
      </c>
      <c r="B315" s="146" t="s">
        <v>872</v>
      </c>
      <c r="C315" s="152">
        <v>951</v>
      </c>
      <c r="D315" s="152">
        <v>2</v>
      </c>
      <c r="E315" s="152"/>
      <c r="F315" s="152"/>
      <c r="G315" s="152">
        <v>953</v>
      </c>
      <c r="H315" s="152">
        <v>106</v>
      </c>
      <c r="I315" s="152">
        <v>8</v>
      </c>
      <c r="J315" s="152"/>
      <c r="K315" s="152"/>
      <c r="L315" s="152">
        <v>114</v>
      </c>
      <c r="M315" s="152">
        <v>1067</v>
      </c>
      <c r="N315" s="152">
        <v>297</v>
      </c>
      <c r="O315" s="152"/>
      <c r="P315" s="152"/>
      <c r="Q315" s="152">
        <v>297</v>
      </c>
      <c r="R315" s="152">
        <v>7</v>
      </c>
      <c r="S315" s="152"/>
      <c r="T315" s="152"/>
      <c r="U315" s="152"/>
      <c r="V315" s="152">
        <v>7</v>
      </c>
      <c r="W315" s="152">
        <v>304</v>
      </c>
      <c r="X315" s="152">
        <v>384</v>
      </c>
      <c r="Y315" s="152"/>
      <c r="Z315" s="152"/>
      <c r="AA315" s="152">
        <v>384</v>
      </c>
      <c r="AB315" s="152">
        <v>1</v>
      </c>
      <c r="AC315" s="152"/>
      <c r="AD315" s="152"/>
      <c r="AE315" s="152"/>
      <c r="AF315" s="152">
        <v>1</v>
      </c>
      <c r="AG315" s="152">
        <v>385</v>
      </c>
      <c r="AH315" s="152">
        <v>32</v>
      </c>
      <c r="AI315" s="152"/>
      <c r="AJ315" s="152"/>
      <c r="AK315" s="152">
        <v>32</v>
      </c>
      <c r="AL315" s="152"/>
      <c r="AM315" s="152"/>
      <c r="AN315" s="152"/>
      <c r="AO315" s="152"/>
      <c r="AP315" s="152">
        <v>0</v>
      </c>
      <c r="AQ315" s="152">
        <v>32</v>
      </c>
      <c r="AR315" s="152">
        <v>216</v>
      </c>
      <c r="AS315" s="152"/>
      <c r="AT315" s="152"/>
      <c r="AU315" s="152">
        <v>216</v>
      </c>
      <c r="AV315" s="152">
        <v>1</v>
      </c>
      <c r="AW315" s="152"/>
      <c r="AX315" s="152"/>
      <c r="AY315" s="152"/>
      <c r="AZ315" s="152">
        <v>1</v>
      </c>
      <c r="BA315" s="152">
        <v>217</v>
      </c>
      <c r="BB315" s="152">
        <v>88</v>
      </c>
      <c r="BC315" s="152"/>
      <c r="BD315" s="152">
        <v>88</v>
      </c>
      <c r="BE315" s="152">
        <v>2</v>
      </c>
      <c r="BF315" s="152"/>
      <c r="BG315" s="152"/>
      <c r="BH315" s="152"/>
      <c r="BI315" s="152">
        <v>2</v>
      </c>
      <c r="BJ315" s="152">
        <v>90</v>
      </c>
      <c r="BK315" s="152"/>
      <c r="BL315" s="152"/>
      <c r="BM315" s="152"/>
      <c r="BN315" s="152">
        <v>0</v>
      </c>
      <c r="BO315" s="152">
        <v>0</v>
      </c>
      <c r="BP315" s="152">
        <v>2095</v>
      </c>
    </row>
    <row r="316" spans="1:68" x14ac:dyDescent="0.35">
      <c r="A316" s="146" t="s">
        <v>873</v>
      </c>
      <c r="B316" s="146" t="s">
        <v>874</v>
      </c>
      <c r="C316" s="152">
        <v>1241</v>
      </c>
      <c r="D316" s="152">
        <v>1</v>
      </c>
      <c r="E316" s="152">
        <v>1</v>
      </c>
      <c r="F316" s="152"/>
      <c r="G316" s="152">
        <v>1243</v>
      </c>
      <c r="H316" s="152">
        <v>104</v>
      </c>
      <c r="I316" s="152">
        <v>6</v>
      </c>
      <c r="J316" s="152">
        <v>1</v>
      </c>
      <c r="K316" s="152"/>
      <c r="L316" s="152">
        <v>111</v>
      </c>
      <c r="M316" s="152">
        <v>1354</v>
      </c>
      <c r="N316" s="152">
        <v>238</v>
      </c>
      <c r="O316" s="152"/>
      <c r="P316" s="152"/>
      <c r="Q316" s="152">
        <v>238</v>
      </c>
      <c r="R316" s="152">
        <v>2</v>
      </c>
      <c r="S316" s="152"/>
      <c r="T316" s="152"/>
      <c r="U316" s="152"/>
      <c r="V316" s="152">
        <v>2</v>
      </c>
      <c r="W316" s="152">
        <v>240</v>
      </c>
      <c r="X316" s="152">
        <v>144</v>
      </c>
      <c r="Y316" s="152">
        <v>1</v>
      </c>
      <c r="Z316" s="152"/>
      <c r="AA316" s="152">
        <v>145</v>
      </c>
      <c r="AB316" s="152"/>
      <c r="AC316" s="152"/>
      <c r="AD316" s="152"/>
      <c r="AE316" s="152"/>
      <c r="AF316" s="152">
        <v>0</v>
      </c>
      <c r="AG316" s="152">
        <v>145</v>
      </c>
      <c r="AH316" s="152">
        <v>38</v>
      </c>
      <c r="AI316" s="152"/>
      <c r="AJ316" s="152"/>
      <c r="AK316" s="152">
        <v>38</v>
      </c>
      <c r="AL316" s="152">
        <v>1</v>
      </c>
      <c r="AM316" s="152"/>
      <c r="AN316" s="152"/>
      <c r="AO316" s="152"/>
      <c r="AP316" s="152">
        <v>1</v>
      </c>
      <c r="AQ316" s="152">
        <v>39</v>
      </c>
      <c r="AR316" s="152">
        <v>414</v>
      </c>
      <c r="AS316" s="152"/>
      <c r="AT316" s="152"/>
      <c r="AU316" s="152">
        <v>414</v>
      </c>
      <c r="AV316" s="152">
        <v>9</v>
      </c>
      <c r="AW316" s="152"/>
      <c r="AX316" s="152"/>
      <c r="AY316" s="152"/>
      <c r="AZ316" s="152">
        <v>9</v>
      </c>
      <c r="BA316" s="152">
        <v>423</v>
      </c>
      <c r="BB316" s="152">
        <v>202</v>
      </c>
      <c r="BC316" s="152"/>
      <c r="BD316" s="152">
        <v>202</v>
      </c>
      <c r="BE316" s="152">
        <v>2</v>
      </c>
      <c r="BF316" s="152"/>
      <c r="BG316" s="152"/>
      <c r="BH316" s="152"/>
      <c r="BI316" s="152">
        <v>2</v>
      </c>
      <c r="BJ316" s="152">
        <v>204</v>
      </c>
      <c r="BK316" s="152"/>
      <c r="BL316" s="152"/>
      <c r="BM316" s="152"/>
      <c r="BN316" s="152">
        <v>0</v>
      </c>
      <c r="BO316" s="152">
        <v>0</v>
      </c>
      <c r="BP316" s="152">
        <v>2405</v>
      </c>
    </row>
    <row r="317" spans="1:68" x14ac:dyDescent="0.35">
      <c r="A317" s="146" t="s">
        <v>875</v>
      </c>
      <c r="B317" s="146" t="s">
        <v>876</v>
      </c>
      <c r="C317" s="152">
        <v>143</v>
      </c>
      <c r="D317" s="152">
        <v>1</v>
      </c>
      <c r="E317" s="152"/>
      <c r="F317" s="152"/>
      <c r="G317" s="152">
        <v>144</v>
      </c>
      <c r="H317" s="152">
        <v>81</v>
      </c>
      <c r="I317" s="152">
        <v>8</v>
      </c>
      <c r="J317" s="152">
        <v>1</v>
      </c>
      <c r="K317" s="152"/>
      <c r="L317" s="152">
        <v>90</v>
      </c>
      <c r="M317" s="152">
        <v>234</v>
      </c>
      <c r="N317" s="152">
        <v>8</v>
      </c>
      <c r="O317" s="152"/>
      <c r="P317" s="152"/>
      <c r="Q317" s="152">
        <v>8</v>
      </c>
      <c r="R317" s="152">
        <v>3</v>
      </c>
      <c r="S317" s="152"/>
      <c r="T317" s="152"/>
      <c r="U317" s="152"/>
      <c r="V317" s="152">
        <v>3</v>
      </c>
      <c r="W317" s="152">
        <v>11</v>
      </c>
      <c r="X317" s="152">
        <v>6</v>
      </c>
      <c r="Y317" s="152"/>
      <c r="Z317" s="152"/>
      <c r="AA317" s="152">
        <v>6</v>
      </c>
      <c r="AB317" s="152"/>
      <c r="AC317" s="152"/>
      <c r="AD317" s="152"/>
      <c r="AE317" s="152"/>
      <c r="AF317" s="152">
        <v>0</v>
      </c>
      <c r="AG317" s="152">
        <v>6</v>
      </c>
      <c r="AH317" s="152">
        <v>8</v>
      </c>
      <c r="AI317" s="152"/>
      <c r="AJ317" s="152"/>
      <c r="AK317" s="152">
        <v>8</v>
      </c>
      <c r="AL317" s="152"/>
      <c r="AM317" s="152"/>
      <c r="AN317" s="152"/>
      <c r="AO317" s="152"/>
      <c r="AP317" s="152">
        <v>0</v>
      </c>
      <c r="AQ317" s="152">
        <v>8</v>
      </c>
      <c r="AR317" s="152">
        <v>47</v>
      </c>
      <c r="AS317" s="152"/>
      <c r="AT317" s="152"/>
      <c r="AU317" s="152">
        <v>47</v>
      </c>
      <c r="AV317" s="152">
        <v>3</v>
      </c>
      <c r="AW317" s="152"/>
      <c r="AX317" s="152"/>
      <c r="AY317" s="152"/>
      <c r="AZ317" s="152">
        <v>3</v>
      </c>
      <c r="BA317" s="152">
        <v>50</v>
      </c>
      <c r="BB317" s="152">
        <v>14</v>
      </c>
      <c r="BC317" s="152"/>
      <c r="BD317" s="152">
        <v>14</v>
      </c>
      <c r="BE317" s="152">
        <v>4</v>
      </c>
      <c r="BF317" s="152"/>
      <c r="BG317" s="152"/>
      <c r="BH317" s="152"/>
      <c r="BI317" s="152">
        <v>4</v>
      </c>
      <c r="BJ317" s="152">
        <v>18</v>
      </c>
      <c r="BK317" s="152"/>
      <c r="BL317" s="152"/>
      <c r="BM317" s="152"/>
      <c r="BN317" s="152">
        <v>0</v>
      </c>
      <c r="BO317" s="152">
        <v>0</v>
      </c>
      <c r="BP317" s="152">
        <v>327</v>
      </c>
    </row>
    <row r="318" spans="1:68" x14ac:dyDescent="0.35">
      <c r="A318" s="146" t="s">
        <v>877</v>
      </c>
      <c r="B318" s="146" t="s">
        <v>878</v>
      </c>
      <c r="C318" s="152">
        <v>45</v>
      </c>
      <c r="D318" s="152"/>
      <c r="E318" s="152"/>
      <c r="F318" s="152"/>
      <c r="G318" s="152">
        <v>45</v>
      </c>
      <c r="H318" s="152">
        <v>34</v>
      </c>
      <c r="I318" s="152">
        <v>3</v>
      </c>
      <c r="J318" s="152"/>
      <c r="K318" s="152">
        <v>1</v>
      </c>
      <c r="L318" s="152">
        <v>38</v>
      </c>
      <c r="M318" s="152">
        <v>83</v>
      </c>
      <c r="N318" s="152">
        <v>3</v>
      </c>
      <c r="O318" s="152"/>
      <c r="P318" s="152"/>
      <c r="Q318" s="152">
        <v>3</v>
      </c>
      <c r="R318" s="152">
        <v>1</v>
      </c>
      <c r="S318" s="152"/>
      <c r="T318" s="152"/>
      <c r="U318" s="152"/>
      <c r="V318" s="152">
        <v>1</v>
      </c>
      <c r="W318" s="152">
        <v>4</v>
      </c>
      <c r="X318" s="152"/>
      <c r="Y318" s="152"/>
      <c r="Z318" s="152"/>
      <c r="AA318" s="152">
        <v>0</v>
      </c>
      <c r="AB318" s="152">
        <v>1</v>
      </c>
      <c r="AC318" s="152"/>
      <c r="AD318" s="152"/>
      <c r="AE318" s="152"/>
      <c r="AF318" s="152">
        <v>1</v>
      </c>
      <c r="AG318" s="152">
        <v>1</v>
      </c>
      <c r="AH318" s="152">
        <v>5</v>
      </c>
      <c r="AI318" s="152"/>
      <c r="AJ318" s="152"/>
      <c r="AK318" s="152">
        <v>5</v>
      </c>
      <c r="AL318" s="152"/>
      <c r="AM318" s="152"/>
      <c r="AN318" s="152"/>
      <c r="AO318" s="152"/>
      <c r="AP318" s="152">
        <v>0</v>
      </c>
      <c r="AQ318" s="152">
        <v>5</v>
      </c>
      <c r="AR318" s="152">
        <v>12</v>
      </c>
      <c r="AS318" s="152"/>
      <c r="AT318" s="152"/>
      <c r="AU318" s="152">
        <v>12</v>
      </c>
      <c r="AV318" s="152">
        <v>1</v>
      </c>
      <c r="AW318" s="152"/>
      <c r="AX318" s="152"/>
      <c r="AY318" s="152"/>
      <c r="AZ318" s="152">
        <v>1</v>
      </c>
      <c r="BA318" s="152">
        <v>13</v>
      </c>
      <c r="BB318" s="152">
        <v>1</v>
      </c>
      <c r="BC318" s="152"/>
      <c r="BD318" s="152">
        <v>1</v>
      </c>
      <c r="BE318" s="152"/>
      <c r="BF318" s="152">
        <v>1</v>
      </c>
      <c r="BG318" s="152"/>
      <c r="BH318" s="152"/>
      <c r="BI318" s="152">
        <v>1</v>
      </c>
      <c r="BJ318" s="152">
        <v>2</v>
      </c>
      <c r="BK318" s="152"/>
      <c r="BL318" s="152"/>
      <c r="BM318" s="152"/>
      <c r="BN318" s="152">
        <v>0</v>
      </c>
      <c r="BO318" s="152">
        <v>0</v>
      </c>
      <c r="BP318" s="152">
        <v>108</v>
      </c>
    </row>
    <row r="319" spans="1:68" x14ac:dyDescent="0.35">
      <c r="A319" s="146" t="s">
        <v>879</v>
      </c>
      <c r="B319" s="146" t="s">
        <v>880</v>
      </c>
      <c r="C319" s="152">
        <v>2479</v>
      </c>
      <c r="D319" s="152">
        <v>2</v>
      </c>
      <c r="E319" s="152"/>
      <c r="F319" s="152"/>
      <c r="G319" s="152">
        <v>2481</v>
      </c>
      <c r="H319" s="152">
        <v>194</v>
      </c>
      <c r="I319" s="152">
        <v>20</v>
      </c>
      <c r="J319" s="152">
        <v>1</v>
      </c>
      <c r="K319" s="152"/>
      <c r="L319" s="152">
        <v>215</v>
      </c>
      <c r="M319" s="152">
        <v>2696</v>
      </c>
      <c r="N319" s="152">
        <v>847</v>
      </c>
      <c r="O319" s="152"/>
      <c r="P319" s="152"/>
      <c r="Q319" s="152">
        <v>847</v>
      </c>
      <c r="R319" s="152"/>
      <c r="S319" s="152"/>
      <c r="T319" s="152"/>
      <c r="U319" s="152"/>
      <c r="V319" s="152">
        <v>0</v>
      </c>
      <c r="W319" s="152">
        <v>847</v>
      </c>
      <c r="X319" s="152">
        <v>363</v>
      </c>
      <c r="Y319" s="152"/>
      <c r="Z319" s="152"/>
      <c r="AA319" s="152">
        <v>363</v>
      </c>
      <c r="AB319" s="152"/>
      <c r="AC319" s="152"/>
      <c r="AD319" s="152"/>
      <c r="AE319" s="152"/>
      <c r="AF319" s="152">
        <v>0</v>
      </c>
      <c r="AG319" s="152">
        <v>363</v>
      </c>
      <c r="AH319" s="152">
        <v>199</v>
      </c>
      <c r="AI319" s="152"/>
      <c r="AJ319" s="152"/>
      <c r="AK319" s="152">
        <v>199</v>
      </c>
      <c r="AL319" s="152"/>
      <c r="AM319" s="152"/>
      <c r="AN319" s="152"/>
      <c r="AO319" s="152"/>
      <c r="AP319" s="152">
        <v>0</v>
      </c>
      <c r="AQ319" s="152">
        <v>199</v>
      </c>
      <c r="AR319" s="152">
        <v>660</v>
      </c>
      <c r="AS319" s="152"/>
      <c r="AT319" s="152"/>
      <c r="AU319" s="152">
        <v>660</v>
      </c>
      <c r="AV319" s="152">
        <v>6</v>
      </c>
      <c r="AW319" s="152"/>
      <c r="AX319" s="152"/>
      <c r="AY319" s="152"/>
      <c r="AZ319" s="152">
        <v>6</v>
      </c>
      <c r="BA319" s="152">
        <v>666</v>
      </c>
      <c r="BB319" s="152">
        <v>371</v>
      </c>
      <c r="BC319" s="152"/>
      <c r="BD319" s="152">
        <v>371</v>
      </c>
      <c r="BE319" s="152">
        <v>2</v>
      </c>
      <c r="BF319" s="152"/>
      <c r="BG319" s="152"/>
      <c r="BH319" s="152"/>
      <c r="BI319" s="152">
        <v>2</v>
      </c>
      <c r="BJ319" s="152">
        <v>373</v>
      </c>
      <c r="BK319" s="152"/>
      <c r="BL319" s="152"/>
      <c r="BM319" s="152"/>
      <c r="BN319" s="152">
        <v>0</v>
      </c>
      <c r="BO319" s="152">
        <v>0</v>
      </c>
      <c r="BP319" s="152">
        <v>5144</v>
      </c>
    </row>
    <row r="320" spans="1:68" x14ac:dyDescent="0.35">
      <c r="A320" s="146" t="s">
        <v>881</v>
      </c>
      <c r="B320" s="146" t="s">
        <v>882</v>
      </c>
      <c r="C320" s="152">
        <v>11</v>
      </c>
      <c r="D320" s="152"/>
      <c r="E320" s="152"/>
      <c r="F320" s="152"/>
      <c r="G320" s="152">
        <v>11</v>
      </c>
      <c r="H320" s="152">
        <v>30</v>
      </c>
      <c r="I320" s="152">
        <v>6</v>
      </c>
      <c r="J320" s="152"/>
      <c r="K320" s="152"/>
      <c r="L320" s="152">
        <v>36</v>
      </c>
      <c r="M320" s="152">
        <v>47</v>
      </c>
      <c r="N320" s="152"/>
      <c r="O320" s="152"/>
      <c r="P320" s="152"/>
      <c r="Q320" s="152">
        <v>0</v>
      </c>
      <c r="R320" s="152"/>
      <c r="S320" s="152"/>
      <c r="T320" s="152"/>
      <c r="U320" s="152"/>
      <c r="V320" s="152">
        <v>0</v>
      </c>
      <c r="W320" s="152">
        <v>0</v>
      </c>
      <c r="X320" s="152"/>
      <c r="Y320" s="152"/>
      <c r="Z320" s="152"/>
      <c r="AA320" s="152">
        <v>0</v>
      </c>
      <c r="AB320" s="152"/>
      <c r="AC320" s="152"/>
      <c r="AD320" s="152"/>
      <c r="AE320" s="152"/>
      <c r="AF320" s="152">
        <v>0</v>
      </c>
      <c r="AG320" s="152">
        <v>0</v>
      </c>
      <c r="AH320" s="152"/>
      <c r="AI320" s="152"/>
      <c r="AJ320" s="152"/>
      <c r="AK320" s="152">
        <v>0</v>
      </c>
      <c r="AL320" s="152"/>
      <c r="AM320" s="152"/>
      <c r="AN320" s="152"/>
      <c r="AO320" s="152"/>
      <c r="AP320" s="152">
        <v>0</v>
      </c>
      <c r="AQ320" s="152">
        <v>0</v>
      </c>
      <c r="AR320" s="152">
        <v>1</v>
      </c>
      <c r="AS320" s="152"/>
      <c r="AT320" s="152"/>
      <c r="AU320" s="152">
        <v>1</v>
      </c>
      <c r="AV320" s="152">
        <v>2</v>
      </c>
      <c r="AW320" s="152"/>
      <c r="AX320" s="152"/>
      <c r="AY320" s="152"/>
      <c r="AZ320" s="152">
        <v>2</v>
      </c>
      <c r="BA320" s="152">
        <v>3</v>
      </c>
      <c r="BB320" s="152"/>
      <c r="BC320" s="152"/>
      <c r="BD320" s="152">
        <v>0</v>
      </c>
      <c r="BE320" s="152">
        <v>1</v>
      </c>
      <c r="BF320" s="152"/>
      <c r="BG320" s="152"/>
      <c r="BH320" s="152"/>
      <c r="BI320" s="152">
        <v>1</v>
      </c>
      <c r="BJ320" s="152">
        <v>1</v>
      </c>
      <c r="BK320" s="152"/>
      <c r="BL320" s="152"/>
      <c r="BM320" s="152"/>
      <c r="BN320" s="152">
        <v>0</v>
      </c>
      <c r="BO320" s="152">
        <v>0</v>
      </c>
      <c r="BP320" s="152">
        <v>51</v>
      </c>
    </row>
    <row r="321" spans="1:68" x14ac:dyDescent="0.35">
      <c r="A321" s="146" t="s">
        <v>883</v>
      </c>
      <c r="B321" s="146" t="s">
        <v>884</v>
      </c>
      <c r="C321" s="152">
        <v>9</v>
      </c>
      <c r="D321" s="152"/>
      <c r="E321" s="152"/>
      <c r="F321" s="152"/>
      <c r="G321" s="152">
        <v>9</v>
      </c>
      <c r="H321" s="152">
        <v>13</v>
      </c>
      <c r="I321" s="152">
        <v>5</v>
      </c>
      <c r="J321" s="152">
        <v>1</v>
      </c>
      <c r="K321" s="152">
        <v>1</v>
      </c>
      <c r="L321" s="152">
        <v>20</v>
      </c>
      <c r="M321" s="152">
        <v>29</v>
      </c>
      <c r="N321" s="152">
        <v>1</v>
      </c>
      <c r="O321" s="152"/>
      <c r="P321" s="152"/>
      <c r="Q321" s="152">
        <v>1</v>
      </c>
      <c r="R321" s="152"/>
      <c r="S321" s="152"/>
      <c r="T321" s="152"/>
      <c r="U321" s="152"/>
      <c r="V321" s="152">
        <v>0</v>
      </c>
      <c r="W321" s="152">
        <v>1</v>
      </c>
      <c r="X321" s="152"/>
      <c r="Y321" s="152"/>
      <c r="Z321" s="152"/>
      <c r="AA321" s="152">
        <v>0</v>
      </c>
      <c r="AB321" s="152"/>
      <c r="AC321" s="152"/>
      <c r="AD321" s="152"/>
      <c r="AE321" s="152"/>
      <c r="AF321" s="152">
        <v>0</v>
      </c>
      <c r="AG321" s="152">
        <v>0</v>
      </c>
      <c r="AH321" s="152"/>
      <c r="AI321" s="152"/>
      <c r="AJ321" s="152"/>
      <c r="AK321" s="152">
        <v>0</v>
      </c>
      <c r="AL321" s="152"/>
      <c r="AM321" s="152"/>
      <c r="AN321" s="152"/>
      <c r="AO321" s="152"/>
      <c r="AP321" s="152">
        <v>0</v>
      </c>
      <c r="AQ321" s="152">
        <v>0</v>
      </c>
      <c r="AR321" s="152">
        <v>2</v>
      </c>
      <c r="AS321" s="152"/>
      <c r="AT321" s="152"/>
      <c r="AU321" s="152">
        <v>2</v>
      </c>
      <c r="AV321" s="152"/>
      <c r="AW321" s="152"/>
      <c r="AX321" s="152"/>
      <c r="AY321" s="152"/>
      <c r="AZ321" s="152">
        <v>0</v>
      </c>
      <c r="BA321" s="152">
        <v>2</v>
      </c>
      <c r="BB321" s="152">
        <v>1</v>
      </c>
      <c r="BC321" s="152"/>
      <c r="BD321" s="152">
        <v>1</v>
      </c>
      <c r="BE321" s="152"/>
      <c r="BF321" s="152"/>
      <c r="BG321" s="152"/>
      <c r="BH321" s="152"/>
      <c r="BI321" s="152">
        <v>0</v>
      </c>
      <c r="BJ321" s="152">
        <v>1</v>
      </c>
      <c r="BK321" s="152"/>
      <c r="BL321" s="152"/>
      <c r="BM321" s="152"/>
      <c r="BN321" s="152">
        <v>0</v>
      </c>
      <c r="BO321" s="152">
        <v>0</v>
      </c>
      <c r="BP321" s="152">
        <v>33</v>
      </c>
    </row>
    <row r="322" spans="1:68" x14ac:dyDescent="0.35">
      <c r="A322" s="146" t="s">
        <v>885</v>
      </c>
      <c r="B322" s="146" t="s">
        <v>886</v>
      </c>
      <c r="C322" s="152">
        <v>15</v>
      </c>
      <c r="D322" s="152"/>
      <c r="E322" s="152"/>
      <c r="F322" s="152"/>
      <c r="G322" s="152">
        <v>15</v>
      </c>
      <c r="H322" s="152">
        <v>5</v>
      </c>
      <c r="I322" s="152">
        <v>3</v>
      </c>
      <c r="J322" s="152"/>
      <c r="K322" s="152"/>
      <c r="L322" s="152">
        <v>8</v>
      </c>
      <c r="M322" s="152">
        <v>23</v>
      </c>
      <c r="N322" s="152">
        <v>2</v>
      </c>
      <c r="O322" s="152"/>
      <c r="P322" s="152"/>
      <c r="Q322" s="152">
        <v>2</v>
      </c>
      <c r="R322" s="152"/>
      <c r="S322" s="152"/>
      <c r="T322" s="152"/>
      <c r="U322" s="152"/>
      <c r="V322" s="152">
        <v>0</v>
      </c>
      <c r="W322" s="152">
        <v>2</v>
      </c>
      <c r="X322" s="152">
        <v>3</v>
      </c>
      <c r="Y322" s="152"/>
      <c r="Z322" s="152"/>
      <c r="AA322" s="152">
        <v>3</v>
      </c>
      <c r="AB322" s="152"/>
      <c r="AC322" s="152"/>
      <c r="AD322" s="152"/>
      <c r="AE322" s="152"/>
      <c r="AF322" s="152">
        <v>0</v>
      </c>
      <c r="AG322" s="152">
        <v>3</v>
      </c>
      <c r="AH322" s="152">
        <v>2</v>
      </c>
      <c r="AI322" s="152"/>
      <c r="AJ322" s="152"/>
      <c r="AK322" s="152">
        <v>2</v>
      </c>
      <c r="AL322" s="152"/>
      <c r="AM322" s="152"/>
      <c r="AN322" s="152"/>
      <c r="AO322" s="152"/>
      <c r="AP322" s="152">
        <v>0</v>
      </c>
      <c r="AQ322" s="152">
        <v>2</v>
      </c>
      <c r="AR322" s="152">
        <v>3</v>
      </c>
      <c r="AS322" s="152"/>
      <c r="AT322" s="152"/>
      <c r="AU322" s="152">
        <v>3</v>
      </c>
      <c r="AV322" s="152"/>
      <c r="AW322" s="152"/>
      <c r="AX322" s="152"/>
      <c r="AY322" s="152"/>
      <c r="AZ322" s="152">
        <v>0</v>
      </c>
      <c r="BA322" s="152">
        <v>3</v>
      </c>
      <c r="BB322" s="152">
        <v>2</v>
      </c>
      <c r="BC322" s="152"/>
      <c r="BD322" s="152">
        <v>2</v>
      </c>
      <c r="BE322" s="152"/>
      <c r="BF322" s="152"/>
      <c r="BG322" s="152"/>
      <c r="BH322" s="152"/>
      <c r="BI322" s="152">
        <v>0</v>
      </c>
      <c r="BJ322" s="152">
        <v>2</v>
      </c>
      <c r="BK322" s="152"/>
      <c r="BL322" s="152"/>
      <c r="BM322" s="152"/>
      <c r="BN322" s="152">
        <v>0</v>
      </c>
      <c r="BO322" s="152">
        <v>0</v>
      </c>
      <c r="BP322" s="152">
        <v>35</v>
      </c>
    </row>
    <row r="323" spans="1:68" x14ac:dyDescent="0.35">
      <c r="A323" s="146" t="s">
        <v>887</v>
      </c>
      <c r="B323" s="146" t="s">
        <v>888</v>
      </c>
      <c r="C323" s="152">
        <v>10</v>
      </c>
      <c r="D323" s="152"/>
      <c r="E323" s="152"/>
      <c r="F323" s="152"/>
      <c r="G323" s="152">
        <v>10</v>
      </c>
      <c r="H323" s="152">
        <v>85</v>
      </c>
      <c r="I323" s="152">
        <v>28</v>
      </c>
      <c r="J323" s="152"/>
      <c r="K323" s="152"/>
      <c r="L323" s="152">
        <v>113</v>
      </c>
      <c r="M323" s="152">
        <v>123</v>
      </c>
      <c r="N323" s="152"/>
      <c r="O323" s="152"/>
      <c r="P323" s="152"/>
      <c r="Q323" s="152">
        <v>0</v>
      </c>
      <c r="R323" s="152"/>
      <c r="S323" s="152"/>
      <c r="T323" s="152"/>
      <c r="U323" s="152"/>
      <c r="V323" s="152">
        <v>0</v>
      </c>
      <c r="W323" s="152">
        <v>0</v>
      </c>
      <c r="X323" s="152">
        <v>1</v>
      </c>
      <c r="Y323" s="152"/>
      <c r="Z323" s="152"/>
      <c r="AA323" s="152">
        <v>1</v>
      </c>
      <c r="AB323" s="152"/>
      <c r="AC323" s="152"/>
      <c r="AD323" s="152"/>
      <c r="AE323" s="152"/>
      <c r="AF323" s="152">
        <v>0</v>
      </c>
      <c r="AG323" s="152">
        <v>1</v>
      </c>
      <c r="AH323" s="152"/>
      <c r="AI323" s="152"/>
      <c r="AJ323" s="152"/>
      <c r="AK323" s="152">
        <v>0</v>
      </c>
      <c r="AL323" s="152">
        <v>1</v>
      </c>
      <c r="AM323" s="152"/>
      <c r="AN323" s="152"/>
      <c r="AO323" s="152"/>
      <c r="AP323" s="152">
        <v>1</v>
      </c>
      <c r="AQ323" s="152">
        <v>1</v>
      </c>
      <c r="AR323" s="152">
        <v>4</v>
      </c>
      <c r="AS323" s="152"/>
      <c r="AT323" s="152"/>
      <c r="AU323" s="152">
        <v>4</v>
      </c>
      <c r="AV323" s="152">
        <v>1</v>
      </c>
      <c r="AW323" s="152"/>
      <c r="AX323" s="152"/>
      <c r="AY323" s="152"/>
      <c r="AZ323" s="152">
        <v>1</v>
      </c>
      <c r="BA323" s="152">
        <v>5</v>
      </c>
      <c r="BB323" s="152"/>
      <c r="BC323" s="152"/>
      <c r="BD323" s="152">
        <v>0</v>
      </c>
      <c r="BE323" s="152"/>
      <c r="BF323" s="152"/>
      <c r="BG323" s="152"/>
      <c r="BH323" s="152"/>
      <c r="BI323" s="152">
        <v>0</v>
      </c>
      <c r="BJ323" s="152">
        <v>0</v>
      </c>
      <c r="BK323" s="152"/>
      <c r="BL323" s="152"/>
      <c r="BM323" s="152"/>
      <c r="BN323" s="152">
        <v>0</v>
      </c>
      <c r="BO323" s="152">
        <v>0</v>
      </c>
      <c r="BP323" s="152">
        <v>130</v>
      </c>
    </row>
    <row r="324" spans="1:68" x14ac:dyDescent="0.35">
      <c r="A324" s="146" t="s">
        <v>889</v>
      </c>
      <c r="B324" s="146" t="s">
        <v>890</v>
      </c>
      <c r="C324" s="152">
        <v>26</v>
      </c>
      <c r="D324" s="152"/>
      <c r="E324" s="152"/>
      <c r="F324" s="152"/>
      <c r="G324" s="152">
        <v>26</v>
      </c>
      <c r="H324" s="152">
        <v>143</v>
      </c>
      <c r="I324" s="152">
        <v>23</v>
      </c>
      <c r="J324" s="152">
        <v>2</v>
      </c>
      <c r="K324" s="152"/>
      <c r="L324" s="152">
        <v>168</v>
      </c>
      <c r="M324" s="152">
        <v>194</v>
      </c>
      <c r="N324" s="152">
        <v>3</v>
      </c>
      <c r="O324" s="152"/>
      <c r="P324" s="152"/>
      <c r="Q324" s="152">
        <v>3</v>
      </c>
      <c r="R324" s="152">
        <v>3</v>
      </c>
      <c r="S324" s="152"/>
      <c r="T324" s="152"/>
      <c r="U324" s="152"/>
      <c r="V324" s="152">
        <v>3</v>
      </c>
      <c r="W324" s="152">
        <v>6</v>
      </c>
      <c r="X324" s="152"/>
      <c r="Y324" s="152"/>
      <c r="Z324" s="152"/>
      <c r="AA324" s="152">
        <v>0</v>
      </c>
      <c r="AB324" s="152"/>
      <c r="AC324" s="152"/>
      <c r="AD324" s="152"/>
      <c r="AE324" s="152"/>
      <c r="AF324" s="152">
        <v>0</v>
      </c>
      <c r="AG324" s="152">
        <v>0</v>
      </c>
      <c r="AH324" s="152"/>
      <c r="AI324" s="152"/>
      <c r="AJ324" s="152"/>
      <c r="AK324" s="152">
        <v>0</v>
      </c>
      <c r="AL324" s="152"/>
      <c r="AM324" s="152"/>
      <c r="AN324" s="152"/>
      <c r="AO324" s="152"/>
      <c r="AP324" s="152">
        <v>0</v>
      </c>
      <c r="AQ324" s="152">
        <v>0</v>
      </c>
      <c r="AR324" s="152">
        <v>4</v>
      </c>
      <c r="AS324" s="152"/>
      <c r="AT324" s="152"/>
      <c r="AU324" s="152">
        <v>4</v>
      </c>
      <c r="AV324" s="152">
        <v>4</v>
      </c>
      <c r="AW324" s="152"/>
      <c r="AX324" s="152"/>
      <c r="AY324" s="152"/>
      <c r="AZ324" s="152">
        <v>4</v>
      </c>
      <c r="BA324" s="152">
        <v>8</v>
      </c>
      <c r="BB324" s="152"/>
      <c r="BC324" s="152"/>
      <c r="BD324" s="152">
        <v>0</v>
      </c>
      <c r="BE324" s="152">
        <v>1</v>
      </c>
      <c r="BF324" s="152"/>
      <c r="BG324" s="152"/>
      <c r="BH324" s="152"/>
      <c r="BI324" s="152">
        <v>1</v>
      </c>
      <c r="BJ324" s="152">
        <v>1</v>
      </c>
      <c r="BK324" s="152"/>
      <c r="BL324" s="152"/>
      <c r="BM324" s="152"/>
      <c r="BN324" s="152">
        <v>0</v>
      </c>
      <c r="BO324" s="152">
        <v>0</v>
      </c>
      <c r="BP324" s="152">
        <v>209</v>
      </c>
    </row>
    <row r="325" spans="1:68" x14ac:dyDescent="0.35">
      <c r="A325" s="146" t="s">
        <v>891</v>
      </c>
      <c r="B325" s="146" t="s">
        <v>1249</v>
      </c>
      <c r="C325" s="152">
        <v>2</v>
      </c>
      <c r="D325" s="152"/>
      <c r="E325" s="152"/>
      <c r="F325" s="152"/>
      <c r="G325" s="152">
        <v>2</v>
      </c>
      <c r="H325" s="152">
        <v>13</v>
      </c>
      <c r="I325" s="152">
        <v>1</v>
      </c>
      <c r="J325" s="152"/>
      <c r="K325" s="152"/>
      <c r="L325" s="152">
        <v>14</v>
      </c>
      <c r="M325" s="152">
        <v>16</v>
      </c>
      <c r="N325" s="152"/>
      <c r="O325" s="152"/>
      <c r="P325" s="152"/>
      <c r="Q325" s="152">
        <v>0</v>
      </c>
      <c r="R325" s="152"/>
      <c r="S325" s="152"/>
      <c r="T325" s="152"/>
      <c r="U325" s="152"/>
      <c r="V325" s="152">
        <v>0</v>
      </c>
      <c r="W325" s="152">
        <v>0</v>
      </c>
      <c r="X325" s="152"/>
      <c r="Y325" s="152"/>
      <c r="Z325" s="152"/>
      <c r="AA325" s="152">
        <v>0</v>
      </c>
      <c r="AB325" s="152"/>
      <c r="AC325" s="152"/>
      <c r="AD325" s="152"/>
      <c r="AE325" s="152"/>
      <c r="AF325" s="152">
        <v>0</v>
      </c>
      <c r="AG325" s="152">
        <v>0</v>
      </c>
      <c r="AH325" s="152"/>
      <c r="AI325" s="152"/>
      <c r="AJ325" s="152"/>
      <c r="AK325" s="152">
        <v>0</v>
      </c>
      <c r="AL325" s="152"/>
      <c r="AM325" s="152"/>
      <c r="AN325" s="152"/>
      <c r="AO325" s="152"/>
      <c r="AP325" s="152">
        <v>0</v>
      </c>
      <c r="AQ325" s="152">
        <v>0</v>
      </c>
      <c r="AR325" s="152"/>
      <c r="AS325" s="152"/>
      <c r="AT325" s="152"/>
      <c r="AU325" s="152">
        <v>0</v>
      </c>
      <c r="AV325" s="152"/>
      <c r="AW325" s="152"/>
      <c r="AX325" s="152"/>
      <c r="AY325" s="152"/>
      <c r="AZ325" s="152">
        <v>0</v>
      </c>
      <c r="BA325" s="152">
        <v>0</v>
      </c>
      <c r="BB325" s="152"/>
      <c r="BC325" s="152"/>
      <c r="BD325" s="152">
        <v>0</v>
      </c>
      <c r="BE325" s="152"/>
      <c r="BF325" s="152"/>
      <c r="BG325" s="152"/>
      <c r="BH325" s="152"/>
      <c r="BI325" s="152">
        <v>0</v>
      </c>
      <c r="BJ325" s="152">
        <v>0</v>
      </c>
      <c r="BK325" s="152"/>
      <c r="BL325" s="152"/>
      <c r="BM325" s="152"/>
      <c r="BN325" s="152">
        <v>0</v>
      </c>
      <c r="BO325" s="152">
        <v>0</v>
      </c>
      <c r="BP325" s="152">
        <v>16</v>
      </c>
    </row>
    <row r="326" spans="1:68" x14ac:dyDescent="0.35">
      <c r="A326" s="146" t="s">
        <v>892</v>
      </c>
      <c r="B326" s="146" t="s">
        <v>893</v>
      </c>
      <c r="C326" s="152">
        <v>1</v>
      </c>
      <c r="D326" s="152"/>
      <c r="E326" s="152"/>
      <c r="F326" s="152"/>
      <c r="G326" s="152">
        <v>1</v>
      </c>
      <c r="H326" s="152">
        <v>3</v>
      </c>
      <c r="I326" s="152">
        <v>1</v>
      </c>
      <c r="J326" s="152"/>
      <c r="K326" s="152"/>
      <c r="L326" s="152">
        <v>4</v>
      </c>
      <c r="M326" s="152">
        <v>5</v>
      </c>
      <c r="N326" s="152"/>
      <c r="O326" s="152"/>
      <c r="P326" s="152"/>
      <c r="Q326" s="152">
        <v>0</v>
      </c>
      <c r="R326" s="152"/>
      <c r="S326" s="152"/>
      <c r="T326" s="152"/>
      <c r="U326" s="152"/>
      <c r="V326" s="152">
        <v>0</v>
      </c>
      <c r="W326" s="152">
        <v>0</v>
      </c>
      <c r="X326" s="152"/>
      <c r="Y326" s="152"/>
      <c r="Z326" s="152"/>
      <c r="AA326" s="152">
        <v>0</v>
      </c>
      <c r="AB326" s="152"/>
      <c r="AC326" s="152"/>
      <c r="AD326" s="152"/>
      <c r="AE326" s="152"/>
      <c r="AF326" s="152">
        <v>0</v>
      </c>
      <c r="AG326" s="152">
        <v>0</v>
      </c>
      <c r="AH326" s="152"/>
      <c r="AI326" s="152"/>
      <c r="AJ326" s="152"/>
      <c r="AK326" s="152">
        <v>0</v>
      </c>
      <c r="AL326" s="152"/>
      <c r="AM326" s="152"/>
      <c r="AN326" s="152"/>
      <c r="AO326" s="152"/>
      <c r="AP326" s="152">
        <v>0</v>
      </c>
      <c r="AQ326" s="152">
        <v>0</v>
      </c>
      <c r="AR326" s="152"/>
      <c r="AS326" s="152"/>
      <c r="AT326" s="152"/>
      <c r="AU326" s="152">
        <v>0</v>
      </c>
      <c r="AV326" s="152"/>
      <c r="AW326" s="152"/>
      <c r="AX326" s="152"/>
      <c r="AY326" s="152"/>
      <c r="AZ326" s="152">
        <v>0</v>
      </c>
      <c r="BA326" s="152">
        <v>0</v>
      </c>
      <c r="BB326" s="152"/>
      <c r="BC326" s="152"/>
      <c r="BD326" s="152">
        <v>0</v>
      </c>
      <c r="BE326" s="152"/>
      <c r="BF326" s="152"/>
      <c r="BG326" s="152"/>
      <c r="BH326" s="152"/>
      <c r="BI326" s="152">
        <v>0</v>
      </c>
      <c r="BJ326" s="152">
        <v>0</v>
      </c>
      <c r="BK326" s="152"/>
      <c r="BL326" s="152"/>
      <c r="BM326" s="152"/>
      <c r="BN326" s="152">
        <v>0</v>
      </c>
      <c r="BO326" s="152">
        <v>0</v>
      </c>
      <c r="BP326" s="152">
        <v>5</v>
      </c>
    </row>
    <row r="327" spans="1:68" x14ac:dyDescent="0.35">
      <c r="A327" s="146" t="s">
        <v>894</v>
      </c>
      <c r="B327" s="146" t="s">
        <v>895</v>
      </c>
      <c r="C327" s="152">
        <v>2</v>
      </c>
      <c r="D327" s="152"/>
      <c r="E327" s="152"/>
      <c r="F327" s="152"/>
      <c r="G327" s="152">
        <v>2</v>
      </c>
      <c r="H327" s="152">
        <v>1</v>
      </c>
      <c r="I327" s="152"/>
      <c r="J327" s="152"/>
      <c r="K327" s="152"/>
      <c r="L327" s="152">
        <v>1</v>
      </c>
      <c r="M327" s="152">
        <v>3</v>
      </c>
      <c r="N327" s="152"/>
      <c r="O327" s="152"/>
      <c r="P327" s="152"/>
      <c r="Q327" s="152">
        <v>0</v>
      </c>
      <c r="R327" s="152"/>
      <c r="S327" s="152"/>
      <c r="T327" s="152"/>
      <c r="U327" s="152"/>
      <c r="V327" s="152">
        <v>0</v>
      </c>
      <c r="W327" s="152">
        <v>0</v>
      </c>
      <c r="X327" s="152"/>
      <c r="Y327" s="152"/>
      <c r="Z327" s="152"/>
      <c r="AA327" s="152">
        <v>0</v>
      </c>
      <c r="AB327" s="152"/>
      <c r="AC327" s="152"/>
      <c r="AD327" s="152"/>
      <c r="AE327" s="152"/>
      <c r="AF327" s="152">
        <v>0</v>
      </c>
      <c r="AG327" s="152">
        <v>0</v>
      </c>
      <c r="AH327" s="152"/>
      <c r="AI327" s="152"/>
      <c r="AJ327" s="152"/>
      <c r="AK327" s="152">
        <v>0</v>
      </c>
      <c r="AL327" s="152"/>
      <c r="AM327" s="152"/>
      <c r="AN327" s="152"/>
      <c r="AO327" s="152"/>
      <c r="AP327" s="152">
        <v>0</v>
      </c>
      <c r="AQ327" s="152">
        <v>0</v>
      </c>
      <c r="AR327" s="152">
        <v>2</v>
      </c>
      <c r="AS327" s="152"/>
      <c r="AT327" s="152"/>
      <c r="AU327" s="152">
        <v>2</v>
      </c>
      <c r="AV327" s="152"/>
      <c r="AW327" s="152"/>
      <c r="AX327" s="152"/>
      <c r="AY327" s="152"/>
      <c r="AZ327" s="152">
        <v>0</v>
      </c>
      <c r="BA327" s="152">
        <v>2</v>
      </c>
      <c r="BB327" s="152"/>
      <c r="BC327" s="152"/>
      <c r="BD327" s="152">
        <v>0</v>
      </c>
      <c r="BE327" s="152"/>
      <c r="BF327" s="152"/>
      <c r="BG327" s="152"/>
      <c r="BH327" s="152"/>
      <c r="BI327" s="152">
        <v>0</v>
      </c>
      <c r="BJ327" s="152">
        <v>0</v>
      </c>
      <c r="BK327" s="152"/>
      <c r="BL327" s="152"/>
      <c r="BM327" s="152"/>
      <c r="BN327" s="152">
        <v>0</v>
      </c>
      <c r="BO327" s="152">
        <v>0</v>
      </c>
      <c r="BP327" s="152">
        <v>5</v>
      </c>
    </row>
    <row r="328" spans="1:68" x14ac:dyDescent="0.35">
      <c r="A328" s="146" t="s">
        <v>896</v>
      </c>
      <c r="B328" s="146" t="s">
        <v>1250</v>
      </c>
      <c r="C328" s="152">
        <v>36</v>
      </c>
      <c r="D328" s="152">
        <v>1</v>
      </c>
      <c r="E328" s="152"/>
      <c r="F328" s="152"/>
      <c r="G328" s="152">
        <v>37</v>
      </c>
      <c r="H328" s="152">
        <v>120</v>
      </c>
      <c r="I328" s="152">
        <v>6</v>
      </c>
      <c r="J328" s="152">
        <v>3</v>
      </c>
      <c r="K328" s="152">
        <v>1</v>
      </c>
      <c r="L328" s="152">
        <v>130</v>
      </c>
      <c r="M328" s="152">
        <v>167</v>
      </c>
      <c r="N328" s="152"/>
      <c r="O328" s="152"/>
      <c r="P328" s="152"/>
      <c r="Q328" s="152">
        <v>0</v>
      </c>
      <c r="R328" s="152"/>
      <c r="S328" s="152"/>
      <c r="T328" s="152"/>
      <c r="U328" s="152"/>
      <c r="V328" s="152">
        <v>0</v>
      </c>
      <c r="W328" s="152">
        <v>0</v>
      </c>
      <c r="X328" s="152"/>
      <c r="Y328" s="152"/>
      <c r="Z328" s="152"/>
      <c r="AA328" s="152">
        <v>0</v>
      </c>
      <c r="AB328" s="152">
        <v>1</v>
      </c>
      <c r="AC328" s="152"/>
      <c r="AD328" s="152"/>
      <c r="AE328" s="152"/>
      <c r="AF328" s="152">
        <v>1</v>
      </c>
      <c r="AG328" s="152">
        <v>1</v>
      </c>
      <c r="AH328" s="152">
        <v>1</v>
      </c>
      <c r="AI328" s="152"/>
      <c r="AJ328" s="152"/>
      <c r="AK328" s="152">
        <v>1</v>
      </c>
      <c r="AL328" s="152"/>
      <c r="AM328" s="152"/>
      <c r="AN328" s="152"/>
      <c r="AO328" s="152"/>
      <c r="AP328" s="152">
        <v>0</v>
      </c>
      <c r="AQ328" s="152">
        <v>1</v>
      </c>
      <c r="AR328" s="152">
        <v>1</v>
      </c>
      <c r="AS328" s="152"/>
      <c r="AT328" s="152"/>
      <c r="AU328" s="152">
        <v>1</v>
      </c>
      <c r="AV328" s="152">
        <v>5</v>
      </c>
      <c r="AW328" s="152"/>
      <c r="AX328" s="152"/>
      <c r="AY328" s="152"/>
      <c r="AZ328" s="152">
        <v>5</v>
      </c>
      <c r="BA328" s="152">
        <v>6</v>
      </c>
      <c r="BB328" s="152"/>
      <c r="BC328" s="152"/>
      <c r="BD328" s="152">
        <v>0</v>
      </c>
      <c r="BE328" s="152"/>
      <c r="BF328" s="152">
        <v>1</v>
      </c>
      <c r="BG328" s="152"/>
      <c r="BH328" s="152"/>
      <c r="BI328" s="152">
        <v>1</v>
      </c>
      <c r="BJ328" s="152">
        <v>1</v>
      </c>
      <c r="BK328" s="152"/>
      <c r="BL328" s="152"/>
      <c r="BM328" s="152"/>
      <c r="BN328" s="152">
        <v>0</v>
      </c>
      <c r="BO328" s="152">
        <v>0</v>
      </c>
      <c r="BP328" s="152">
        <v>176</v>
      </c>
    </row>
    <row r="329" spans="1:68" x14ac:dyDescent="0.35">
      <c r="A329" s="146" t="s">
        <v>897</v>
      </c>
      <c r="B329" s="146" t="s">
        <v>898</v>
      </c>
      <c r="C329" s="152">
        <v>5</v>
      </c>
      <c r="D329" s="152"/>
      <c r="E329" s="152"/>
      <c r="F329" s="152"/>
      <c r="G329" s="152">
        <v>5</v>
      </c>
      <c r="H329" s="152">
        <v>13</v>
      </c>
      <c r="I329" s="152">
        <v>13</v>
      </c>
      <c r="J329" s="152"/>
      <c r="K329" s="152"/>
      <c r="L329" s="152">
        <v>26</v>
      </c>
      <c r="M329" s="152">
        <v>31</v>
      </c>
      <c r="N329" s="152"/>
      <c r="O329" s="152"/>
      <c r="P329" s="152"/>
      <c r="Q329" s="152">
        <v>0</v>
      </c>
      <c r="R329" s="152">
        <v>3</v>
      </c>
      <c r="S329" s="152"/>
      <c r="T329" s="152"/>
      <c r="U329" s="152"/>
      <c r="V329" s="152">
        <v>3</v>
      </c>
      <c r="W329" s="152">
        <v>3</v>
      </c>
      <c r="X329" s="152"/>
      <c r="Y329" s="152"/>
      <c r="Z329" s="152"/>
      <c r="AA329" s="152">
        <v>0</v>
      </c>
      <c r="AB329" s="152"/>
      <c r="AC329" s="152"/>
      <c r="AD329" s="152"/>
      <c r="AE329" s="152"/>
      <c r="AF329" s="152">
        <v>0</v>
      </c>
      <c r="AG329" s="152">
        <v>0</v>
      </c>
      <c r="AH329" s="152">
        <v>1</v>
      </c>
      <c r="AI329" s="152"/>
      <c r="AJ329" s="152"/>
      <c r="AK329" s="152">
        <v>1</v>
      </c>
      <c r="AL329" s="152"/>
      <c r="AM329" s="152"/>
      <c r="AN329" s="152"/>
      <c r="AO329" s="152"/>
      <c r="AP329" s="152">
        <v>0</v>
      </c>
      <c r="AQ329" s="152">
        <v>1</v>
      </c>
      <c r="AR329" s="152">
        <v>2</v>
      </c>
      <c r="AS329" s="152"/>
      <c r="AT329" s="152"/>
      <c r="AU329" s="152">
        <v>2</v>
      </c>
      <c r="AV329" s="152"/>
      <c r="AW329" s="152"/>
      <c r="AX329" s="152"/>
      <c r="AY329" s="152"/>
      <c r="AZ329" s="152">
        <v>0</v>
      </c>
      <c r="BA329" s="152">
        <v>2</v>
      </c>
      <c r="BB329" s="152">
        <v>1</v>
      </c>
      <c r="BC329" s="152"/>
      <c r="BD329" s="152">
        <v>1</v>
      </c>
      <c r="BE329" s="152">
        <v>1</v>
      </c>
      <c r="BF329" s="152"/>
      <c r="BG329" s="152"/>
      <c r="BH329" s="152"/>
      <c r="BI329" s="152">
        <v>1</v>
      </c>
      <c r="BJ329" s="152">
        <v>2</v>
      </c>
      <c r="BK329" s="152"/>
      <c r="BL329" s="152"/>
      <c r="BM329" s="152"/>
      <c r="BN329" s="152">
        <v>0</v>
      </c>
      <c r="BO329" s="152">
        <v>0</v>
      </c>
      <c r="BP329" s="152">
        <v>39</v>
      </c>
    </row>
    <row r="330" spans="1:68" x14ac:dyDescent="0.35">
      <c r="A330" s="146" t="s">
        <v>899</v>
      </c>
      <c r="B330" s="146" t="s">
        <v>900</v>
      </c>
      <c r="C330" s="152">
        <v>1</v>
      </c>
      <c r="D330" s="152"/>
      <c r="E330" s="152"/>
      <c r="F330" s="152"/>
      <c r="G330" s="152">
        <v>1</v>
      </c>
      <c r="H330" s="152">
        <v>7</v>
      </c>
      <c r="I330" s="152">
        <v>2</v>
      </c>
      <c r="J330" s="152">
        <v>1</v>
      </c>
      <c r="K330" s="152">
        <v>2</v>
      </c>
      <c r="L330" s="152">
        <v>12</v>
      </c>
      <c r="M330" s="152">
        <v>13</v>
      </c>
      <c r="N330" s="152">
        <v>1</v>
      </c>
      <c r="O330" s="152"/>
      <c r="P330" s="152"/>
      <c r="Q330" s="152">
        <v>1</v>
      </c>
      <c r="R330" s="152">
        <v>1</v>
      </c>
      <c r="S330" s="152"/>
      <c r="T330" s="152"/>
      <c r="U330" s="152"/>
      <c r="V330" s="152">
        <v>1</v>
      </c>
      <c r="W330" s="152">
        <v>2</v>
      </c>
      <c r="X330" s="152"/>
      <c r="Y330" s="152"/>
      <c r="Z330" s="152"/>
      <c r="AA330" s="152">
        <v>0</v>
      </c>
      <c r="AB330" s="152">
        <v>5</v>
      </c>
      <c r="AC330" s="152"/>
      <c r="AD330" s="152"/>
      <c r="AE330" s="152"/>
      <c r="AF330" s="152">
        <v>5</v>
      </c>
      <c r="AG330" s="152">
        <v>5</v>
      </c>
      <c r="AH330" s="152">
        <v>1</v>
      </c>
      <c r="AI330" s="152"/>
      <c r="AJ330" s="152"/>
      <c r="AK330" s="152">
        <v>1</v>
      </c>
      <c r="AL330" s="152"/>
      <c r="AM330" s="152"/>
      <c r="AN330" s="152"/>
      <c r="AO330" s="152"/>
      <c r="AP330" s="152">
        <v>0</v>
      </c>
      <c r="AQ330" s="152">
        <v>1</v>
      </c>
      <c r="AR330" s="152"/>
      <c r="AS330" s="152"/>
      <c r="AT330" s="152"/>
      <c r="AU330" s="152">
        <v>0</v>
      </c>
      <c r="AV330" s="152">
        <v>1</v>
      </c>
      <c r="AW330" s="152"/>
      <c r="AX330" s="152"/>
      <c r="AY330" s="152"/>
      <c r="AZ330" s="152">
        <v>1</v>
      </c>
      <c r="BA330" s="152">
        <v>1</v>
      </c>
      <c r="BB330" s="152"/>
      <c r="BC330" s="152"/>
      <c r="BD330" s="152">
        <v>0</v>
      </c>
      <c r="BE330" s="152">
        <v>1</v>
      </c>
      <c r="BF330" s="152"/>
      <c r="BG330" s="152"/>
      <c r="BH330" s="152"/>
      <c r="BI330" s="152">
        <v>1</v>
      </c>
      <c r="BJ330" s="152">
        <v>1</v>
      </c>
      <c r="BK330" s="152"/>
      <c r="BL330" s="152"/>
      <c r="BM330" s="152"/>
      <c r="BN330" s="152">
        <v>0</v>
      </c>
      <c r="BO330" s="152">
        <v>0</v>
      </c>
      <c r="BP330" s="152">
        <v>23</v>
      </c>
    </row>
    <row r="331" spans="1:68" x14ac:dyDescent="0.35">
      <c r="A331" s="146" t="s">
        <v>901</v>
      </c>
      <c r="B331" s="146" t="s">
        <v>902</v>
      </c>
      <c r="C331" s="152">
        <v>13</v>
      </c>
      <c r="D331" s="152"/>
      <c r="E331" s="152"/>
      <c r="F331" s="152"/>
      <c r="G331" s="152">
        <v>13</v>
      </c>
      <c r="H331" s="152">
        <v>47</v>
      </c>
      <c r="I331" s="152">
        <v>8</v>
      </c>
      <c r="J331" s="152"/>
      <c r="K331" s="152">
        <v>3</v>
      </c>
      <c r="L331" s="152">
        <v>58</v>
      </c>
      <c r="M331" s="152">
        <v>71</v>
      </c>
      <c r="N331" s="152">
        <v>1</v>
      </c>
      <c r="O331" s="152"/>
      <c r="P331" s="152"/>
      <c r="Q331" s="152">
        <v>1</v>
      </c>
      <c r="R331" s="152">
        <v>11</v>
      </c>
      <c r="S331" s="152">
        <v>1</v>
      </c>
      <c r="T331" s="152"/>
      <c r="U331" s="152"/>
      <c r="V331" s="152">
        <v>12</v>
      </c>
      <c r="W331" s="152">
        <v>13</v>
      </c>
      <c r="X331" s="152"/>
      <c r="Y331" s="152"/>
      <c r="Z331" s="152"/>
      <c r="AA331" s="152">
        <v>0</v>
      </c>
      <c r="AB331" s="152">
        <v>6</v>
      </c>
      <c r="AC331" s="152">
        <v>3</v>
      </c>
      <c r="AD331" s="152"/>
      <c r="AE331" s="152"/>
      <c r="AF331" s="152">
        <v>9</v>
      </c>
      <c r="AG331" s="152">
        <v>9</v>
      </c>
      <c r="AH331" s="152">
        <v>1</v>
      </c>
      <c r="AI331" s="152"/>
      <c r="AJ331" s="152"/>
      <c r="AK331" s="152">
        <v>1</v>
      </c>
      <c r="AL331" s="152">
        <v>6</v>
      </c>
      <c r="AM331" s="152"/>
      <c r="AN331" s="152"/>
      <c r="AO331" s="152"/>
      <c r="AP331" s="152">
        <v>6</v>
      </c>
      <c r="AQ331" s="152">
        <v>7</v>
      </c>
      <c r="AR331" s="152">
        <v>2</v>
      </c>
      <c r="AS331" s="152"/>
      <c r="AT331" s="152"/>
      <c r="AU331" s="152">
        <v>2</v>
      </c>
      <c r="AV331" s="152">
        <v>6</v>
      </c>
      <c r="AW331" s="152">
        <v>2</v>
      </c>
      <c r="AX331" s="152"/>
      <c r="AY331" s="152"/>
      <c r="AZ331" s="152">
        <v>8</v>
      </c>
      <c r="BA331" s="152">
        <v>10</v>
      </c>
      <c r="BB331" s="152">
        <v>2</v>
      </c>
      <c r="BC331" s="152"/>
      <c r="BD331" s="152">
        <v>2</v>
      </c>
      <c r="BE331" s="152">
        <v>7</v>
      </c>
      <c r="BF331" s="152">
        <v>1</v>
      </c>
      <c r="BG331" s="152"/>
      <c r="BH331" s="152"/>
      <c r="BI331" s="152">
        <v>8</v>
      </c>
      <c r="BJ331" s="152">
        <v>10</v>
      </c>
      <c r="BK331" s="152"/>
      <c r="BL331" s="152"/>
      <c r="BM331" s="152"/>
      <c r="BN331" s="152">
        <v>0</v>
      </c>
      <c r="BO331" s="152">
        <v>0</v>
      </c>
      <c r="BP331" s="152">
        <v>120</v>
      </c>
    </row>
    <row r="332" spans="1:68" x14ac:dyDescent="0.35">
      <c r="A332" s="146" t="s">
        <v>903</v>
      </c>
      <c r="B332" s="146" t="s">
        <v>904</v>
      </c>
      <c r="C332" s="152">
        <v>23</v>
      </c>
      <c r="D332" s="152"/>
      <c r="E332" s="152"/>
      <c r="F332" s="152"/>
      <c r="G332" s="152">
        <v>23</v>
      </c>
      <c r="H332" s="152">
        <v>35</v>
      </c>
      <c r="I332" s="152">
        <v>4</v>
      </c>
      <c r="J332" s="152">
        <v>1</v>
      </c>
      <c r="K332" s="152">
        <v>1</v>
      </c>
      <c r="L332" s="152">
        <v>41</v>
      </c>
      <c r="M332" s="152">
        <v>64</v>
      </c>
      <c r="N332" s="152">
        <v>7</v>
      </c>
      <c r="O332" s="152"/>
      <c r="P332" s="152"/>
      <c r="Q332" s="152">
        <v>7</v>
      </c>
      <c r="R332" s="152">
        <v>9</v>
      </c>
      <c r="S332" s="152"/>
      <c r="T332" s="152"/>
      <c r="U332" s="152"/>
      <c r="V332" s="152">
        <v>9</v>
      </c>
      <c r="W332" s="152">
        <v>16</v>
      </c>
      <c r="X332" s="152">
        <v>2</v>
      </c>
      <c r="Y332" s="152"/>
      <c r="Z332" s="152"/>
      <c r="AA332" s="152">
        <v>2</v>
      </c>
      <c r="AB332" s="152">
        <v>2</v>
      </c>
      <c r="AC332" s="152"/>
      <c r="AD332" s="152"/>
      <c r="AE332" s="152"/>
      <c r="AF332" s="152">
        <v>2</v>
      </c>
      <c r="AG332" s="152">
        <v>4</v>
      </c>
      <c r="AH332" s="152"/>
      <c r="AI332" s="152"/>
      <c r="AJ332" s="152"/>
      <c r="AK332" s="152">
        <v>0</v>
      </c>
      <c r="AL332" s="152">
        <v>1</v>
      </c>
      <c r="AM332" s="152"/>
      <c r="AN332" s="152"/>
      <c r="AO332" s="152"/>
      <c r="AP332" s="152">
        <v>1</v>
      </c>
      <c r="AQ332" s="152">
        <v>1</v>
      </c>
      <c r="AR332" s="152">
        <v>3</v>
      </c>
      <c r="AS332" s="152"/>
      <c r="AT332" s="152"/>
      <c r="AU332" s="152">
        <v>3</v>
      </c>
      <c r="AV332" s="152">
        <v>5</v>
      </c>
      <c r="AW332" s="152"/>
      <c r="AX332" s="152"/>
      <c r="AY332" s="152"/>
      <c r="AZ332" s="152">
        <v>5</v>
      </c>
      <c r="BA332" s="152">
        <v>8</v>
      </c>
      <c r="BB332" s="152">
        <v>2</v>
      </c>
      <c r="BC332" s="152"/>
      <c r="BD332" s="152">
        <v>2</v>
      </c>
      <c r="BE332" s="152">
        <v>1</v>
      </c>
      <c r="BF332" s="152"/>
      <c r="BG332" s="152"/>
      <c r="BH332" s="152"/>
      <c r="BI332" s="152">
        <v>1</v>
      </c>
      <c r="BJ332" s="152">
        <v>3</v>
      </c>
      <c r="BK332" s="152"/>
      <c r="BL332" s="152"/>
      <c r="BM332" s="152"/>
      <c r="BN332" s="152">
        <v>0</v>
      </c>
      <c r="BO332" s="152">
        <v>0</v>
      </c>
      <c r="BP332" s="152">
        <v>96</v>
      </c>
    </row>
    <row r="333" spans="1:68" x14ac:dyDescent="0.35">
      <c r="A333" s="146" t="s">
        <v>905</v>
      </c>
      <c r="B333" s="146" t="s">
        <v>906</v>
      </c>
      <c r="C333" s="152">
        <v>1</v>
      </c>
      <c r="D333" s="152"/>
      <c r="E333" s="152"/>
      <c r="F333" s="152"/>
      <c r="G333" s="152">
        <v>1</v>
      </c>
      <c r="H333" s="152">
        <v>4</v>
      </c>
      <c r="I333" s="152"/>
      <c r="J333" s="152"/>
      <c r="K333" s="152"/>
      <c r="L333" s="152">
        <v>4</v>
      </c>
      <c r="M333" s="152">
        <v>5</v>
      </c>
      <c r="N333" s="152">
        <v>1</v>
      </c>
      <c r="O333" s="152"/>
      <c r="P333" s="152"/>
      <c r="Q333" s="152">
        <v>1</v>
      </c>
      <c r="R333" s="152"/>
      <c r="S333" s="152"/>
      <c r="T333" s="152"/>
      <c r="U333" s="152"/>
      <c r="V333" s="152">
        <v>0</v>
      </c>
      <c r="W333" s="152">
        <v>1</v>
      </c>
      <c r="X333" s="152"/>
      <c r="Y333" s="152"/>
      <c r="Z333" s="152"/>
      <c r="AA333" s="152">
        <v>0</v>
      </c>
      <c r="AB333" s="152">
        <v>2</v>
      </c>
      <c r="AC333" s="152"/>
      <c r="AD333" s="152"/>
      <c r="AE333" s="152"/>
      <c r="AF333" s="152">
        <v>2</v>
      </c>
      <c r="AG333" s="152">
        <v>2</v>
      </c>
      <c r="AH333" s="152">
        <v>2</v>
      </c>
      <c r="AI333" s="152"/>
      <c r="AJ333" s="152"/>
      <c r="AK333" s="152">
        <v>2</v>
      </c>
      <c r="AL333" s="152">
        <v>1</v>
      </c>
      <c r="AM333" s="152"/>
      <c r="AN333" s="152"/>
      <c r="AO333" s="152"/>
      <c r="AP333" s="152">
        <v>1</v>
      </c>
      <c r="AQ333" s="152">
        <v>3</v>
      </c>
      <c r="AR333" s="152"/>
      <c r="AS333" s="152"/>
      <c r="AT333" s="152"/>
      <c r="AU333" s="152">
        <v>0</v>
      </c>
      <c r="AV333" s="152">
        <v>1</v>
      </c>
      <c r="AW333" s="152"/>
      <c r="AX333" s="152"/>
      <c r="AY333" s="152"/>
      <c r="AZ333" s="152">
        <v>1</v>
      </c>
      <c r="BA333" s="152">
        <v>1</v>
      </c>
      <c r="BB333" s="152"/>
      <c r="BC333" s="152"/>
      <c r="BD333" s="152">
        <v>0</v>
      </c>
      <c r="BE333" s="152"/>
      <c r="BF333" s="152"/>
      <c r="BG333" s="152"/>
      <c r="BH333" s="152"/>
      <c r="BI333" s="152">
        <v>0</v>
      </c>
      <c r="BJ333" s="152">
        <v>0</v>
      </c>
      <c r="BK333" s="152"/>
      <c r="BL333" s="152"/>
      <c r="BM333" s="152"/>
      <c r="BN333" s="152">
        <v>0</v>
      </c>
      <c r="BO333" s="152">
        <v>0</v>
      </c>
      <c r="BP333" s="152">
        <v>12</v>
      </c>
    </row>
    <row r="334" spans="1:68" x14ac:dyDescent="0.35">
      <c r="A334" s="146" t="s">
        <v>907</v>
      </c>
      <c r="B334" s="146" t="s">
        <v>908</v>
      </c>
      <c r="C334" s="152">
        <v>131</v>
      </c>
      <c r="D334" s="152"/>
      <c r="E334" s="152"/>
      <c r="F334" s="152"/>
      <c r="G334" s="152">
        <v>131</v>
      </c>
      <c r="H334" s="152">
        <v>112</v>
      </c>
      <c r="I334" s="152">
        <v>19</v>
      </c>
      <c r="J334" s="152">
        <v>2</v>
      </c>
      <c r="K334" s="152">
        <v>3</v>
      </c>
      <c r="L334" s="152">
        <v>136</v>
      </c>
      <c r="M334" s="152">
        <v>267</v>
      </c>
      <c r="N334" s="152">
        <v>25</v>
      </c>
      <c r="O334" s="152"/>
      <c r="P334" s="152"/>
      <c r="Q334" s="152">
        <v>25</v>
      </c>
      <c r="R334" s="152">
        <v>8</v>
      </c>
      <c r="S334" s="152"/>
      <c r="T334" s="152"/>
      <c r="U334" s="152"/>
      <c r="V334" s="152">
        <v>8</v>
      </c>
      <c r="W334" s="152">
        <v>33</v>
      </c>
      <c r="X334" s="152">
        <v>26</v>
      </c>
      <c r="Y334" s="152"/>
      <c r="Z334" s="152"/>
      <c r="AA334" s="152">
        <v>26</v>
      </c>
      <c r="AB334" s="152">
        <v>6</v>
      </c>
      <c r="AC334" s="152">
        <v>1</v>
      </c>
      <c r="AD334" s="152"/>
      <c r="AE334" s="152"/>
      <c r="AF334" s="152">
        <v>7</v>
      </c>
      <c r="AG334" s="152">
        <v>33</v>
      </c>
      <c r="AH334" s="152">
        <v>12</v>
      </c>
      <c r="AI334" s="152"/>
      <c r="AJ334" s="152"/>
      <c r="AK334" s="152">
        <v>12</v>
      </c>
      <c r="AL334" s="152">
        <v>4</v>
      </c>
      <c r="AM334" s="152"/>
      <c r="AN334" s="152"/>
      <c r="AO334" s="152"/>
      <c r="AP334" s="152">
        <v>4</v>
      </c>
      <c r="AQ334" s="152">
        <v>16</v>
      </c>
      <c r="AR334" s="152">
        <v>37</v>
      </c>
      <c r="AS334" s="152"/>
      <c r="AT334" s="152"/>
      <c r="AU334" s="152">
        <v>37</v>
      </c>
      <c r="AV334" s="152">
        <v>9</v>
      </c>
      <c r="AW334" s="152"/>
      <c r="AX334" s="152"/>
      <c r="AY334" s="152"/>
      <c r="AZ334" s="152">
        <v>9</v>
      </c>
      <c r="BA334" s="152">
        <v>46</v>
      </c>
      <c r="BB334" s="152">
        <v>10</v>
      </c>
      <c r="BC334" s="152"/>
      <c r="BD334" s="152">
        <v>10</v>
      </c>
      <c r="BE334" s="152">
        <v>5</v>
      </c>
      <c r="BF334" s="152"/>
      <c r="BG334" s="152"/>
      <c r="BH334" s="152"/>
      <c r="BI334" s="152">
        <v>5</v>
      </c>
      <c r="BJ334" s="152">
        <v>15</v>
      </c>
      <c r="BK334" s="152"/>
      <c r="BL334" s="152"/>
      <c r="BM334" s="152"/>
      <c r="BN334" s="152">
        <v>0</v>
      </c>
      <c r="BO334" s="152">
        <v>0</v>
      </c>
      <c r="BP334" s="152">
        <v>410</v>
      </c>
    </row>
    <row r="335" spans="1:68" x14ac:dyDescent="0.35">
      <c r="A335" s="146" t="s">
        <v>909</v>
      </c>
      <c r="B335" s="146" t="s">
        <v>910</v>
      </c>
      <c r="C335" s="152">
        <v>108</v>
      </c>
      <c r="D335" s="152">
        <v>2</v>
      </c>
      <c r="E335" s="152"/>
      <c r="F335" s="152"/>
      <c r="G335" s="152">
        <v>110</v>
      </c>
      <c r="H335" s="152">
        <v>1171</v>
      </c>
      <c r="I335" s="152">
        <v>238</v>
      </c>
      <c r="J335" s="152">
        <v>50</v>
      </c>
      <c r="K335" s="152">
        <v>5</v>
      </c>
      <c r="L335" s="152">
        <v>1464</v>
      </c>
      <c r="M335" s="152">
        <v>1574</v>
      </c>
      <c r="N335" s="152">
        <v>4</v>
      </c>
      <c r="O335" s="152"/>
      <c r="P335" s="152"/>
      <c r="Q335" s="152">
        <v>4</v>
      </c>
      <c r="R335" s="152"/>
      <c r="S335" s="152">
        <v>1</v>
      </c>
      <c r="T335" s="152"/>
      <c r="U335" s="152"/>
      <c r="V335" s="152">
        <v>1</v>
      </c>
      <c r="W335" s="152">
        <v>5</v>
      </c>
      <c r="X335" s="152">
        <v>3</v>
      </c>
      <c r="Y335" s="152"/>
      <c r="Z335" s="152"/>
      <c r="AA335" s="152">
        <v>3</v>
      </c>
      <c r="AB335" s="152">
        <v>3</v>
      </c>
      <c r="AC335" s="152"/>
      <c r="AD335" s="152"/>
      <c r="AE335" s="152"/>
      <c r="AF335" s="152">
        <v>3</v>
      </c>
      <c r="AG335" s="152">
        <v>6</v>
      </c>
      <c r="AH335" s="152">
        <v>1</v>
      </c>
      <c r="AI335" s="152"/>
      <c r="AJ335" s="152"/>
      <c r="AK335" s="152">
        <v>1</v>
      </c>
      <c r="AL335" s="152">
        <v>5</v>
      </c>
      <c r="AM335" s="152">
        <v>1</v>
      </c>
      <c r="AN335" s="152"/>
      <c r="AO335" s="152"/>
      <c r="AP335" s="152">
        <v>6</v>
      </c>
      <c r="AQ335" s="152">
        <v>7</v>
      </c>
      <c r="AR335" s="152">
        <v>22</v>
      </c>
      <c r="AS335" s="152"/>
      <c r="AT335" s="152"/>
      <c r="AU335" s="152">
        <v>22</v>
      </c>
      <c r="AV335" s="152">
        <v>63</v>
      </c>
      <c r="AW335" s="152">
        <v>2</v>
      </c>
      <c r="AX335" s="152"/>
      <c r="AY335" s="152"/>
      <c r="AZ335" s="152">
        <v>65</v>
      </c>
      <c r="BA335" s="152">
        <v>87</v>
      </c>
      <c r="BB335" s="152"/>
      <c r="BC335" s="152"/>
      <c r="BD335" s="152">
        <v>0</v>
      </c>
      <c r="BE335" s="152">
        <v>1</v>
      </c>
      <c r="BF335" s="152"/>
      <c r="BG335" s="152"/>
      <c r="BH335" s="152"/>
      <c r="BI335" s="152">
        <v>1</v>
      </c>
      <c r="BJ335" s="152">
        <v>1</v>
      </c>
      <c r="BK335" s="152"/>
      <c r="BL335" s="152"/>
      <c r="BM335" s="152"/>
      <c r="BN335" s="152">
        <v>0</v>
      </c>
      <c r="BO335" s="152">
        <v>0</v>
      </c>
      <c r="BP335" s="152">
        <v>1680</v>
      </c>
    </row>
    <row r="336" spans="1:68" x14ac:dyDescent="0.35">
      <c r="A336" s="146" t="s">
        <v>911</v>
      </c>
      <c r="B336" s="146" t="s">
        <v>912</v>
      </c>
      <c r="C336" s="152">
        <v>57</v>
      </c>
      <c r="D336" s="152">
        <v>1</v>
      </c>
      <c r="E336" s="152"/>
      <c r="F336" s="152"/>
      <c r="G336" s="152">
        <v>58</v>
      </c>
      <c r="H336" s="152">
        <v>478</v>
      </c>
      <c r="I336" s="152">
        <v>84</v>
      </c>
      <c r="J336" s="152">
        <v>7</v>
      </c>
      <c r="K336" s="152">
        <v>5</v>
      </c>
      <c r="L336" s="152">
        <v>574</v>
      </c>
      <c r="M336" s="152">
        <v>632</v>
      </c>
      <c r="N336" s="152">
        <v>1</v>
      </c>
      <c r="O336" s="152"/>
      <c r="P336" s="152"/>
      <c r="Q336" s="152">
        <v>1</v>
      </c>
      <c r="R336" s="152">
        <v>1</v>
      </c>
      <c r="S336" s="152"/>
      <c r="T336" s="152"/>
      <c r="U336" s="152"/>
      <c r="V336" s="152">
        <v>1</v>
      </c>
      <c r="W336" s="152">
        <v>2</v>
      </c>
      <c r="X336" s="152">
        <v>1</v>
      </c>
      <c r="Y336" s="152"/>
      <c r="Z336" s="152"/>
      <c r="AA336" s="152">
        <v>1</v>
      </c>
      <c r="AB336" s="152"/>
      <c r="AC336" s="152"/>
      <c r="AD336" s="152"/>
      <c r="AE336" s="152"/>
      <c r="AF336" s="152">
        <v>0</v>
      </c>
      <c r="AG336" s="152">
        <v>1</v>
      </c>
      <c r="AH336" s="152">
        <v>2</v>
      </c>
      <c r="AI336" s="152"/>
      <c r="AJ336" s="152"/>
      <c r="AK336" s="152">
        <v>2</v>
      </c>
      <c r="AL336" s="152"/>
      <c r="AM336" s="152"/>
      <c r="AN336" s="152"/>
      <c r="AO336" s="152"/>
      <c r="AP336" s="152">
        <v>0</v>
      </c>
      <c r="AQ336" s="152">
        <v>2</v>
      </c>
      <c r="AR336" s="152">
        <v>4</v>
      </c>
      <c r="AS336" s="152"/>
      <c r="AT336" s="152"/>
      <c r="AU336" s="152">
        <v>4</v>
      </c>
      <c r="AV336" s="152">
        <v>27</v>
      </c>
      <c r="AW336" s="152">
        <v>3</v>
      </c>
      <c r="AX336" s="152"/>
      <c r="AY336" s="152"/>
      <c r="AZ336" s="152">
        <v>30</v>
      </c>
      <c r="BA336" s="152">
        <v>34</v>
      </c>
      <c r="BB336" s="152"/>
      <c r="BC336" s="152"/>
      <c r="BD336" s="152">
        <v>0</v>
      </c>
      <c r="BE336" s="152">
        <v>1</v>
      </c>
      <c r="BF336" s="152"/>
      <c r="BG336" s="152"/>
      <c r="BH336" s="152"/>
      <c r="BI336" s="152">
        <v>1</v>
      </c>
      <c r="BJ336" s="152">
        <v>1</v>
      </c>
      <c r="BK336" s="152"/>
      <c r="BL336" s="152"/>
      <c r="BM336" s="152"/>
      <c r="BN336" s="152">
        <v>0</v>
      </c>
      <c r="BO336" s="152">
        <v>0</v>
      </c>
      <c r="BP336" s="152">
        <v>672</v>
      </c>
    </row>
    <row r="337" spans="1:68" x14ac:dyDescent="0.35">
      <c r="A337" s="146" t="s">
        <v>913</v>
      </c>
      <c r="B337" s="146" t="s">
        <v>914</v>
      </c>
      <c r="C337" s="152">
        <v>50</v>
      </c>
      <c r="D337" s="152"/>
      <c r="E337" s="152"/>
      <c r="F337" s="152"/>
      <c r="G337" s="152">
        <v>50</v>
      </c>
      <c r="H337" s="152">
        <v>194</v>
      </c>
      <c r="I337" s="152">
        <v>48</v>
      </c>
      <c r="J337" s="152">
        <v>9</v>
      </c>
      <c r="K337" s="152">
        <v>3</v>
      </c>
      <c r="L337" s="152">
        <v>254</v>
      </c>
      <c r="M337" s="152">
        <v>304</v>
      </c>
      <c r="N337" s="152">
        <v>2</v>
      </c>
      <c r="O337" s="152"/>
      <c r="P337" s="152"/>
      <c r="Q337" s="152">
        <v>2</v>
      </c>
      <c r="R337" s="152">
        <v>2</v>
      </c>
      <c r="S337" s="152"/>
      <c r="T337" s="152"/>
      <c r="U337" s="152"/>
      <c r="V337" s="152">
        <v>2</v>
      </c>
      <c r="W337" s="152">
        <v>4</v>
      </c>
      <c r="X337" s="152">
        <v>1</v>
      </c>
      <c r="Y337" s="152"/>
      <c r="Z337" s="152"/>
      <c r="AA337" s="152">
        <v>1</v>
      </c>
      <c r="AB337" s="152"/>
      <c r="AC337" s="152"/>
      <c r="AD337" s="152"/>
      <c r="AE337" s="152"/>
      <c r="AF337" s="152">
        <v>0</v>
      </c>
      <c r="AG337" s="152">
        <v>1</v>
      </c>
      <c r="AH337" s="152"/>
      <c r="AI337" s="152"/>
      <c r="AJ337" s="152"/>
      <c r="AK337" s="152">
        <v>0</v>
      </c>
      <c r="AL337" s="152">
        <v>1</v>
      </c>
      <c r="AM337" s="152"/>
      <c r="AN337" s="152"/>
      <c r="AO337" s="152"/>
      <c r="AP337" s="152">
        <v>1</v>
      </c>
      <c r="AQ337" s="152">
        <v>1</v>
      </c>
      <c r="AR337" s="152">
        <v>6</v>
      </c>
      <c r="AS337" s="152"/>
      <c r="AT337" s="152"/>
      <c r="AU337" s="152">
        <v>6</v>
      </c>
      <c r="AV337" s="152">
        <v>10</v>
      </c>
      <c r="AW337" s="152"/>
      <c r="AX337" s="152"/>
      <c r="AY337" s="152"/>
      <c r="AZ337" s="152">
        <v>10</v>
      </c>
      <c r="BA337" s="152">
        <v>16</v>
      </c>
      <c r="BB337" s="152">
        <v>1</v>
      </c>
      <c r="BC337" s="152"/>
      <c r="BD337" s="152">
        <v>1</v>
      </c>
      <c r="BE337" s="152"/>
      <c r="BF337" s="152"/>
      <c r="BG337" s="152"/>
      <c r="BH337" s="152"/>
      <c r="BI337" s="152">
        <v>0</v>
      </c>
      <c r="BJ337" s="152">
        <v>1</v>
      </c>
      <c r="BK337" s="152"/>
      <c r="BL337" s="152"/>
      <c r="BM337" s="152"/>
      <c r="BN337" s="152">
        <v>0</v>
      </c>
      <c r="BO337" s="152">
        <v>0</v>
      </c>
      <c r="BP337" s="152">
        <v>327</v>
      </c>
    </row>
    <row r="338" spans="1:68" x14ac:dyDescent="0.35">
      <c r="A338" s="146" t="s">
        <v>915</v>
      </c>
      <c r="B338" s="146" t="s">
        <v>916</v>
      </c>
      <c r="C338" s="152">
        <v>29</v>
      </c>
      <c r="D338" s="152"/>
      <c r="E338" s="152"/>
      <c r="F338" s="152"/>
      <c r="G338" s="152">
        <v>29</v>
      </c>
      <c r="H338" s="152">
        <v>192</v>
      </c>
      <c r="I338" s="152">
        <v>37</v>
      </c>
      <c r="J338" s="152">
        <v>4</v>
      </c>
      <c r="K338" s="152">
        <v>2</v>
      </c>
      <c r="L338" s="152">
        <v>235</v>
      </c>
      <c r="M338" s="152">
        <v>264</v>
      </c>
      <c r="N338" s="152">
        <v>2</v>
      </c>
      <c r="O338" s="152"/>
      <c r="P338" s="152"/>
      <c r="Q338" s="152">
        <v>2</v>
      </c>
      <c r="R338" s="152"/>
      <c r="S338" s="152"/>
      <c r="T338" s="152"/>
      <c r="U338" s="152"/>
      <c r="V338" s="152">
        <v>0</v>
      </c>
      <c r="W338" s="152">
        <v>2</v>
      </c>
      <c r="X338" s="152"/>
      <c r="Y338" s="152"/>
      <c r="Z338" s="152"/>
      <c r="AA338" s="152">
        <v>0</v>
      </c>
      <c r="AB338" s="152">
        <v>1</v>
      </c>
      <c r="AC338" s="152"/>
      <c r="AD338" s="152"/>
      <c r="AE338" s="152"/>
      <c r="AF338" s="152">
        <v>1</v>
      </c>
      <c r="AG338" s="152">
        <v>1</v>
      </c>
      <c r="AH338" s="152"/>
      <c r="AI338" s="152"/>
      <c r="AJ338" s="152"/>
      <c r="AK338" s="152">
        <v>0</v>
      </c>
      <c r="AL338" s="152">
        <v>1</v>
      </c>
      <c r="AM338" s="152"/>
      <c r="AN338" s="152"/>
      <c r="AO338" s="152"/>
      <c r="AP338" s="152">
        <v>1</v>
      </c>
      <c r="AQ338" s="152">
        <v>1</v>
      </c>
      <c r="AR338" s="152">
        <v>7</v>
      </c>
      <c r="AS338" s="152"/>
      <c r="AT338" s="152"/>
      <c r="AU338" s="152">
        <v>7</v>
      </c>
      <c r="AV338" s="152">
        <v>12</v>
      </c>
      <c r="AW338" s="152"/>
      <c r="AX338" s="152"/>
      <c r="AY338" s="152"/>
      <c r="AZ338" s="152">
        <v>12</v>
      </c>
      <c r="BA338" s="152">
        <v>19</v>
      </c>
      <c r="BB338" s="152"/>
      <c r="BC338" s="152"/>
      <c r="BD338" s="152">
        <v>0</v>
      </c>
      <c r="BE338" s="152">
        <v>2</v>
      </c>
      <c r="BF338" s="152">
        <v>1</v>
      </c>
      <c r="BG338" s="152"/>
      <c r="BH338" s="152"/>
      <c r="BI338" s="152">
        <v>3</v>
      </c>
      <c r="BJ338" s="152">
        <v>3</v>
      </c>
      <c r="BK338" s="152"/>
      <c r="BL338" s="152"/>
      <c r="BM338" s="152"/>
      <c r="BN338" s="152">
        <v>0</v>
      </c>
      <c r="BO338" s="152">
        <v>0</v>
      </c>
      <c r="BP338" s="152">
        <v>290</v>
      </c>
    </row>
    <row r="339" spans="1:68" x14ac:dyDescent="0.35">
      <c r="A339" s="146" t="s">
        <v>917</v>
      </c>
      <c r="B339" s="146" t="s">
        <v>918</v>
      </c>
      <c r="C339" s="152">
        <v>18</v>
      </c>
      <c r="D339" s="152"/>
      <c r="E339" s="152"/>
      <c r="F339" s="152"/>
      <c r="G339" s="152">
        <v>18</v>
      </c>
      <c r="H339" s="152">
        <v>90</v>
      </c>
      <c r="I339" s="152">
        <v>3</v>
      </c>
      <c r="J339" s="152">
        <v>1</v>
      </c>
      <c r="K339" s="152"/>
      <c r="L339" s="152">
        <v>94</v>
      </c>
      <c r="M339" s="152">
        <v>112</v>
      </c>
      <c r="N339" s="152"/>
      <c r="O339" s="152"/>
      <c r="P339" s="152"/>
      <c r="Q339" s="152">
        <v>0</v>
      </c>
      <c r="R339" s="152"/>
      <c r="S339" s="152"/>
      <c r="T339" s="152"/>
      <c r="U339" s="152"/>
      <c r="V339" s="152">
        <v>0</v>
      </c>
      <c r="W339" s="152">
        <v>0</v>
      </c>
      <c r="X339" s="152">
        <v>1</v>
      </c>
      <c r="Y339" s="152"/>
      <c r="Z339" s="152"/>
      <c r="AA339" s="152">
        <v>1</v>
      </c>
      <c r="AB339" s="152">
        <v>1</v>
      </c>
      <c r="AC339" s="152"/>
      <c r="AD339" s="152"/>
      <c r="AE339" s="152"/>
      <c r="AF339" s="152">
        <v>1</v>
      </c>
      <c r="AG339" s="152">
        <v>2</v>
      </c>
      <c r="AH339" s="152"/>
      <c r="AI339" s="152"/>
      <c r="AJ339" s="152"/>
      <c r="AK339" s="152">
        <v>0</v>
      </c>
      <c r="AL339" s="152"/>
      <c r="AM339" s="152"/>
      <c r="AN339" s="152"/>
      <c r="AO339" s="152"/>
      <c r="AP339" s="152">
        <v>0</v>
      </c>
      <c r="AQ339" s="152">
        <v>0</v>
      </c>
      <c r="AR339" s="152">
        <v>8</v>
      </c>
      <c r="AS339" s="152"/>
      <c r="AT339" s="152"/>
      <c r="AU339" s="152">
        <v>8</v>
      </c>
      <c r="AV339" s="152">
        <v>5</v>
      </c>
      <c r="AW339" s="152"/>
      <c r="AX339" s="152"/>
      <c r="AY339" s="152"/>
      <c r="AZ339" s="152">
        <v>5</v>
      </c>
      <c r="BA339" s="152">
        <v>13</v>
      </c>
      <c r="BB339" s="152"/>
      <c r="BC339" s="152"/>
      <c r="BD339" s="152">
        <v>0</v>
      </c>
      <c r="BE339" s="152"/>
      <c r="BF339" s="152"/>
      <c r="BG339" s="152"/>
      <c r="BH339" s="152"/>
      <c r="BI339" s="152">
        <v>0</v>
      </c>
      <c r="BJ339" s="152">
        <v>0</v>
      </c>
      <c r="BK339" s="152"/>
      <c r="BL339" s="152"/>
      <c r="BM339" s="152"/>
      <c r="BN339" s="152">
        <v>0</v>
      </c>
      <c r="BO339" s="152">
        <v>0</v>
      </c>
      <c r="BP339" s="152">
        <v>127</v>
      </c>
    </row>
    <row r="340" spans="1:68" x14ac:dyDescent="0.35">
      <c r="A340" s="146" t="s">
        <v>919</v>
      </c>
      <c r="B340" s="146" t="s">
        <v>920</v>
      </c>
      <c r="C340" s="152">
        <v>2</v>
      </c>
      <c r="D340" s="152"/>
      <c r="E340" s="152"/>
      <c r="F340" s="152"/>
      <c r="G340" s="152">
        <v>2</v>
      </c>
      <c r="H340" s="152">
        <v>7</v>
      </c>
      <c r="I340" s="152"/>
      <c r="J340" s="152"/>
      <c r="K340" s="152"/>
      <c r="L340" s="152">
        <v>7</v>
      </c>
      <c r="M340" s="152">
        <v>9</v>
      </c>
      <c r="N340" s="152"/>
      <c r="O340" s="152"/>
      <c r="P340" s="152"/>
      <c r="Q340" s="152">
        <v>0</v>
      </c>
      <c r="R340" s="152"/>
      <c r="S340" s="152"/>
      <c r="T340" s="152"/>
      <c r="U340" s="152"/>
      <c r="V340" s="152">
        <v>0</v>
      </c>
      <c r="W340" s="152">
        <v>0</v>
      </c>
      <c r="X340" s="152">
        <v>1</v>
      </c>
      <c r="Y340" s="152"/>
      <c r="Z340" s="152"/>
      <c r="AA340" s="152">
        <v>1</v>
      </c>
      <c r="AB340" s="152"/>
      <c r="AC340" s="152"/>
      <c r="AD340" s="152"/>
      <c r="AE340" s="152"/>
      <c r="AF340" s="152">
        <v>0</v>
      </c>
      <c r="AG340" s="152">
        <v>1</v>
      </c>
      <c r="AH340" s="152"/>
      <c r="AI340" s="152"/>
      <c r="AJ340" s="152"/>
      <c r="AK340" s="152">
        <v>0</v>
      </c>
      <c r="AL340" s="152"/>
      <c r="AM340" s="152"/>
      <c r="AN340" s="152"/>
      <c r="AO340" s="152"/>
      <c r="AP340" s="152">
        <v>0</v>
      </c>
      <c r="AQ340" s="152">
        <v>0</v>
      </c>
      <c r="AR340" s="152"/>
      <c r="AS340" s="152"/>
      <c r="AT340" s="152"/>
      <c r="AU340" s="152">
        <v>0</v>
      </c>
      <c r="AV340" s="152">
        <v>1</v>
      </c>
      <c r="AW340" s="152"/>
      <c r="AX340" s="152"/>
      <c r="AY340" s="152"/>
      <c r="AZ340" s="152">
        <v>1</v>
      </c>
      <c r="BA340" s="152">
        <v>1</v>
      </c>
      <c r="BB340" s="152"/>
      <c r="BC340" s="152"/>
      <c r="BD340" s="152">
        <v>0</v>
      </c>
      <c r="BE340" s="152"/>
      <c r="BF340" s="152"/>
      <c r="BG340" s="152"/>
      <c r="BH340" s="152"/>
      <c r="BI340" s="152">
        <v>0</v>
      </c>
      <c r="BJ340" s="152">
        <v>0</v>
      </c>
      <c r="BK340" s="152"/>
      <c r="BL340" s="152"/>
      <c r="BM340" s="152"/>
      <c r="BN340" s="152">
        <v>0</v>
      </c>
      <c r="BO340" s="152">
        <v>0</v>
      </c>
      <c r="BP340" s="152">
        <v>11</v>
      </c>
    </row>
    <row r="341" spans="1:68" x14ac:dyDescent="0.35">
      <c r="A341" s="146" t="s">
        <v>921</v>
      </c>
      <c r="B341" s="146" t="s">
        <v>1251</v>
      </c>
      <c r="C341" s="152">
        <v>7</v>
      </c>
      <c r="D341" s="152"/>
      <c r="E341" s="152"/>
      <c r="F341" s="152"/>
      <c r="G341" s="152">
        <v>7</v>
      </c>
      <c r="H341" s="152">
        <v>37</v>
      </c>
      <c r="I341" s="152">
        <v>12</v>
      </c>
      <c r="J341" s="152">
        <v>5</v>
      </c>
      <c r="K341" s="152">
        <v>1</v>
      </c>
      <c r="L341" s="152">
        <v>55</v>
      </c>
      <c r="M341" s="152">
        <v>62</v>
      </c>
      <c r="N341" s="152">
        <v>1</v>
      </c>
      <c r="O341" s="152"/>
      <c r="P341" s="152"/>
      <c r="Q341" s="152">
        <v>1</v>
      </c>
      <c r="R341" s="152"/>
      <c r="S341" s="152"/>
      <c r="T341" s="152"/>
      <c r="U341" s="152"/>
      <c r="V341" s="152">
        <v>0</v>
      </c>
      <c r="W341" s="152">
        <v>1</v>
      </c>
      <c r="X341" s="152"/>
      <c r="Y341" s="152"/>
      <c r="Z341" s="152"/>
      <c r="AA341" s="152">
        <v>0</v>
      </c>
      <c r="AB341" s="152">
        <v>2</v>
      </c>
      <c r="AC341" s="152"/>
      <c r="AD341" s="152"/>
      <c r="AE341" s="152"/>
      <c r="AF341" s="152">
        <v>2</v>
      </c>
      <c r="AG341" s="152">
        <v>2</v>
      </c>
      <c r="AH341" s="152"/>
      <c r="AI341" s="152"/>
      <c r="AJ341" s="152"/>
      <c r="AK341" s="152">
        <v>0</v>
      </c>
      <c r="AL341" s="152"/>
      <c r="AM341" s="152"/>
      <c r="AN341" s="152"/>
      <c r="AO341" s="152"/>
      <c r="AP341" s="152">
        <v>0</v>
      </c>
      <c r="AQ341" s="152">
        <v>0</v>
      </c>
      <c r="AR341" s="152">
        <v>2</v>
      </c>
      <c r="AS341" s="152"/>
      <c r="AT341" s="152"/>
      <c r="AU341" s="152">
        <v>2</v>
      </c>
      <c r="AV341" s="152">
        <v>3</v>
      </c>
      <c r="AW341" s="152"/>
      <c r="AX341" s="152"/>
      <c r="AY341" s="152"/>
      <c r="AZ341" s="152">
        <v>3</v>
      </c>
      <c r="BA341" s="152">
        <v>5</v>
      </c>
      <c r="BB341" s="152"/>
      <c r="BC341" s="152"/>
      <c r="BD341" s="152">
        <v>0</v>
      </c>
      <c r="BE341" s="152"/>
      <c r="BF341" s="152"/>
      <c r="BG341" s="152"/>
      <c r="BH341" s="152"/>
      <c r="BI341" s="152">
        <v>0</v>
      </c>
      <c r="BJ341" s="152">
        <v>0</v>
      </c>
      <c r="BK341" s="152"/>
      <c r="BL341" s="152"/>
      <c r="BM341" s="152"/>
      <c r="BN341" s="152">
        <v>0</v>
      </c>
      <c r="BO341" s="152">
        <v>0</v>
      </c>
      <c r="BP341" s="152">
        <v>70</v>
      </c>
    </row>
    <row r="342" spans="1:68" x14ac:dyDescent="0.35">
      <c r="A342" s="146" t="s">
        <v>922</v>
      </c>
      <c r="B342" s="146" t="s">
        <v>923</v>
      </c>
      <c r="C342" s="152"/>
      <c r="D342" s="152"/>
      <c r="E342" s="152"/>
      <c r="F342" s="152"/>
      <c r="G342" s="152">
        <v>0</v>
      </c>
      <c r="H342" s="152"/>
      <c r="I342" s="152"/>
      <c r="J342" s="152"/>
      <c r="K342" s="152">
        <v>2</v>
      </c>
      <c r="L342" s="152">
        <v>2</v>
      </c>
      <c r="M342" s="152">
        <v>2</v>
      </c>
      <c r="N342" s="152"/>
      <c r="O342" s="152"/>
      <c r="P342" s="152"/>
      <c r="Q342" s="152">
        <v>0</v>
      </c>
      <c r="R342" s="152"/>
      <c r="S342" s="152"/>
      <c r="T342" s="152"/>
      <c r="U342" s="152"/>
      <c r="V342" s="152">
        <v>0</v>
      </c>
      <c r="W342" s="152">
        <v>0</v>
      </c>
      <c r="X342" s="152"/>
      <c r="Y342" s="152"/>
      <c r="Z342" s="152"/>
      <c r="AA342" s="152">
        <v>0</v>
      </c>
      <c r="AB342" s="152"/>
      <c r="AC342" s="152"/>
      <c r="AD342" s="152"/>
      <c r="AE342" s="152"/>
      <c r="AF342" s="152">
        <v>0</v>
      </c>
      <c r="AG342" s="152">
        <v>0</v>
      </c>
      <c r="AH342" s="152"/>
      <c r="AI342" s="152"/>
      <c r="AJ342" s="152"/>
      <c r="AK342" s="152">
        <v>0</v>
      </c>
      <c r="AL342" s="152"/>
      <c r="AM342" s="152"/>
      <c r="AN342" s="152"/>
      <c r="AO342" s="152"/>
      <c r="AP342" s="152">
        <v>0</v>
      </c>
      <c r="AQ342" s="152">
        <v>0</v>
      </c>
      <c r="AR342" s="152"/>
      <c r="AS342" s="152"/>
      <c r="AT342" s="152"/>
      <c r="AU342" s="152">
        <v>0</v>
      </c>
      <c r="AV342" s="152"/>
      <c r="AW342" s="152"/>
      <c r="AX342" s="152"/>
      <c r="AY342" s="152"/>
      <c r="AZ342" s="152">
        <v>0</v>
      </c>
      <c r="BA342" s="152">
        <v>0</v>
      </c>
      <c r="BB342" s="152"/>
      <c r="BC342" s="152"/>
      <c r="BD342" s="152">
        <v>0</v>
      </c>
      <c r="BE342" s="152"/>
      <c r="BF342" s="152"/>
      <c r="BG342" s="152"/>
      <c r="BH342" s="152"/>
      <c r="BI342" s="152">
        <v>0</v>
      </c>
      <c r="BJ342" s="152">
        <v>0</v>
      </c>
      <c r="BK342" s="152"/>
      <c r="BL342" s="152"/>
      <c r="BM342" s="152"/>
      <c r="BN342" s="152">
        <v>0</v>
      </c>
      <c r="BO342" s="152">
        <v>0</v>
      </c>
      <c r="BP342" s="152">
        <v>2</v>
      </c>
    </row>
    <row r="343" spans="1:68" x14ac:dyDescent="0.35">
      <c r="A343" s="146" t="s">
        <v>924</v>
      </c>
      <c r="B343" s="146" t="s">
        <v>925</v>
      </c>
      <c r="C343" s="152"/>
      <c r="D343" s="152"/>
      <c r="E343" s="152"/>
      <c r="F343" s="152"/>
      <c r="G343" s="152">
        <v>0</v>
      </c>
      <c r="H343" s="152"/>
      <c r="I343" s="152">
        <v>2</v>
      </c>
      <c r="J343" s="152"/>
      <c r="K343" s="152">
        <v>1</v>
      </c>
      <c r="L343" s="152">
        <v>3</v>
      </c>
      <c r="M343" s="152">
        <v>3</v>
      </c>
      <c r="N343" s="152"/>
      <c r="O343" s="152"/>
      <c r="P343" s="152"/>
      <c r="Q343" s="152">
        <v>0</v>
      </c>
      <c r="R343" s="152"/>
      <c r="S343" s="152"/>
      <c r="T343" s="152"/>
      <c r="U343" s="152"/>
      <c r="V343" s="152">
        <v>0</v>
      </c>
      <c r="W343" s="152">
        <v>0</v>
      </c>
      <c r="X343" s="152"/>
      <c r="Y343" s="152"/>
      <c r="Z343" s="152"/>
      <c r="AA343" s="152">
        <v>0</v>
      </c>
      <c r="AB343" s="152"/>
      <c r="AC343" s="152"/>
      <c r="AD343" s="152"/>
      <c r="AE343" s="152"/>
      <c r="AF343" s="152">
        <v>0</v>
      </c>
      <c r="AG343" s="152">
        <v>0</v>
      </c>
      <c r="AH343" s="152"/>
      <c r="AI343" s="152"/>
      <c r="AJ343" s="152"/>
      <c r="AK343" s="152">
        <v>0</v>
      </c>
      <c r="AL343" s="152"/>
      <c r="AM343" s="152"/>
      <c r="AN343" s="152"/>
      <c r="AO343" s="152"/>
      <c r="AP343" s="152">
        <v>0</v>
      </c>
      <c r="AQ343" s="152">
        <v>0</v>
      </c>
      <c r="AR343" s="152"/>
      <c r="AS343" s="152"/>
      <c r="AT343" s="152"/>
      <c r="AU343" s="152">
        <v>0</v>
      </c>
      <c r="AV343" s="152"/>
      <c r="AW343" s="152"/>
      <c r="AX343" s="152"/>
      <c r="AY343" s="152"/>
      <c r="AZ343" s="152">
        <v>0</v>
      </c>
      <c r="BA343" s="152">
        <v>0</v>
      </c>
      <c r="BB343" s="152"/>
      <c r="BC343" s="152"/>
      <c r="BD343" s="152">
        <v>0</v>
      </c>
      <c r="BE343" s="152"/>
      <c r="BF343" s="152"/>
      <c r="BG343" s="152"/>
      <c r="BH343" s="152"/>
      <c r="BI343" s="152">
        <v>0</v>
      </c>
      <c r="BJ343" s="152">
        <v>0</v>
      </c>
      <c r="BK343" s="152"/>
      <c r="BL343" s="152"/>
      <c r="BM343" s="152"/>
      <c r="BN343" s="152">
        <v>0</v>
      </c>
      <c r="BO343" s="152">
        <v>0</v>
      </c>
      <c r="BP343" s="152">
        <v>3</v>
      </c>
    </row>
    <row r="344" spans="1:68" x14ac:dyDescent="0.35">
      <c r="A344" s="146" t="s">
        <v>926</v>
      </c>
      <c r="B344" s="146" t="s">
        <v>927</v>
      </c>
      <c r="C344" s="152">
        <v>1</v>
      </c>
      <c r="D344" s="152"/>
      <c r="E344" s="152"/>
      <c r="F344" s="152"/>
      <c r="G344" s="152">
        <v>1</v>
      </c>
      <c r="H344" s="152">
        <v>3</v>
      </c>
      <c r="I344" s="152"/>
      <c r="J344" s="152">
        <v>1</v>
      </c>
      <c r="K344" s="152">
        <v>4</v>
      </c>
      <c r="L344" s="152">
        <v>8</v>
      </c>
      <c r="M344" s="152">
        <v>9</v>
      </c>
      <c r="N344" s="152"/>
      <c r="O344" s="152"/>
      <c r="P344" s="152"/>
      <c r="Q344" s="152">
        <v>0</v>
      </c>
      <c r="R344" s="152"/>
      <c r="S344" s="152"/>
      <c r="T344" s="152"/>
      <c r="U344" s="152"/>
      <c r="V344" s="152">
        <v>0</v>
      </c>
      <c r="W344" s="152">
        <v>0</v>
      </c>
      <c r="X344" s="152"/>
      <c r="Y344" s="152"/>
      <c r="Z344" s="152"/>
      <c r="AA344" s="152">
        <v>0</v>
      </c>
      <c r="AB344" s="152"/>
      <c r="AC344" s="152"/>
      <c r="AD344" s="152"/>
      <c r="AE344" s="152"/>
      <c r="AF344" s="152">
        <v>0</v>
      </c>
      <c r="AG344" s="152">
        <v>0</v>
      </c>
      <c r="AH344" s="152"/>
      <c r="AI344" s="152"/>
      <c r="AJ344" s="152"/>
      <c r="AK344" s="152">
        <v>0</v>
      </c>
      <c r="AL344" s="152"/>
      <c r="AM344" s="152"/>
      <c r="AN344" s="152"/>
      <c r="AO344" s="152"/>
      <c r="AP344" s="152">
        <v>0</v>
      </c>
      <c r="AQ344" s="152">
        <v>0</v>
      </c>
      <c r="AR344" s="152"/>
      <c r="AS344" s="152"/>
      <c r="AT344" s="152"/>
      <c r="AU344" s="152">
        <v>0</v>
      </c>
      <c r="AV344" s="152"/>
      <c r="AW344" s="152"/>
      <c r="AX344" s="152"/>
      <c r="AY344" s="152"/>
      <c r="AZ344" s="152">
        <v>0</v>
      </c>
      <c r="BA344" s="152">
        <v>0</v>
      </c>
      <c r="BB344" s="152"/>
      <c r="BC344" s="152"/>
      <c r="BD344" s="152">
        <v>0</v>
      </c>
      <c r="BE344" s="152"/>
      <c r="BF344" s="152"/>
      <c r="BG344" s="152"/>
      <c r="BH344" s="152"/>
      <c r="BI344" s="152">
        <v>0</v>
      </c>
      <c r="BJ344" s="152">
        <v>0</v>
      </c>
      <c r="BK344" s="152"/>
      <c r="BL344" s="152"/>
      <c r="BM344" s="152"/>
      <c r="BN344" s="152">
        <v>0</v>
      </c>
      <c r="BO344" s="152">
        <v>0</v>
      </c>
      <c r="BP344" s="152">
        <v>9</v>
      </c>
    </row>
    <row r="345" spans="1:68" x14ac:dyDescent="0.35">
      <c r="A345" s="146" t="s">
        <v>928</v>
      </c>
      <c r="B345" s="146" t="s">
        <v>929</v>
      </c>
      <c r="C345" s="152"/>
      <c r="D345" s="152"/>
      <c r="E345" s="152"/>
      <c r="F345" s="152"/>
      <c r="G345" s="152">
        <v>0</v>
      </c>
      <c r="H345" s="152">
        <v>1</v>
      </c>
      <c r="I345" s="152">
        <v>1</v>
      </c>
      <c r="J345" s="152">
        <v>2</v>
      </c>
      <c r="K345" s="152">
        <v>3</v>
      </c>
      <c r="L345" s="152">
        <v>7</v>
      </c>
      <c r="M345" s="152">
        <v>7</v>
      </c>
      <c r="N345" s="152"/>
      <c r="O345" s="152"/>
      <c r="P345" s="152"/>
      <c r="Q345" s="152">
        <v>0</v>
      </c>
      <c r="R345" s="152"/>
      <c r="S345" s="152"/>
      <c r="T345" s="152"/>
      <c r="U345" s="152"/>
      <c r="V345" s="152">
        <v>0</v>
      </c>
      <c r="W345" s="152">
        <v>0</v>
      </c>
      <c r="X345" s="152"/>
      <c r="Y345" s="152"/>
      <c r="Z345" s="152"/>
      <c r="AA345" s="152">
        <v>0</v>
      </c>
      <c r="AB345" s="152"/>
      <c r="AC345" s="152"/>
      <c r="AD345" s="152"/>
      <c r="AE345" s="152"/>
      <c r="AF345" s="152">
        <v>0</v>
      </c>
      <c r="AG345" s="152">
        <v>0</v>
      </c>
      <c r="AH345" s="152"/>
      <c r="AI345" s="152"/>
      <c r="AJ345" s="152"/>
      <c r="AK345" s="152">
        <v>0</v>
      </c>
      <c r="AL345" s="152"/>
      <c r="AM345" s="152"/>
      <c r="AN345" s="152"/>
      <c r="AO345" s="152"/>
      <c r="AP345" s="152">
        <v>0</v>
      </c>
      <c r="AQ345" s="152">
        <v>0</v>
      </c>
      <c r="AR345" s="152"/>
      <c r="AS345" s="152"/>
      <c r="AT345" s="152"/>
      <c r="AU345" s="152">
        <v>0</v>
      </c>
      <c r="AV345" s="152"/>
      <c r="AW345" s="152"/>
      <c r="AX345" s="152"/>
      <c r="AY345" s="152"/>
      <c r="AZ345" s="152">
        <v>0</v>
      </c>
      <c r="BA345" s="152">
        <v>0</v>
      </c>
      <c r="BB345" s="152"/>
      <c r="BC345" s="152"/>
      <c r="BD345" s="152">
        <v>0</v>
      </c>
      <c r="BE345" s="152"/>
      <c r="BF345" s="152"/>
      <c r="BG345" s="152"/>
      <c r="BH345" s="152"/>
      <c r="BI345" s="152">
        <v>0</v>
      </c>
      <c r="BJ345" s="152">
        <v>0</v>
      </c>
      <c r="BK345" s="152"/>
      <c r="BL345" s="152"/>
      <c r="BM345" s="152"/>
      <c r="BN345" s="152">
        <v>0</v>
      </c>
      <c r="BO345" s="152">
        <v>0</v>
      </c>
      <c r="BP345" s="152">
        <v>7</v>
      </c>
    </row>
    <row r="346" spans="1:68" x14ac:dyDescent="0.35">
      <c r="A346" s="146" t="s">
        <v>930</v>
      </c>
      <c r="B346" s="146" t="s">
        <v>931</v>
      </c>
      <c r="C346" s="152">
        <v>1</v>
      </c>
      <c r="D346" s="152"/>
      <c r="E346" s="152"/>
      <c r="F346" s="152"/>
      <c r="G346" s="152">
        <v>1</v>
      </c>
      <c r="H346" s="152">
        <v>22</v>
      </c>
      <c r="I346" s="152">
        <v>10</v>
      </c>
      <c r="J346" s="152">
        <v>5</v>
      </c>
      <c r="K346" s="152">
        <v>1</v>
      </c>
      <c r="L346" s="152">
        <v>38</v>
      </c>
      <c r="M346" s="152">
        <v>39</v>
      </c>
      <c r="N346" s="152"/>
      <c r="O346" s="152"/>
      <c r="P346" s="152"/>
      <c r="Q346" s="152">
        <v>0</v>
      </c>
      <c r="R346" s="152"/>
      <c r="S346" s="152"/>
      <c r="T346" s="152"/>
      <c r="U346" s="152"/>
      <c r="V346" s="152">
        <v>0</v>
      </c>
      <c r="W346" s="152">
        <v>0</v>
      </c>
      <c r="X346" s="152"/>
      <c r="Y346" s="152"/>
      <c r="Z346" s="152"/>
      <c r="AA346" s="152">
        <v>0</v>
      </c>
      <c r="AB346" s="152"/>
      <c r="AC346" s="152"/>
      <c r="AD346" s="152"/>
      <c r="AE346" s="152"/>
      <c r="AF346" s="152">
        <v>0</v>
      </c>
      <c r="AG346" s="152">
        <v>0</v>
      </c>
      <c r="AH346" s="152"/>
      <c r="AI346" s="152"/>
      <c r="AJ346" s="152"/>
      <c r="AK346" s="152">
        <v>0</v>
      </c>
      <c r="AL346" s="152"/>
      <c r="AM346" s="152"/>
      <c r="AN346" s="152"/>
      <c r="AO346" s="152"/>
      <c r="AP346" s="152">
        <v>0</v>
      </c>
      <c r="AQ346" s="152">
        <v>0</v>
      </c>
      <c r="AR346" s="152"/>
      <c r="AS346" s="152"/>
      <c r="AT346" s="152"/>
      <c r="AU346" s="152">
        <v>0</v>
      </c>
      <c r="AV346" s="152">
        <v>1</v>
      </c>
      <c r="AW346" s="152"/>
      <c r="AX346" s="152"/>
      <c r="AY346" s="152"/>
      <c r="AZ346" s="152">
        <v>1</v>
      </c>
      <c r="BA346" s="152">
        <v>1</v>
      </c>
      <c r="BB346" s="152"/>
      <c r="BC346" s="152"/>
      <c r="BD346" s="152">
        <v>0</v>
      </c>
      <c r="BE346" s="152"/>
      <c r="BF346" s="152"/>
      <c r="BG346" s="152"/>
      <c r="BH346" s="152"/>
      <c r="BI346" s="152">
        <v>0</v>
      </c>
      <c r="BJ346" s="152">
        <v>0</v>
      </c>
      <c r="BK346" s="152"/>
      <c r="BL346" s="152"/>
      <c r="BM346" s="152"/>
      <c r="BN346" s="152">
        <v>0</v>
      </c>
      <c r="BO346" s="152">
        <v>0</v>
      </c>
      <c r="BP346" s="152">
        <v>40</v>
      </c>
    </row>
    <row r="347" spans="1:68" x14ac:dyDescent="0.35">
      <c r="A347" s="146" t="s">
        <v>932</v>
      </c>
      <c r="B347" s="146" t="s">
        <v>933</v>
      </c>
      <c r="C347" s="152">
        <v>1</v>
      </c>
      <c r="D347" s="152"/>
      <c r="E347" s="152"/>
      <c r="F347" s="152"/>
      <c r="G347" s="152">
        <v>1</v>
      </c>
      <c r="H347" s="152">
        <v>58</v>
      </c>
      <c r="I347" s="152">
        <v>50</v>
      </c>
      <c r="J347" s="152">
        <v>74</v>
      </c>
      <c r="K347" s="152">
        <v>15</v>
      </c>
      <c r="L347" s="152">
        <v>197</v>
      </c>
      <c r="M347" s="152">
        <v>198</v>
      </c>
      <c r="N347" s="152"/>
      <c r="O347" s="152"/>
      <c r="P347" s="152"/>
      <c r="Q347" s="152">
        <v>0</v>
      </c>
      <c r="R347" s="152"/>
      <c r="S347" s="152">
        <v>2</v>
      </c>
      <c r="T347" s="152">
        <v>1</v>
      </c>
      <c r="U347" s="152"/>
      <c r="V347" s="152">
        <v>3</v>
      </c>
      <c r="W347" s="152">
        <v>3</v>
      </c>
      <c r="X347" s="152"/>
      <c r="Y347" s="152"/>
      <c r="Z347" s="152"/>
      <c r="AA347" s="152">
        <v>0</v>
      </c>
      <c r="AB347" s="152"/>
      <c r="AC347" s="152"/>
      <c r="AD347" s="152"/>
      <c r="AE347" s="152"/>
      <c r="AF347" s="152">
        <v>0</v>
      </c>
      <c r="AG347" s="152">
        <v>0</v>
      </c>
      <c r="AH347" s="152"/>
      <c r="AI347" s="152"/>
      <c r="AJ347" s="152"/>
      <c r="AK347" s="152">
        <v>0</v>
      </c>
      <c r="AL347" s="152"/>
      <c r="AM347" s="152"/>
      <c r="AN347" s="152"/>
      <c r="AO347" s="152"/>
      <c r="AP347" s="152">
        <v>0</v>
      </c>
      <c r="AQ347" s="152">
        <v>0</v>
      </c>
      <c r="AR347" s="152"/>
      <c r="AS347" s="152"/>
      <c r="AT347" s="152"/>
      <c r="AU347" s="152">
        <v>0</v>
      </c>
      <c r="AV347" s="152"/>
      <c r="AW347" s="152"/>
      <c r="AX347" s="152"/>
      <c r="AY347" s="152"/>
      <c r="AZ347" s="152">
        <v>0</v>
      </c>
      <c r="BA347" s="152">
        <v>0</v>
      </c>
      <c r="BB347" s="152"/>
      <c r="BC347" s="152"/>
      <c r="BD347" s="152">
        <v>0</v>
      </c>
      <c r="BE347" s="152"/>
      <c r="BF347" s="152">
        <v>1</v>
      </c>
      <c r="BG347" s="152"/>
      <c r="BH347" s="152"/>
      <c r="BI347" s="152">
        <v>1</v>
      </c>
      <c r="BJ347" s="152">
        <v>1</v>
      </c>
      <c r="BK347" s="152"/>
      <c r="BL347" s="152"/>
      <c r="BM347" s="152"/>
      <c r="BN347" s="152">
        <v>0</v>
      </c>
      <c r="BO347" s="152">
        <v>0</v>
      </c>
      <c r="BP347" s="152">
        <v>202</v>
      </c>
    </row>
    <row r="348" spans="1:68" x14ac:dyDescent="0.35">
      <c r="A348" s="146" t="s">
        <v>934</v>
      </c>
      <c r="B348" s="146" t="s">
        <v>935</v>
      </c>
      <c r="C348" s="152">
        <v>19</v>
      </c>
      <c r="D348" s="152"/>
      <c r="E348" s="152"/>
      <c r="F348" s="152"/>
      <c r="G348" s="152">
        <v>19</v>
      </c>
      <c r="H348" s="152">
        <v>114</v>
      </c>
      <c r="I348" s="152">
        <v>84</v>
      </c>
      <c r="J348" s="152">
        <v>49</v>
      </c>
      <c r="K348" s="152">
        <v>22</v>
      </c>
      <c r="L348" s="152">
        <v>269</v>
      </c>
      <c r="M348" s="152">
        <v>288</v>
      </c>
      <c r="N348" s="152">
        <v>4</v>
      </c>
      <c r="O348" s="152"/>
      <c r="P348" s="152"/>
      <c r="Q348" s="152">
        <v>4</v>
      </c>
      <c r="R348" s="152"/>
      <c r="S348" s="152"/>
      <c r="T348" s="152"/>
      <c r="U348" s="152"/>
      <c r="V348" s="152">
        <v>0</v>
      </c>
      <c r="W348" s="152">
        <v>4</v>
      </c>
      <c r="X348" s="152">
        <v>2</v>
      </c>
      <c r="Y348" s="152"/>
      <c r="Z348" s="152"/>
      <c r="AA348" s="152">
        <v>2</v>
      </c>
      <c r="AB348" s="152"/>
      <c r="AC348" s="152"/>
      <c r="AD348" s="152"/>
      <c r="AE348" s="152"/>
      <c r="AF348" s="152">
        <v>0</v>
      </c>
      <c r="AG348" s="152">
        <v>2</v>
      </c>
      <c r="AH348" s="152">
        <v>1</v>
      </c>
      <c r="AI348" s="152"/>
      <c r="AJ348" s="152"/>
      <c r="AK348" s="152">
        <v>1</v>
      </c>
      <c r="AL348" s="152">
        <v>1</v>
      </c>
      <c r="AM348" s="152"/>
      <c r="AN348" s="152"/>
      <c r="AO348" s="152"/>
      <c r="AP348" s="152">
        <v>1</v>
      </c>
      <c r="AQ348" s="152">
        <v>2</v>
      </c>
      <c r="AR348" s="152">
        <v>5</v>
      </c>
      <c r="AS348" s="152"/>
      <c r="AT348" s="152"/>
      <c r="AU348" s="152">
        <v>5</v>
      </c>
      <c r="AV348" s="152">
        <v>5</v>
      </c>
      <c r="AW348" s="152">
        <v>2</v>
      </c>
      <c r="AX348" s="152"/>
      <c r="AY348" s="152"/>
      <c r="AZ348" s="152">
        <v>7</v>
      </c>
      <c r="BA348" s="152">
        <v>12</v>
      </c>
      <c r="BB348" s="152">
        <v>1</v>
      </c>
      <c r="BC348" s="152"/>
      <c r="BD348" s="152">
        <v>1</v>
      </c>
      <c r="BE348" s="152"/>
      <c r="BF348" s="152">
        <v>1</v>
      </c>
      <c r="BG348" s="152"/>
      <c r="BH348" s="152"/>
      <c r="BI348" s="152">
        <v>1</v>
      </c>
      <c r="BJ348" s="152">
        <v>2</v>
      </c>
      <c r="BK348" s="152"/>
      <c r="BL348" s="152"/>
      <c r="BM348" s="152"/>
      <c r="BN348" s="152">
        <v>0</v>
      </c>
      <c r="BO348" s="152">
        <v>0</v>
      </c>
      <c r="BP348" s="152">
        <v>310</v>
      </c>
    </row>
    <row r="349" spans="1:68" x14ac:dyDescent="0.35">
      <c r="A349" s="146" t="s">
        <v>936</v>
      </c>
      <c r="B349" s="146" t="s">
        <v>1252</v>
      </c>
      <c r="C349" s="152">
        <v>11</v>
      </c>
      <c r="D349" s="152"/>
      <c r="E349" s="152"/>
      <c r="F349" s="152"/>
      <c r="G349" s="152">
        <v>11</v>
      </c>
      <c r="H349" s="152">
        <v>19</v>
      </c>
      <c r="I349" s="152">
        <v>2</v>
      </c>
      <c r="J349" s="152"/>
      <c r="K349" s="152">
        <v>2</v>
      </c>
      <c r="L349" s="152">
        <v>23</v>
      </c>
      <c r="M349" s="152">
        <v>34</v>
      </c>
      <c r="N349" s="152"/>
      <c r="O349" s="152"/>
      <c r="P349" s="152"/>
      <c r="Q349" s="152">
        <v>0</v>
      </c>
      <c r="R349" s="152"/>
      <c r="S349" s="152"/>
      <c r="T349" s="152"/>
      <c r="U349" s="152"/>
      <c r="V349" s="152">
        <v>0</v>
      </c>
      <c r="W349" s="152">
        <v>0</v>
      </c>
      <c r="X349" s="152"/>
      <c r="Y349" s="152"/>
      <c r="Z349" s="152"/>
      <c r="AA349" s="152">
        <v>0</v>
      </c>
      <c r="AB349" s="152"/>
      <c r="AC349" s="152"/>
      <c r="AD349" s="152"/>
      <c r="AE349" s="152"/>
      <c r="AF349" s="152">
        <v>0</v>
      </c>
      <c r="AG349" s="152">
        <v>0</v>
      </c>
      <c r="AH349" s="152">
        <v>1</v>
      </c>
      <c r="AI349" s="152"/>
      <c r="AJ349" s="152"/>
      <c r="AK349" s="152">
        <v>1</v>
      </c>
      <c r="AL349" s="152"/>
      <c r="AM349" s="152"/>
      <c r="AN349" s="152"/>
      <c r="AO349" s="152"/>
      <c r="AP349" s="152">
        <v>0</v>
      </c>
      <c r="AQ349" s="152">
        <v>1</v>
      </c>
      <c r="AR349" s="152">
        <v>1</v>
      </c>
      <c r="AS349" s="152"/>
      <c r="AT349" s="152"/>
      <c r="AU349" s="152">
        <v>1</v>
      </c>
      <c r="AV349" s="152">
        <v>1</v>
      </c>
      <c r="AW349" s="152"/>
      <c r="AX349" s="152"/>
      <c r="AY349" s="152"/>
      <c r="AZ349" s="152">
        <v>1</v>
      </c>
      <c r="BA349" s="152">
        <v>2</v>
      </c>
      <c r="BB349" s="152"/>
      <c r="BC349" s="152"/>
      <c r="BD349" s="152">
        <v>0</v>
      </c>
      <c r="BE349" s="152"/>
      <c r="BF349" s="152"/>
      <c r="BG349" s="152"/>
      <c r="BH349" s="152"/>
      <c r="BI349" s="152">
        <v>0</v>
      </c>
      <c r="BJ349" s="152">
        <v>0</v>
      </c>
      <c r="BK349" s="152"/>
      <c r="BL349" s="152"/>
      <c r="BM349" s="152"/>
      <c r="BN349" s="152">
        <v>0</v>
      </c>
      <c r="BO349" s="152">
        <v>0</v>
      </c>
      <c r="BP349" s="152">
        <v>37</v>
      </c>
    </row>
    <row r="350" spans="1:68" x14ac:dyDescent="0.35">
      <c r="A350" s="146" t="s">
        <v>937</v>
      </c>
      <c r="B350" s="146" t="s">
        <v>938</v>
      </c>
      <c r="C350" s="152">
        <v>2</v>
      </c>
      <c r="D350" s="152"/>
      <c r="E350" s="152"/>
      <c r="F350" s="152"/>
      <c r="G350" s="152">
        <v>2</v>
      </c>
      <c r="H350" s="152">
        <v>4</v>
      </c>
      <c r="I350" s="152"/>
      <c r="J350" s="152"/>
      <c r="K350" s="152">
        <v>2</v>
      </c>
      <c r="L350" s="152">
        <v>6</v>
      </c>
      <c r="M350" s="152">
        <v>8</v>
      </c>
      <c r="N350" s="152"/>
      <c r="O350" s="152"/>
      <c r="P350" s="152"/>
      <c r="Q350" s="152">
        <v>0</v>
      </c>
      <c r="R350" s="152"/>
      <c r="S350" s="152"/>
      <c r="T350" s="152"/>
      <c r="U350" s="152"/>
      <c r="V350" s="152">
        <v>0</v>
      </c>
      <c r="W350" s="152">
        <v>0</v>
      </c>
      <c r="X350" s="152"/>
      <c r="Y350" s="152"/>
      <c r="Z350" s="152"/>
      <c r="AA350" s="152">
        <v>0</v>
      </c>
      <c r="AB350" s="152"/>
      <c r="AC350" s="152"/>
      <c r="AD350" s="152"/>
      <c r="AE350" s="152"/>
      <c r="AF350" s="152">
        <v>0</v>
      </c>
      <c r="AG350" s="152">
        <v>0</v>
      </c>
      <c r="AH350" s="152"/>
      <c r="AI350" s="152"/>
      <c r="AJ350" s="152"/>
      <c r="AK350" s="152">
        <v>0</v>
      </c>
      <c r="AL350" s="152"/>
      <c r="AM350" s="152"/>
      <c r="AN350" s="152"/>
      <c r="AO350" s="152"/>
      <c r="AP350" s="152">
        <v>0</v>
      </c>
      <c r="AQ350" s="152">
        <v>0</v>
      </c>
      <c r="AR350" s="152"/>
      <c r="AS350" s="152"/>
      <c r="AT350" s="152"/>
      <c r="AU350" s="152">
        <v>0</v>
      </c>
      <c r="AV350" s="152"/>
      <c r="AW350" s="152"/>
      <c r="AX350" s="152"/>
      <c r="AY350" s="152"/>
      <c r="AZ350" s="152">
        <v>0</v>
      </c>
      <c r="BA350" s="152">
        <v>0</v>
      </c>
      <c r="BB350" s="152"/>
      <c r="BC350" s="152"/>
      <c r="BD350" s="152">
        <v>0</v>
      </c>
      <c r="BE350" s="152"/>
      <c r="BF350" s="152"/>
      <c r="BG350" s="152"/>
      <c r="BH350" s="152"/>
      <c r="BI350" s="152">
        <v>0</v>
      </c>
      <c r="BJ350" s="152">
        <v>0</v>
      </c>
      <c r="BK350" s="152"/>
      <c r="BL350" s="152"/>
      <c r="BM350" s="152"/>
      <c r="BN350" s="152">
        <v>0</v>
      </c>
      <c r="BO350" s="152">
        <v>0</v>
      </c>
      <c r="BP350" s="152">
        <v>8</v>
      </c>
    </row>
    <row r="351" spans="1:68" x14ac:dyDescent="0.35">
      <c r="A351" s="146" t="s">
        <v>1199</v>
      </c>
      <c r="B351" s="146" t="s">
        <v>1253</v>
      </c>
      <c r="C351" s="152"/>
      <c r="D351" s="152"/>
      <c r="E351" s="152"/>
      <c r="F351" s="152"/>
      <c r="G351" s="152">
        <v>0</v>
      </c>
      <c r="H351" s="152"/>
      <c r="I351" s="152"/>
      <c r="J351" s="152"/>
      <c r="K351" s="152">
        <v>1</v>
      </c>
      <c r="L351" s="152">
        <v>1</v>
      </c>
      <c r="M351" s="152">
        <v>1</v>
      </c>
      <c r="N351" s="152"/>
      <c r="O351" s="152"/>
      <c r="P351" s="152"/>
      <c r="Q351" s="152">
        <v>0</v>
      </c>
      <c r="R351" s="152"/>
      <c r="S351" s="152"/>
      <c r="T351" s="152"/>
      <c r="U351" s="152"/>
      <c r="V351" s="152">
        <v>0</v>
      </c>
      <c r="W351" s="152">
        <v>0</v>
      </c>
      <c r="X351" s="152"/>
      <c r="Y351" s="152"/>
      <c r="Z351" s="152"/>
      <c r="AA351" s="152">
        <v>0</v>
      </c>
      <c r="AB351" s="152"/>
      <c r="AC351" s="152"/>
      <c r="AD351" s="152"/>
      <c r="AE351" s="152"/>
      <c r="AF351" s="152">
        <v>0</v>
      </c>
      <c r="AG351" s="152">
        <v>0</v>
      </c>
      <c r="AH351" s="152"/>
      <c r="AI351" s="152"/>
      <c r="AJ351" s="152"/>
      <c r="AK351" s="152">
        <v>0</v>
      </c>
      <c r="AL351" s="152"/>
      <c r="AM351" s="152"/>
      <c r="AN351" s="152"/>
      <c r="AO351" s="152"/>
      <c r="AP351" s="152">
        <v>0</v>
      </c>
      <c r="AQ351" s="152">
        <v>0</v>
      </c>
      <c r="AR351" s="152"/>
      <c r="AS351" s="152"/>
      <c r="AT351" s="152"/>
      <c r="AU351" s="152">
        <v>0</v>
      </c>
      <c r="AV351" s="152"/>
      <c r="AW351" s="152"/>
      <c r="AX351" s="152"/>
      <c r="AY351" s="152"/>
      <c r="AZ351" s="152">
        <v>0</v>
      </c>
      <c r="BA351" s="152">
        <v>0</v>
      </c>
      <c r="BB351" s="152"/>
      <c r="BC351" s="152"/>
      <c r="BD351" s="152">
        <v>0</v>
      </c>
      <c r="BE351" s="152"/>
      <c r="BF351" s="152"/>
      <c r="BG351" s="152"/>
      <c r="BH351" s="152"/>
      <c r="BI351" s="152">
        <v>0</v>
      </c>
      <c r="BJ351" s="152">
        <v>0</v>
      </c>
      <c r="BK351" s="152"/>
      <c r="BL351" s="152"/>
      <c r="BM351" s="152"/>
      <c r="BN351" s="152">
        <v>0</v>
      </c>
      <c r="BO351" s="152">
        <v>0</v>
      </c>
      <c r="BP351" s="152">
        <v>1</v>
      </c>
    </row>
    <row r="352" spans="1:68" x14ac:dyDescent="0.35">
      <c r="A352" s="146" t="s">
        <v>940</v>
      </c>
      <c r="B352" s="146" t="s">
        <v>941</v>
      </c>
      <c r="C352" s="152">
        <v>4</v>
      </c>
      <c r="D352" s="152"/>
      <c r="E352" s="152"/>
      <c r="F352" s="152"/>
      <c r="G352" s="152">
        <v>4</v>
      </c>
      <c r="H352" s="152">
        <v>1</v>
      </c>
      <c r="I352" s="152">
        <v>1</v>
      </c>
      <c r="J352" s="152"/>
      <c r="K352" s="152"/>
      <c r="L352" s="152">
        <v>2</v>
      </c>
      <c r="M352" s="152">
        <v>6</v>
      </c>
      <c r="N352" s="152"/>
      <c r="O352" s="152"/>
      <c r="P352" s="152"/>
      <c r="Q352" s="152">
        <v>0</v>
      </c>
      <c r="R352" s="152"/>
      <c r="S352" s="152"/>
      <c r="T352" s="152"/>
      <c r="U352" s="152"/>
      <c r="V352" s="152">
        <v>0</v>
      </c>
      <c r="W352" s="152">
        <v>0</v>
      </c>
      <c r="X352" s="152">
        <v>1</v>
      </c>
      <c r="Y352" s="152"/>
      <c r="Z352" s="152"/>
      <c r="AA352" s="152">
        <v>1</v>
      </c>
      <c r="AB352" s="152"/>
      <c r="AC352" s="152"/>
      <c r="AD352" s="152"/>
      <c r="AE352" s="152"/>
      <c r="AF352" s="152">
        <v>0</v>
      </c>
      <c r="AG352" s="152">
        <v>1</v>
      </c>
      <c r="AH352" s="152"/>
      <c r="AI352" s="152"/>
      <c r="AJ352" s="152"/>
      <c r="AK352" s="152">
        <v>0</v>
      </c>
      <c r="AL352" s="152"/>
      <c r="AM352" s="152"/>
      <c r="AN352" s="152"/>
      <c r="AO352" s="152"/>
      <c r="AP352" s="152">
        <v>0</v>
      </c>
      <c r="AQ352" s="152">
        <v>0</v>
      </c>
      <c r="AR352" s="152"/>
      <c r="AS352" s="152"/>
      <c r="AT352" s="152"/>
      <c r="AU352" s="152">
        <v>0</v>
      </c>
      <c r="AV352" s="152"/>
      <c r="AW352" s="152"/>
      <c r="AX352" s="152"/>
      <c r="AY352" s="152"/>
      <c r="AZ352" s="152">
        <v>0</v>
      </c>
      <c r="BA352" s="152">
        <v>0</v>
      </c>
      <c r="BB352" s="152"/>
      <c r="BC352" s="152"/>
      <c r="BD352" s="152">
        <v>0</v>
      </c>
      <c r="BE352" s="152"/>
      <c r="BF352" s="152"/>
      <c r="BG352" s="152"/>
      <c r="BH352" s="152"/>
      <c r="BI352" s="152">
        <v>0</v>
      </c>
      <c r="BJ352" s="152">
        <v>0</v>
      </c>
      <c r="BK352" s="152"/>
      <c r="BL352" s="152"/>
      <c r="BM352" s="152"/>
      <c r="BN352" s="152">
        <v>0</v>
      </c>
      <c r="BO352" s="152">
        <v>0</v>
      </c>
      <c r="BP352" s="152">
        <v>7</v>
      </c>
    </row>
    <row r="353" spans="1:68" x14ac:dyDescent="0.35">
      <c r="A353" s="146" t="s">
        <v>942</v>
      </c>
      <c r="B353" s="146" t="s">
        <v>1254</v>
      </c>
      <c r="C353" s="152">
        <v>1</v>
      </c>
      <c r="D353" s="152"/>
      <c r="E353" s="152"/>
      <c r="F353" s="152"/>
      <c r="G353" s="152">
        <v>1</v>
      </c>
      <c r="H353" s="152">
        <v>5</v>
      </c>
      <c r="I353" s="152"/>
      <c r="J353" s="152"/>
      <c r="K353" s="152"/>
      <c r="L353" s="152">
        <v>5</v>
      </c>
      <c r="M353" s="152">
        <v>6</v>
      </c>
      <c r="N353" s="152"/>
      <c r="O353" s="152"/>
      <c r="P353" s="152"/>
      <c r="Q353" s="152">
        <v>0</v>
      </c>
      <c r="R353" s="152"/>
      <c r="S353" s="152"/>
      <c r="T353" s="152"/>
      <c r="U353" s="152"/>
      <c r="V353" s="152">
        <v>0</v>
      </c>
      <c r="W353" s="152">
        <v>0</v>
      </c>
      <c r="X353" s="152">
        <v>1</v>
      </c>
      <c r="Y353" s="152"/>
      <c r="Z353" s="152"/>
      <c r="AA353" s="152">
        <v>1</v>
      </c>
      <c r="AB353" s="152"/>
      <c r="AC353" s="152"/>
      <c r="AD353" s="152"/>
      <c r="AE353" s="152"/>
      <c r="AF353" s="152">
        <v>0</v>
      </c>
      <c r="AG353" s="152">
        <v>1</v>
      </c>
      <c r="AH353" s="152"/>
      <c r="AI353" s="152"/>
      <c r="AJ353" s="152"/>
      <c r="AK353" s="152">
        <v>0</v>
      </c>
      <c r="AL353" s="152">
        <v>2</v>
      </c>
      <c r="AM353" s="152"/>
      <c r="AN353" s="152"/>
      <c r="AO353" s="152"/>
      <c r="AP353" s="152">
        <v>2</v>
      </c>
      <c r="AQ353" s="152">
        <v>2</v>
      </c>
      <c r="AR353" s="152"/>
      <c r="AS353" s="152"/>
      <c r="AT353" s="152"/>
      <c r="AU353" s="152">
        <v>0</v>
      </c>
      <c r="AV353" s="152">
        <v>1</v>
      </c>
      <c r="AW353" s="152"/>
      <c r="AX353" s="152"/>
      <c r="AY353" s="152"/>
      <c r="AZ353" s="152">
        <v>1</v>
      </c>
      <c r="BA353" s="152">
        <v>1</v>
      </c>
      <c r="BB353" s="152"/>
      <c r="BC353" s="152"/>
      <c r="BD353" s="152">
        <v>0</v>
      </c>
      <c r="BE353" s="152"/>
      <c r="BF353" s="152"/>
      <c r="BG353" s="152"/>
      <c r="BH353" s="152"/>
      <c r="BI353" s="152">
        <v>0</v>
      </c>
      <c r="BJ353" s="152">
        <v>0</v>
      </c>
      <c r="BK353" s="152"/>
      <c r="BL353" s="152"/>
      <c r="BM353" s="152"/>
      <c r="BN353" s="152">
        <v>0</v>
      </c>
      <c r="BO353" s="152">
        <v>0</v>
      </c>
      <c r="BP353" s="152">
        <v>10</v>
      </c>
    </row>
    <row r="354" spans="1:68" x14ac:dyDescent="0.35">
      <c r="A354" s="146" t="s">
        <v>1379</v>
      </c>
      <c r="B354" s="146" t="s">
        <v>1380</v>
      </c>
      <c r="C354" s="152">
        <v>1</v>
      </c>
      <c r="D354" s="152"/>
      <c r="E354" s="152"/>
      <c r="F354" s="152"/>
      <c r="G354" s="152">
        <v>1</v>
      </c>
      <c r="H354" s="152"/>
      <c r="I354" s="152"/>
      <c r="J354" s="152"/>
      <c r="K354" s="152"/>
      <c r="L354" s="152">
        <v>0</v>
      </c>
      <c r="M354" s="152">
        <v>1</v>
      </c>
      <c r="N354" s="152"/>
      <c r="O354" s="152"/>
      <c r="P354" s="152"/>
      <c r="Q354" s="152">
        <v>0</v>
      </c>
      <c r="R354" s="152"/>
      <c r="S354" s="152"/>
      <c r="T354" s="152"/>
      <c r="U354" s="152"/>
      <c r="V354" s="152">
        <v>0</v>
      </c>
      <c r="W354" s="152">
        <v>0</v>
      </c>
      <c r="X354" s="152"/>
      <c r="Y354" s="152"/>
      <c r="Z354" s="152"/>
      <c r="AA354" s="152">
        <v>0</v>
      </c>
      <c r="AB354" s="152"/>
      <c r="AC354" s="152"/>
      <c r="AD354" s="152"/>
      <c r="AE354" s="152"/>
      <c r="AF354" s="152">
        <v>0</v>
      </c>
      <c r="AG354" s="152">
        <v>0</v>
      </c>
      <c r="AH354" s="152"/>
      <c r="AI354" s="152"/>
      <c r="AJ354" s="152"/>
      <c r="AK354" s="152">
        <v>0</v>
      </c>
      <c r="AL354" s="152"/>
      <c r="AM354" s="152"/>
      <c r="AN354" s="152"/>
      <c r="AO354" s="152"/>
      <c r="AP354" s="152">
        <v>0</v>
      </c>
      <c r="AQ354" s="152">
        <v>0</v>
      </c>
      <c r="AR354" s="152"/>
      <c r="AS354" s="152"/>
      <c r="AT354" s="152"/>
      <c r="AU354" s="152">
        <v>0</v>
      </c>
      <c r="AV354" s="152"/>
      <c r="AW354" s="152"/>
      <c r="AX354" s="152"/>
      <c r="AY354" s="152"/>
      <c r="AZ354" s="152">
        <v>0</v>
      </c>
      <c r="BA354" s="152">
        <v>0</v>
      </c>
      <c r="BB354" s="152"/>
      <c r="BC354" s="152"/>
      <c r="BD354" s="152">
        <v>0</v>
      </c>
      <c r="BE354" s="152"/>
      <c r="BF354" s="152"/>
      <c r="BG354" s="152"/>
      <c r="BH354" s="152"/>
      <c r="BI354" s="152">
        <v>0</v>
      </c>
      <c r="BJ354" s="152">
        <v>0</v>
      </c>
      <c r="BK354" s="152"/>
      <c r="BL354" s="152"/>
      <c r="BM354" s="152"/>
      <c r="BN354" s="152">
        <v>0</v>
      </c>
      <c r="BO354" s="152">
        <v>0</v>
      </c>
      <c r="BP354" s="152">
        <v>1</v>
      </c>
    </row>
    <row r="355" spans="1:68" x14ac:dyDescent="0.35">
      <c r="A355" s="146" t="s">
        <v>943</v>
      </c>
      <c r="B355" s="146" t="s">
        <v>1255</v>
      </c>
      <c r="C355" s="152"/>
      <c r="D355" s="152"/>
      <c r="E355" s="152"/>
      <c r="F355" s="152"/>
      <c r="G355" s="152">
        <v>0</v>
      </c>
      <c r="H355" s="152"/>
      <c r="I355" s="152"/>
      <c r="J355" s="152"/>
      <c r="K355" s="152">
        <v>1</v>
      </c>
      <c r="L355" s="152">
        <v>1</v>
      </c>
      <c r="M355" s="152">
        <v>1</v>
      </c>
      <c r="N355" s="152"/>
      <c r="O355" s="152"/>
      <c r="P355" s="152"/>
      <c r="Q355" s="152">
        <v>0</v>
      </c>
      <c r="R355" s="152"/>
      <c r="S355" s="152"/>
      <c r="T355" s="152"/>
      <c r="U355" s="152"/>
      <c r="V355" s="152">
        <v>0</v>
      </c>
      <c r="W355" s="152">
        <v>0</v>
      </c>
      <c r="X355" s="152"/>
      <c r="Y355" s="152"/>
      <c r="Z355" s="152"/>
      <c r="AA355" s="152">
        <v>0</v>
      </c>
      <c r="AB355" s="152"/>
      <c r="AC355" s="152"/>
      <c r="AD355" s="152"/>
      <c r="AE355" s="152"/>
      <c r="AF355" s="152">
        <v>0</v>
      </c>
      <c r="AG355" s="152">
        <v>0</v>
      </c>
      <c r="AH355" s="152"/>
      <c r="AI355" s="152"/>
      <c r="AJ355" s="152"/>
      <c r="AK355" s="152">
        <v>0</v>
      </c>
      <c r="AL355" s="152"/>
      <c r="AM355" s="152"/>
      <c r="AN355" s="152"/>
      <c r="AO355" s="152"/>
      <c r="AP355" s="152">
        <v>0</v>
      </c>
      <c r="AQ355" s="152">
        <v>0</v>
      </c>
      <c r="AR355" s="152"/>
      <c r="AS355" s="152"/>
      <c r="AT355" s="152"/>
      <c r="AU355" s="152">
        <v>0</v>
      </c>
      <c r="AV355" s="152"/>
      <c r="AW355" s="152"/>
      <c r="AX355" s="152"/>
      <c r="AY355" s="152"/>
      <c r="AZ355" s="152">
        <v>0</v>
      </c>
      <c r="BA355" s="152">
        <v>0</v>
      </c>
      <c r="BB355" s="152"/>
      <c r="BC355" s="152"/>
      <c r="BD355" s="152">
        <v>0</v>
      </c>
      <c r="BE355" s="152"/>
      <c r="BF355" s="152"/>
      <c r="BG355" s="152"/>
      <c r="BH355" s="152"/>
      <c r="BI355" s="152">
        <v>0</v>
      </c>
      <c r="BJ355" s="152">
        <v>0</v>
      </c>
      <c r="BK355" s="152"/>
      <c r="BL355" s="152"/>
      <c r="BM355" s="152"/>
      <c r="BN355" s="152">
        <v>0</v>
      </c>
      <c r="BO355" s="152">
        <v>0</v>
      </c>
      <c r="BP355" s="152">
        <v>1</v>
      </c>
    </row>
    <row r="356" spans="1:68" x14ac:dyDescent="0.35">
      <c r="A356" s="146" t="s">
        <v>944</v>
      </c>
      <c r="B356" s="146" t="s">
        <v>945</v>
      </c>
      <c r="C356" s="152"/>
      <c r="D356" s="152"/>
      <c r="E356" s="152"/>
      <c r="F356" s="152"/>
      <c r="G356" s="152">
        <v>0</v>
      </c>
      <c r="H356" s="152">
        <v>1</v>
      </c>
      <c r="I356" s="152">
        <v>1</v>
      </c>
      <c r="J356" s="152"/>
      <c r="K356" s="152"/>
      <c r="L356" s="152">
        <v>2</v>
      </c>
      <c r="M356" s="152">
        <v>2</v>
      </c>
      <c r="N356" s="152"/>
      <c r="O356" s="152"/>
      <c r="P356" s="152"/>
      <c r="Q356" s="152">
        <v>0</v>
      </c>
      <c r="R356" s="152"/>
      <c r="S356" s="152"/>
      <c r="T356" s="152"/>
      <c r="U356" s="152"/>
      <c r="V356" s="152">
        <v>0</v>
      </c>
      <c r="W356" s="152">
        <v>0</v>
      </c>
      <c r="X356" s="152"/>
      <c r="Y356" s="152"/>
      <c r="Z356" s="152"/>
      <c r="AA356" s="152">
        <v>0</v>
      </c>
      <c r="AB356" s="152"/>
      <c r="AC356" s="152"/>
      <c r="AD356" s="152"/>
      <c r="AE356" s="152"/>
      <c r="AF356" s="152">
        <v>0</v>
      </c>
      <c r="AG356" s="152">
        <v>0</v>
      </c>
      <c r="AH356" s="152"/>
      <c r="AI356" s="152"/>
      <c r="AJ356" s="152"/>
      <c r="AK356" s="152">
        <v>0</v>
      </c>
      <c r="AL356" s="152"/>
      <c r="AM356" s="152"/>
      <c r="AN356" s="152"/>
      <c r="AO356" s="152"/>
      <c r="AP356" s="152">
        <v>0</v>
      </c>
      <c r="AQ356" s="152">
        <v>0</v>
      </c>
      <c r="AR356" s="152"/>
      <c r="AS356" s="152"/>
      <c r="AT356" s="152"/>
      <c r="AU356" s="152">
        <v>0</v>
      </c>
      <c r="AV356" s="152"/>
      <c r="AW356" s="152"/>
      <c r="AX356" s="152"/>
      <c r="AY356" s="152"/>
      <c r="AZ356" s="152">
        <v>0</v>
      </c>
      <c r="BA356" s="152">
        <v>0</v>
      </c>
      <c r="BB356" s="152"/>
      <c r="BC356" s="152"/>
      <c r="BD356" s="152">
        <v>0</v>
      </c>
      <c r="BE356" s="152"/>
      <c r="BF356" s="152"/>
      <c r="BG356" s="152"/>
      <c r="BH356" s="152"/>
      <c r="BI356" s="152">
        <v>0</v>
      </c>
      <c r="BJ356" s="152">
        <v>0</v>
      </c>
      <c r="BK356" s="152"/>
      <c r="BL356" s="152"/>
      <c r="BM356" s="152"/>
      <c r="BN356" s="152">
        <v>0</v>
      </c>
      <c r="BO356" s="152">
        <v>0</v>
      </c>
      <c r="BP356" s="152">
        <v>2</v>
      </c>
    </row>
    <row r="357" spans="1:68" x14ac:dyDescent="0.35">
      <c r="A357" s="146" t="s">
        <v>946</v>
      </c>
      <c r="B357" s="146" t="s">
        <v>947</v>
      </c>
      <c r="C357" s="152">
        <v>3</v>
      </c>
      <c r="D357" s="152"/>
      <c r="E357" s="152"/>
      <c r="F357" s="152"/>
      <c r="G357" s="152">
        <v>3</v>
      </c>
      <c r="H357" s="152">
        <v>6</v>
      </c>
      <c r="I357" s="152">
        <v>3</v>
      </c>
      <c r="J357" s="152">
        <v>1</v>
      </c>
      <c r="K357" s="152">
        <v>2</v>
      </c>
      <c r="L357" s="152">
        <v>12</v>
      </c>
      <c r="M357" s="152">
        <v>15</v>
      </c>
      <c r="N357" s="152"/>
      <c r="O357" s="152"/>
      <c r="P357" s="152"/>
      <c r="Q357" s="152">
        <v>0</v>
      </c>
      <c r="R357" s="152"/>
      <c r="S357" s="152"/>
      <c r="T357" s="152"/>
      <c r="U357" s="152"/>
      <c r="V357" s="152">
        <v>0</v>
      </c>
      <c r="W357" s="152">
        <v>0</v>
      </c>
      <c r="X357" s="152"/>
      <c r="Y357" s="152"/>
      <c r="Z357" s="152"/>
      <c r="AA357" s="152">
        <v>0</v>
      </c>
      <c r="AB357" s="152"/>
      <c r="AC357" s="152"/>
      <c r="AD357" s="152"/>
      <c r="AE357" s="152"/>
      <c r="AF357" s="152">
        <v>0</v>
      </c>
      <c r="AG357" s="152">
        <v>0</v>
      </c>
      <c r="AH357" s="152"/>
      <c r="AI357" s="152"/>
      <c r="AJ357" s="152"/>
      <c r="AK357" s="152">
        <v>0</v>
      </c>
      <c r="AL357" s="152"/>
      <c r="AM357" s="152"/>
      <c r="AN357" s="152"/>
      <c r="AO357" s="152"/>
      <c r="AP357" s="152">
        <v>0</v>
      </c>
      <c r="AQ357" s="152">
        <v>0</v>
      </c>
      <c r="AR357" s="152"/>
      <c r="AS357" s="152"/>
      <c r="AT357" s="152"/>
      <c r="AU357" s="152">
        <v>0</v>
      </c>
      <c r="AV357" s="152"/>
      <c r="AW357" s="152"/>
      <c r="AX357" s="152"/>
      <c r="AY357" s="152"/>
      <c r="AZ357" s="152">
        <v>0</v>
      </c>
      <c r="BA357" s="152">
        <v>0</v>
      </c>
      <c r="BB357" s="152"/>
      <c r="BC357" s="152"/>
      <c r="BD357" s="152">
        <v>0</v>
      </c>
      <c r="BE357" s="152"/>
      <c r="BF357" s="152"/>
      <c r="BG357" s="152"/>
      <c r="BH357" s="152"/>
      <c r="BI357" s="152">
        <v>0</v>
      </c>
      <c r="BJ357" s="152">
        <v>0</v>
      </c>
      <c r="BK357" s="152"/>
      <c r="BL357" s="152"/>
      <c r="BM357" s="152"/>
      <c r="BN357" s="152">
        <v>0</v>
      </c>
      <c r="BO357" s="152">
        <v>0</v>
      </c>
      <c r="BP357" s="152">
        <v>15</v>
      </c>
    </row>
    <row r="358" spans="1:68" x14ac:dyDescent="0.35">
      <c r="A358" s="145" t="s">
        <v>948</v>
      </c>
      <c r="B358" s="146" t="s">
        <v>949</v>
      </c>
      <c r="C358" s="152">
        <v>2</v>
      </c>
      <c r="D358" s="152"/>
      <c r="E358" s="152"/>
      <c r="F358" s="152"/>
      <c r="G358" s="152">
        <v>2</v>
      </c>
      <c r="H358" s="152">
        <v>21</v>
      </c>
      <c r="I358" s="152">
        <v>37</v>
      </c>
      <c r="J358" s="152">
        <v>37</v>
      </c>
      <c r="K358" s="152">
        <v>29</v>
      </c>
      <c r="L358" s="152">
        <v>124</v>
      </c>
      <c r="M358" s="152">
        <v>126</v>
      </c>
      <c r="N358" s="152"/>
      <c r="O358" s="152"/>
      <c r="P358" s="152"/>
      <c r="Q358" s="152">
        <v>0</v>
      </c>
      <c r="R358" s="152"/>
      <c r="S358" s="152">
        <v>1</v>
      </c>
      <c r="T358" s="152">
        <v>1</v>
      </c>
      <c r="U358" s="152"/>
      <c r="V358" s="152">
        <v>2</v>
      </c>
      <c r="W358" s="152">
        <v>2</v>
      </c>
      <c r="X358" s="152"/>
      <c r="Y358" s="152"/>
      <c r="Z358" s="152"/>
      <c r="AA358" s="152">
        <v>0</v>
      </c>
      <c r="AB358" s="152"/>
      <c r="AC358" s="152"/>
      <c r="AD358" s="152"/>
      <c r="AE358" s="152"/>
      <c r="AF358" s="152">
        <v>0</v>
      </c>
      <c r="AG358" s="152">
        <v>0</v>
      </c>
      <c r="AH358" s="152"/>
      <c r="AI358" s="152"/>
      <c r="AJ358" s="152"/>
      <c r="AK358" s="152">
        <v>0</v>
      </c>
      <c r="AL358" s="152"/>
      <c r="AM358" s="152"/>
      <c r="AN358" s="152"/>
      <c r="AO358" s="152"/>
      <c r="AP358" s="152">
        <v>0</v>
      </c>
      <c r="AQ358" s="152">
        <v>0</v>
      </c>
      <c r="AR358" s="152"/>
      <c r="AS358" s="152"/>
      <c r="AT358" s="152"/>
      <c r="AU358" s="152">
        <v>0</v>
      </c>
      <c r="AV358" s="152">
        <v>1</v>
      </c>
      <c r="AW358" s="152">
        <v>1</v>
      </c>
      <c r="AX358" s="152">
        <v>1</v>
      </c>
      <c r="AY358" s="152"/>
      <c r="AZ358" s="152">
        <v>3</v>
      </c>
      <c r="BA358" s="152">
        <v>3</v>
      </c>
      <c r="BB358" s="152"/>
      <c r="BC358" s="152"/>
      <c r="BD358" s="152">
        <v>0</v>
      </c>
      <c r="BE358" s="152"/>
      <c r="BF358" s="152"/>
      <c r="BG358" s="152"/>
      <c r="BH358" s="152"/>
      <c r="BI358" s="152">
        <v>0</v>
      </c>
      <c r="BJ358" s="152">
        <v>0</v>
      </c>
      <c r="BK358" s="152"/>
      <c r="BL358" s="152"/>
      <c r="BM358" s="152"/>
      <c r="BN358" s="152">
        <v>0</v>
      </c>
      <c r="BO358" s="152">
        <v>0</v>
      </c>
      <c r="BP358" s="152">
        <v>131</v>
      </c>
    </row>
    <row r="359" spans="1:68" x14ac:dyDescent="0.35">
      <c r="A359" s="146" t="s">
        <v>950</v>
      </c>
      <c r="B359" s="146" t="s">
        <v>1256</v>
      </c>
      <c r="C359" s="152">
        <v>4</v>
      </c>
      <c r="D359" s="152"/>
      <c r="E359" s="152"/>
      <c r="F359" s="152"/>
      <c r="G359" s="152">
        <v>4</v>
      </c>
      <c r="H359" s="152">
        <v>1</v>
      </c>
      <c r="I359" s="152"/>
      <c r="J359" s="152"/>
      <c r="K359" s="152"/>
      <c r="L359" s="152">
        <v>1</v>
      </c>
      <c r="M359" s="152">
        <v>5</v>
      </c>
      <c r="N359" s="152"/>
      <c r="O359" s="152"/>
      <c r="P359" s="152"/>
      <c r="Q359" s="152">
        <v>0</v>
      </c>
      <c r="R359" s="152"/>
      <c r="S359" s="152"/>
      <c r="T359" s="152"/>
      <c r="U359" s="152"/>
      <c r="V359" s="152">
        <v>0</v>
      </c>
      <c r="W359" s="152">
        <v>0</v>
      </c>
      <c r="X359" s="152"/>
      <c r="Y359" s="152"/>
      <c r="Z359" s="152"/>
      <c r="AA359" s="152">
        <v>0</v>
      </c>
      <c r="AB359" s="152"/>
      <c r="AC359" s="152"/>
      <c r="AD359" s="152"/>
      <c r="AE359" s="152"/>
      <c r="AF359" s="152">
        <v>0</v>
      </c>
      <c r="AG359" s="152">
        <v>0</v>
      </c>
      <c r="AH359" s="152"/>
      <c r="AI359" s="152"/>
      <c r="AJ359" s="152"/>
      <c r="AK359" s="152">
        <v>0</v>
      </c>
      <c r="AL359" s="152"/>
      <c r="AM359" s="152"/>
      <c r="AN359" s="152"/>
      <c r="AO359" s="152"/>
      <c r="AP359" s="152">
        <v>0</v>
      </c>
      <c r="AQ359" s="152">
        <v>0</v>
      </c>
      <c r="AR359" s="152"/>
      <c r="AS359" s="152"/>
      <c r="AT359" s="152"/>
      <c r="AU359" s="152">
        <v>0</v>
      </c>
      <c r="AV359" s="152"/>
      <c r="AW359" s="152"/>
      <c r="AX359" s="152"/>
      <c r="AY359" s="152"/>
      <c r="AZ359" s="152">
        <v>0</v>
      </c>
      <c r="BA359" s="152">
        <v>0</v>
      </c>
      <c r="BB359" s="152"/>
      <c r="BC359" s="152"/>
      <c r="BD359" s="152">
        <v>0</v>
      </c>
      <c r="BE359" s="152"/>
      <c r="BF359" s="152"/>
      <c r="BG359" s="152"/>
      <c r="BH359" s="152"/>
      <c r="BI359" s="152">
        <v>0</v>
      </c>
      <c r="BJ359" s="152">
        <v>0</v>
      </c>
      <c r="BK359" s="152"/>
      <c r="BL359" s="152"/>
      <c r="BM359" s="152"/>
      <c r="BN359" s="152">
        <v>0</v>
      </c>
      <c r="BO359" s="152">
        <v>0</v>
      </c>
      <c r="BP359" s="152">
        <v>5</v>
      </c>
    </row>
    <row r="360" spans="1:68" x14ac:dyDescent="0.35">
      <c r="A360" s="146" t="s">
        <v>951</v>
      </c>
      <c r="B360" s="146" t="s">
        <v>952</v>
      </c>
      <c r="C360" s="152">
        <v>31</v>
      </c>
      <c r="D360" s="152">
        <v>3</v>
      </c>
      <c r="E360" s="152"/>
      <c r="F360" s="152"/>
      <c r="G360" s="152">
        <v>34</v>
      </c>
      <c r="H360" s="152">
        <v>42</v>
      </c>
      <c r="I360" s="152">
        <v>9</v>
      </c>
      <c r="J360" s="152">
        <v>1</v>
      </c>
      <c r="K360" s="152"/>
      <c r="L360" s="152">
        <v>52</v>
      </c>
      <c r="M360" s="152">
        <v>86</v>
      </c>
      <c r="N360" s="152"/>
      <c r="O360" s="152"/>
      <c r="P360" s="152"/>
      <c r="Q360" s="152">
        <v>0</v>
      </c>
      <c r="R360" s="152"/>
      <c r="S360" s="152"/>
      <c r="T360" s="152"/>
      <c r="U360" s="152"/>
      <c r="V360" s="152">
        <v>0</v>
      </c>
      <c r="W360" s="152">
        <v>0</v>
      </c>
      <c r="X360" s="152"/>
      <c r="Y360" s="152"/>
      <c r="Z360" s="152"/>
      <c r="AA360" s="152">
        <v>0</v>
      </c>
      <c r="AB360" s="152"/>
      <c r="AC360" s="152"/>
      <c r="AD360" s="152"/>
      <c r="AE360" s="152"/>
      <c r="AF360" s="152">
        <v>0</v>
      </c>
      <c r="AG360" s="152">
        <v>0</v>
      </c>
      <c r="AH360" s="152"/>
      <c r="AI360" s="152"/>
      <c r="AJ360" s="152"/>
      <c r="AK360" s="152">
        <v>0</v>
      </c>
      <c r="AL360" s="152"/>
      <c r="AM360" s="152"/>
      <c r="AN360" s="152"/>
      <c r="AO360" s="152"/>
      <c r="AP360" s="152">
        <v>0</v>
      </c>
      <c r="AQ360" s="152">
        <v>0</v>
      </c>
      <c r="AR360" s="152">
        <v>1</v>
      </c>
      <c r="AS360" s="152"/>
      <c r="AT360" s="152"/>
      <c r="AU360" s="152">
        <v>1</v>
      </c>
      <c r="AV360" s="152">
        <v>1</v>
      </c>
      <c r="AW360" s="152"/>
      <c r="AX360" s="152"/>
      <c r="AY360" s="152"/>
      <c r="AZ360" s="152">
        <v>1</v>
      </c>
      <c r="BA360" s="152">
        <v>2</v>
      </c>
      <c r="BB360" s="152"/>
      <c r="BC360" s="152"/>
      <c r="BD360" s="152">
        <v>0</v>
      </c>
      <c r="BE360" s="152">
        <v>1</v>
      </c>
      <c r="BF360" s="152"/>
      <c r="BG360" s="152"/>
      <c r="BH360" s="152"/>
      <c r="BI360" s="152">
        <v>1</v>
      </c>
      <c r="BJ360" s="152">
        <v>1</v>
      </c>
      <c r="BK360" s="152"/>
      <c r="BL360" s="152"/>
      <c r="BM360" s="152"/>
      <c r="BN360" s="152">
        <v>0</v>
      </c>
      <c r="BO360" s="152">
        <v>0</v>
      </c>
      <c r="BP360" s="152">
        <v>89</v>
      </c>
    </row>
    <row r="361" spans="1:68" x14ac:dyDescent="0.35">
      <c r="A361" s="146" t="s">
        <v>953</v>
      </c>
      <c r="B361" s="146" t="s">
        <v>954</v>
      </c>
      <c r="C361" s="152">
        <v>6</v>
      </c>
      <c r="D361" s="152">
        <v>1</v>
      </c>
      <c r="E361" s="152"/>
      <c r="F361" s="152"/>
      <c r="G361" s="152">
        <v>7</v>
      </c>
      <c r="H361" s="152">
        <v>52</v>
      </c>
      <c r="I361" s="152">
        <v>45</v>
      </c>
      <c r="J361" s="152">
        <v>16</v>
      </c>
      <c r="K361" s="152">
        <v>11</v>
      </c>
      <c r="L361" s="152">
        <v>124</v>
      </c>
      <c r="M361" s="152">
        <v>131</v>
      </c>
      <c r="N361" s="152">
        <v>1</v>
      </c>
      <c r="O361" s="152"/>
      <c r="P361" s="152"/>
      <c r="Q361" s="152">
        <v>1</v>
      </c>
      <c r="R361" s="152">
        <v>1</v>
      </c>
      <c r="S361" s="152">
        <v>2</v>
      </c>
      <c r="T361" s="152">
        <v>2</v>
      </c>
      <c r="U361" s="152"/>
      <c r="V361" s="152">
        <v>5</v>
      </c>
      <c r="W361" s="152">
        <v>6</v>
      </c>
      <c r="X361" s="152"/>
      <c r="Y361" s="152"/>
      <c r="Z361" s="152"/>
      <c r="AA361" s="152">
        <v>0</v>
      </c>
      <c r="AB361" s="152"/>
      <c r="AC361" s="152"/>
      <c r="AD361" s="152"/>
      <c r="AE361" s="152"/>
      <c r="AF361" s="152">
        <v>0</v>
      </c>
      <c r="AG361" s="152">
        <v>0</v>
      </c>
      <c r="AH361" s="152"/>
      <c r="AI361" s="152"/>
      <c r="AJ361" s="152"/>
      <c r="AK361" s="152">
        <v>0</v>
      </c>
      <c r="AL361" s="152"/>
      <c r="AM361" s="152"/>
      <c r="AN361" s="152"/>
      <c r="AO361" s="152"/>
      <c r="AP361" s="152">
        <v>0</v>
      </c>
      <c r="AQ361" s="152">
        <v>0</v>
      </c>
      <c r="AR361" s="152"/>
      <c r="AS361" s="152"/>
      <c r="AT361" s="152"/>
      <c r="AU361" s="152">
        <v>0</v>
      </c>
      <c r="AV361" s="152">
        <v>1</v>
      </c>
      <c r="AW361" s="152">
        <v>1</v>
      </c>
      <c r="AX361" s="152"/>
      <c r="AY361" s="152"/>
      <c r="AZ361" s="152">
        <v>2</v>
      </c>
      <c r="BA361" s="152">
        <v>2</v>
      </c>
      <c r="BB361" s="152">
        <v>1</v>
      </c>
      <c r="BC361" s="152"/>
      <c r="BD361" s="152">
        <v>1</v>
      </c>
      <c r="BE361" s="152"/>
      <c r="BF361" s="152"/>
      <c r="BG361" s="152"/>
      <c r="BH361" s="152"/>
      <c r="BI361" s="152">
        <v>0</v>
      </c>
      <c r="BJ361" s="152">
        <v>1</v>
      </c>
      <c r="BK361" s="152"/>
      <c r="BL361" s="152"/>
      <c r="BM361" s="152"/>
      <c r="BN361" s="152">
        <v>0</v>
      </c>
      <c r="BO361" s="152">
        <v>0</v>
      </c>
      <c r="BP361" s="152">
        <v>140</v>
      </c>
    </row>
    <row r="362" spans="1:68" x14ac:dyDescent="0.35">
      <c r="A362" s="146" t="s">
        <v>955</v>
      </c>
      <c r="B362" s="146" t="s">
        <v>956</v>
      </c>
      <c r="C362" s="152">
        <v>532</v>
      </c>
      <c r="D362" s="152">
        <v>7</v>
      </c>
      <c r="E362" s="152"/>
      <c r="F362" s="152"/>
      <c r="G362" s="152">
        <v>539</v>
      </c>
      <c r="H362" s="152">
        <v>443</v>
      </c>
      <c r="I362" s="152">
        <v>104</v>
      </c>
      <c r="J362" s="152">
        <v>8</v>
      </c>
      <c r="K362" s="152"/>
      <c r="L362" s="152">
        <v>555</v>
      </c>
      <c r="M362" s="152">
        <v>1094</v>
      </c>
      <c r="N362" s="152">
        <v>6</v>
      </c>
      <c r="O362" s="152"/>
      <c r="P362" s="152"/>
      <c r="Q362" s="152">
        <v>6</v>
      </c>
      <c r="R362" s="152">
        <v>1</v>
      </c>
      <c r="S362" s="152"/>
      <c r="T362" s="152"/>
      <c r="U362" s="152"/>
      <c r="V362" s="152">
        <v>1</v>
      </c>
      <c r="W362" s="152">
        <v>7</v>
      </c>
      <c r="X362" s="152">
        <v>5</v>
      </c>
      <c r="Y362" s="152"/>
      <c r="Z362" s="152"/>
      <c r="AA362" s="152">
        <v>5</v>
      </c>
      <c r="AB362" s="152"/>
      <c r="AC362" s="152"/>
      <c r="AD362" s="152"/>
      <c r="AE362" s="152"/>
      <c r="AF362" s="152">
        <v>0</v>
      </c>
      <c r="AG362" s="152">
        <v>5</v>
      </c>
      <c r="AH362" s="152">
        <v>3</v>
      </c>
      <c r="AI362" s="152"/>
      <c r="AJ362" s="152"/>
      <c r="AK362" s="152">
        <v>3</v>
      </c>
      <c r="AL362" s="152">
        <v>1</v>
      </c>
      <c r="AM362" s="152"/>
      <c r="AN362" s="152"/>
      <c r="AO362" s="152"/>
      <c r="AP362" s="152">
        <v>1</v>
      </c>
      <c r="AQ362" s="152">
        <v>4</v>
      </c>
      <c r="AR362" s="152">
        <v>30</v>
      </c>
      <c r="AS362" s="152"/>
      <c r="AT362" s="152"/>
      <c r="AU362" s="152">
        <v>30</v>
      </c>
      <c r="AV362" s="152">
        <v>11</v>
      </c>
      <c r="AW362" s="152">
        <v>1</v>
      </c>
      <c r="AX362" s="152"/>
      <c r="AY362" s="152"/>
      <c r="AZ362" s="152">
        <v>12</v>
      </c>
      <c r="BA362" s="152">
        <v>42</v>
      </c>
      <c r="BB362" s="152">
        <v>1</v>
      </c>
      <c r="BC362" s="152"/>
      <c r="BD362" s="152">
        <v>1</v>
      </c>
      <c r="BE362" s="152"/>
      <c r="BF362" s="152"/>
      <c r="BG362" s="152"/>
      <c r="BH362" s="152"/>
      <c r="BI362" s="152">
        <v>0</v>
      </c>
      <c r="BJ362" s="152">
        <v>1</v>
      </c>
      <c r="BK362" s="152"/>
      <c r="BL362" s="152"/>
      <c r="BM362" s="152"/>
      <c r="BN362" s="152">
        <v>0</v>
      </c>
      <c r="BO362" s="152">
        <v>0</v>
      </c>
      <c r="BP362" s="152">
        <v>1153</v>
      </c>
    </row>
    <row r="363" spans="1:68" x14ac:dyDescent="0.35">
      <c r="A363" s="145" t="s">
        <v>957</v>
      </c>
      <c r="B363" s="146" t="s">
        <v>958</v>
      </c>
      <c r="C363" s="152">
        <v>1</v>
      </c>
      <c r="D363" s="152"/>
      <c r="E363" s="152"/>
      <c r="F363" s="152"/>
      <c r="G363" s="152">
        <v>1</v>
      </c>
      <c r="H363" s="152">
        <v>21</v>
      </c>
      <c r="I363" s="152">
        <v>5</v>
      </c>
      <c r="J363" s="152">
        <v>1</v>
      </c>
      <c r="K363" s="152"/>
      <c r="L363" s="152">
        <v>27</v>
      </c>
      <c r="M363" s="152">
        <v>28</v>
      </c>
      <c r="N363" s="152"/>
      <c r="O363" s="152"/>
      <c r="P363" s="152"/>
      <c r="Q363" s="152">
        <v>0</v>
      </c>
      <c r="R363" s="152"/>
      <c r="S363" s="152"/>
      <c r="T363" s="152"/>
      <c r="U363" s="152"/>
      <c r="V363" s="152">
        <v>0</v>
      </c>
      <c r="W363" s="152">
        <v>0</v>
      </c>
      <c r="X363" s="152"/>
      <c r="Y363" s="152"/>
      <c r="Z363" s="152"/>
      <c r="AA363" s="152">
        <v>0</v>
      </c>
      <c r="AB363" s="152"/>
      <c r="AC363" s="152"/>
      <c r="AD363" s="152"/>
      <c r="AE363" s="152"/>
      <c r="AF363" s="152">
        <v>0</v>
      </c>
      <c r="AG363" s="152">
        <v>0</v>
      </c>
      <c r="AH363" s="152"/>
      <c r="AI363" s="152"/>
      <c r="AJ363" s="152"/>
      <c r="AK363" s="152">
        <v>0</v>
      </c>
      <c r="AL363" s="152"/>
      <c r="AM363" s="152"/>
      <c r="AN363" s="152"/>
      <c r="AO363" s="152"/>
      <c r="AP363" s="152">
        <v>0</v>
      </c>
      <c r="AQ363" s="152">
        <v>0</v>
      </c>
      <c r="AR363" s="152"/>
      <c r="AS363" s="152"/>
      <c r="AT363" s="152"/>
      <c r="AU363" s="152">
        <v>0</v>
      </c>
      <c r="AV363" s="152"/>
      <c r="AW363" s="152"/>
      <c r="AX363" s="152"/>
      <c r="AY363" s="152"/>
      <c r="AZ363" s="152">
        <v>0</v>
      </c>
      <c r="BA363" s="152">
        <v>0</v>
      </c>
      <c r="BB363" s="152"/>
      <c r="BC363" s="152"/>
      <c r="BD363" s="152">
        <v>0</v>
      </c>
      <c r="BE363" s="152"/>
      <c r="BF363" s="152"/>
      <c r="BG363" s="152"/>
      <c r="BH363" s="152"/>
      <c r="BI363" s="152">
        <v>0</v>
      </c>
      <c r="BJ363" s="152">
        <v>0</v>
      </c>
      <c r="BK363" s="152"/>
      <c r="BL363" s="152"/>
      <c r="BM363" s="152"/>
      <c r="BN363" s="152">
        <v>0</v>
      </c>
      <c r="BO363" s="152">
        <v>0</v>
      </c>
      <c r="BP363" s="152">
        <v>28</v>
      </c>
    </row>
    <row r="364" spans="1:68" x14ac:dyDescent="0.35">
      <c r="A364" s="146" t="s">
        <v>959</v>
      </c>
      <c r="B364" s="146" t="s">
        <v>960</v>
      </c>
      <c r="C364" s="152">
        <v>1</v>
      </c>
      <c r="D364" s="152"/>
      <c r="E364" s="152"/>
      <c r="F364" s="152"/>
      <c r="G364" s="152">
        <v>1</v>
      </c>
      <c r="H364" s="152"/>
      <c r="I364" s="152"/>
      <c r="J364" s="152">
        <v>3</v>
      </c>
      <c r="K364" s="152">
        <v>2</v>
      </c>
      <c r="L364" s="152">
        <v>5</v>
      </c>
      <c r="M364" s="152">
        <v>6</v>
      </c>
      <c r="N364" s="152"/>
      <c r="O364" s="152"/>
      <c r="P364" s="152"/>
      <c r="Q364" s="152">
        <v>0</v>
      </c>
      <c r="R364" s="152"/>
      <c r="S364" s="152"/>
      <c r="T364" s="152"/>
      <c r="U364" s="152"/>
      <c r="V364" s="152">
        <v>0</v>
      </c>
      <c r="W364" s="152">
        <v>0</v>
      </c>
      <c r="X364" s="152"/>
      <c r="Y364" s="152"/>
      <c r="Z364" s="152"/>
      <c r="AA364" s="152">
        <v>0</v>
      </c>
      <c r="AB364" s="152"/>
      <c r="AC364" s="152"/>
      <c r="AD364" s="152"/>
      <c r="AE364" s="152"/>
      <c r="AF364" s="152">
        <v>0</v>
      </c>
      <c r="AG364" s="152">
        <v>0</v>
      </c>
      <c r="AH364" s="152"/>
      <c r="AI364" s="152"/>
      <c r="AJ364" s="152"/>
      <c r="AK364" s="152">
        <v>0</v>
      </c>
      <c r="AL364" s="152"/>
      <c r="AM364" s="152"/>
      <c r="AN364" s="152"/>
      <c r="AO364" s="152"/>
      <c r="AP364" s="152">
        <v>0</v>
      </c>
      <c r="AQ364" s="152">
        <v>0</v>
      </c>
      <c r="AR364" s="152"/>
      <c r="AS364" s="152"/>
      <c r="AT364" s="152"/>
      <c r="AU364" s="152">
        <v>0</v>
      </c>
      <c r="AV364" s="152"/>
      <c r="AW364" s="152"/>
      <c r="AX364" s="152"/>
      <c r="AY364" s="152"/>
      <c r="AZ364" s="152">
        <v>0</v>
      </c>
      <c r="BA364" s="152">
        <v>0</v>
      </c>
      <c r="BB364" s="152"/>
      <c r="BC364" s="152"/>
      <c r="BD364" s="152">
        <v>0</v>
      </c>
      <c r="BE364" s="152"/>
      <c r="BF364" s="152"/>
      <c r="BG364" s="152"/>
      <c r="BH364" s="152"/>
      <c r="BI364" s="152">
        <v>0</v>
      </c>
      <c r="BJ364" s="152">
        <v>0</v>
      </c>
      <c r="BK364" s="152"/>
      <c r="BL364" s="152"/>
      <c r="BM364" s="152"/>
      <c r="BN364" s="152">
        <v>0</v>
      </c>
      <c r="BO364" s="152">
        <v>1</v>
      </c>
      <c r="BP364" s="152">
        <v>7</v>
      </c>
    </row>
    <row r="365" spans="1:68" x14ac:dyDescent="0.35">
      <c r="A365" s="146" t="s">
        <v>961</v>
      </c>
      <c r="B365" s="146" t="s">
        <v>962</v>
      </c>
      <c r="C365" s="152">
        <v>308</v>
      </c>
      <c r="D365" s="152">
        <v>21</v>
      </c>
      <c r="E365" s="152">
        <v>8</v>
      </c>
      <c r="F365" s="152"/>
      <c r="G365" s="152">
        <v>337</v>
      </c>
      <c r="H365" s="152">
        <v>4334</v>
      </c>
      <c r="I365" s="152">
        <v>2275</v>
      </c>
      <c r="J365" s="152">
        <v>754</v>
      </c>
      <c r="K365" s="152">
        <v>127</v>
      </c>
      <c r="L365" s="152">
        <v>7490</v>
      </c>
      <c r="M365" s="152">
        <v>7827</v>
      </c>
      <c r="N365" s="152">
        <v>8</v>
      </c>
      <c r="O365" s="152">
        <v>1</v>
      </c>
      <c r="P365" s="152"/>
      <c r="Q365" s="152">
        <v>9</v>
      </c>
      <c r="R365" s="152">
        <v>48</v>
      </c>
      <c r="S365" s="152">
        <v>13</v>
      </c>
      <c r="T365" s="152">
        <v>4</v>
      </c>
      <c r="U365" s="152">
        <v>1</v>
      </c>
      <c r="V365" s="152">
        <v>66</v>
      </c>
      <c r="W365" s="152">
        <v>75</v>
      </c>
      <c r="X365" s="152">
        <v>6</v>
      </c>
      <c r="Y365" s="152"/>
      <c r="Z365" s="152"/>
      <c r="AA365" s="152">
        <v>6</v>
      </c>
      <c r="AB365" s="152">
        <v>41</v>
      </c>
      <c r="AC365" s="152">
        <v>7</v>
      </c>
      <c r="AD365" s="152">
        <v>2</v>
      </c>
      <c r="AE365" s="152"/>
      <c r="AF365" s="152">
        <v>50</v>
      </c>
      <c r="AG365" s="152">
        <v>56</v>
      </c>
      <c r="AH365" s="152">
        <v>10</v>
      </c>
      <c r="AI365" s="152"/>
      <c r="AJ365" s="152"/>
      <c r="AK365" s="152">
        <v>10</v>
      </c>
      <c r="AL365" s="152">
        <v>6</v>
      </c>
      <c r="AM365" s="152"/>
      <c r="AN365" s="152"/>
      <c r="AO365" s="152"/>
      <c r="AP365" s="152">
        <v>6</v>
      </c>
      <c r="AQ365" s="152">
        <v>16</v>
      </c>
      <c r="AR365" s="152">
        <v>55</v>
      </c>
      <c r="AS365" s="152">
        <v>1</v>
      </c>
      <c r="AT365" s="152"/>
      <c r="AU365" s="152">
        <v>56</v>
      </c>
      <c r="AV365" s="152">
        <v>127</v>
      </c>
      <c r="AW365" s="152">
        <v>21</v>
      </c>
      <c r="AX365" s="152">
        <v>4</v>
      </c>
      <c r="AY365" s="152">
        <v>2</v>
      </c>
      <c r="AZ365" s="152">
        <v>154</v>
      </c>
      <c r="BA365" s="152">
        <v>210</v>
      </c>
      <c r="BB365" s="152">
        <v>8</v>
      </c>
      <c r="BC365" s="152"/>
      <c r="BD365" s="152">
        <v>8</v>
      </c>
      <c r="BE365" s="152">
        <v>25</v>
      </c>
      <c r="BF365" s="152">
        <v>6</v>
      </c>
      <c r="BG365" s="152">
        <v>2</v>
      </c>
      <c r="BH365" s="152"/>
      <c r="BI365" s="152">
        <v>33</v>
      </c>
      <c r="BJ365" s="152">
        <v>41</v>
      </c>
      <c r="BK365" s="152"/>
      <c r="BL365" s="152"/>
      <c r="BM365" s="152">
        <v>1</v>
      </c>
      <c r="BN365" s="152">
        <v>1</v>
      </c>
      <c r="BO365" s="152">
        <v>0</v>
      </c>
      <c r="BP365" s="152">
        <v>8225</v>
      </c>
    </row>
    <row r="366" spans="1:68" x14ac:dyDescent="0.35">
      <c r="A366" s="146" t="s">
        <v>963</v>
      </c>
      <c r="B366" s="146" t="s">
        <v>1257</v>
      </c>
      <c r="C366" s="152">
        <v>155</v>
      </c>
      <c r="D366" s="152">
        <v>3</v>
      </c>
      <c r="E366" s="152">
        <v>3</v>
      </c>
      <c r="F366" s="152"/>
      <c r="G366" s="152">
        <v>161</v>
      </c>
      <c r="H366" s="152">
        <v>768</v>
      </c>
      <c r="I366" s="152">
        <v>232</v>
      </c>
      <c r="J366" s="152">
        <v>79</v>
      </c>
      <c r="K366" s="152">
        <v>7</v>
      </c>
      <c r="L366" s="152">
        <v>1086</v>
      </c>
      <c r="M366" s="152">
        <v>1247</v>
      </c>
      <c r="N366" s="152">
        <v>4</v>
      </c>
      <c r="O366" s="152"/>
      <c r="P366" s="152"/>
      <c r="Q366" s="152">
        <v>4</v>
      </c>
      <c r="R366" s="152">
        <v>7</v>
      </c>
      <c r="S366" s="152">
        <v>3</v>
      </c>
      <c r="T366" s="152"/>
      <c r="U366" s="152"/>
      <c r="V366" s="152">
        <v>10</v>
      </c>
      <c r="W366" s="152">
        <v>14</v>
      </c>
      <c r="X366" s="152">
        <v>4</v>
      </c>
      <c r="Y366" s="152"/>
      <c r="Z366" s="152"/>
      <c r="AA366" s="152">
        <v>4</v>
      </c>
      <c r="AB366" s="152">
        <v>4</v>
      </c>
      <c r="AC366" s="152">
        <v>1</v>
      </c>
      <c r="AD366" s="152"/>
      <c r="AE366" s="152"/>
      <c r="AF366" s="152">
        <v>5</v>
      </c>
      <c r="AG366" s="152">
        <v>9</v>
      </c>
      <c r="AH366" s="152">
        <v>6</v>
      </c>
      <c r="AI366" s="152">
        <v>1</v>
      </c>
      <c r="AJ366" s="152"/>
      <c r="AK366" s="152">
        <v>7</v>
      </c>
      <c r="AL366" s="152">
        <v>1</v>
      </c>
      <c r="AM366" s="152"/>
      <c r="AN366" s="152"/>
      <c r="AO366" s="152"/>
      <c r="AP366" s="152">
        <v>1</v>
      </c>
      <c r="AQ366" s="152">
        <v>8</v>
      </c>
      <c r="AR366" s="152">
        <v>27</v>
      </c>
      <c r="AS366" s="152"/>
      <c r="AT366" s="152"/>
      <c r="AU366" s="152">
        <v>27</v>
      </c>
      <c r="AV366" s="152">
        <v>46</v>
      </c>
      <c r="AW366" s="152">
        <v>2</v>
      </c>
      <c r="AX366" s="152">
        <v>1</v>
      </c>
      <c r="AY366" s="152"/>
      <c r="AZ366" s="152">
        <v>49</v>
      </c>
      <c r="BA366" s="152">
        <v>76</v>
      </c>
      <c r="BB366" s="152">
        <v>9</v>
      </c>
      <c r="BC366" s="152"/>
      <c r="BD366" s="152">
        <v>9</v>
      </c>
      <c r="BE366" s="152">
        <v>10</v>
      </c>
      <c r="BF366" s="152">
        <v>1</v>
      </c>
      <c r="BG366" s="152"/>
      <c r="BH366" s="152"/>
      <c r="BI366" s="152">
        <v>11</v>
      </c>
      <c r="BJ366" s="152">
        <v>20</v>
      </c>
      <c r="BK366" s="152"/>
      <c r="BL366" s="152"/>
      <c r="BM366" s="152"/>
      <c r="BN366" s="152">
        <v>0</v>
      </c>
      <c r="BO366" s="152">
        <v>0</v>
      </c>
      <c r="BP366" s="152">
        <v>1374</v>
      </c>
    </row>
    <row r="367" spans="1:68" x14ac:dyDescent="0.35">
      <c r="A367" s="146" t="s">
        <v>964</v>
      </c>
      <c r="B367" s="146" t="s">
        <v>965</v>
      </c>
      <c r="C367" s="152">
        <v>100</v>
      </c>
      <c r="D367" s="152">
        <v>2</v>
      </c>
      <c r="E367" s="152">
        <v>1</v>
      </c>
      <c r="F367" s="152"/>
      <c r="G367" s="152">
        <v>103</v>
      </c>
      <c r="H367" s="152">
        <v>1110</v>
      </c>
      <c r="I367" s="152">
        <v>136</v>
      </c>
      <c r="J367" s="152">
        <v>5</v>
      </c>
      <c r="K367" s="152">
        <v>1</v>
      </c>
      <c r="L367" s="152">
        <v>1252</v>
      </c>
      <c r="M367" s="152">
        <v>1355</v>
      </c>
      <c r="N367" s="152">
        <v>2</v>
      </c>
      <c r="O367" s="152"/>
      <c r="P367" s="152"/>
      <c r="Q367" s="152">
        <v>2</v>
      </c>
      <c r="R367" s="152">
        <v>10</v>
      </c>
      <c r="S367" s="152"/>
      <c r="T367" s="152"/>
      <c r="U367" s="152"/>
      <c r="V367" s="152">
        <v>10</v>
      </c>
      <c r="W367" s="152">
        <v>12</v>
      </c>
      <c r="X367" s="152">
        <v>4</v>
      </c>
      <c r="Y367" s="152"/>
      <c r="Z367" s="152"/>
      <c r="AA367" s="152">
        <v>4</v>
      </c>
      <c r="AB367" s="152">
        <v>7</v>
      </c>
      <c r="AC367" s="152"/>
      <c r="AD367" s="152"/>
      <c r="AE367" s="152"/>
      <c r="AF367" s="152">
        <v>7</v>
      </c>
      <c r="AG367" s="152">
        <v>11</v>
      </c>
      <c r="AH367" s="152">
        <v>1</v>
      </c>
      <c r="AI367" s="152"/>
      <c r="AJ367" s="152"/>
      <c r="AK367" s="152">
        <v>1</v>
      </c>
      <c r="AL367" s="152">
        <v>2</v>
      </c>
      <c r="AM367" s="152"/>
      <c r="AN367" s="152"/>
      <c r="AO367" s="152"/>
      <c r="AP367" s="152">
        <v>2</v>
      </c>
      <c r="AQ367" s="152">
        <v>3</v>
      </c>
      <c r="AR367" s="152">
        <v>12</v>
      </c>
      <c r="AS367" s="152"/>
      <c r="AT367" s="152"/>
      <c r="AU367" s="152">
        <v>12</v>
      </c>
      <c r="AV367" s="152">
        <v>44</v>
      </c>
      <c r="AW367" s="152">
        <v>1</v>
      </c>
      <c r="AX367" s="152"/>
      <c r="AY367" s="152"/>
      <c r="AZ367" s="152">
        <v>45</v>
      </c>
      <c r="BA367" s="152">
        <v>57</v>
      </c>
      <c r="BB367" s="152">
        <v>4</v>
      </c>
      <c r="BC367" s="152"/>
      <c r="BD367" s="152">
        <v>4</v>
      </c>
      <c r="BE367" s="152">
        <v>4</v>
      </c>
      <c r="BF367" s="152">
        <v>2</v>
      </c>
      <c r="BG367" s="152"/>
      <c r="BH367" s="152"/>
      <c r="BI367" s="152">
        <v>6</v>
      </c>
      <c r="BJ367" s="152">
        <v>10</v>
      </c>
      <c r="BK367" s="152"/>
      <c r="BL367" s="152"/>
      <c r="BM367" s="152"/>
      <c r="BN367" s="152">
        <v>0</v>
      </c>
      <c r="BO367" s="152">
        <v>0</v>
      </c>
      <c r="BP367" s="152">
        <v>1448</v>
      </c>
    </row>
    <row r="368" spans="1:68" x14ac:dyDescent="0.35">
      <c r="A368" s="146" t="s">
        <v>966</v>
      </c>
      <c r="B368" s="146" t="s">
        <v>967</v>
      </c>
      <c r="C368" s="152">
        <v>75</v>
      </c>
      <c r="D368" s="152"/>
      <c r="E368" s="152"/>
      <c r="F368" s="152"/>
      <c r="G368" s="152">
        <v>75</v>
      </c>
      <c r="H368" s="152">
        <v>376</v>
      </c>
      <c r="I368" s="152">
        <v>57</v>
      </c>
      <c r="J368" s="152">
        <v>1</v>
      </c>
      <c r="K368" s="152"/>
      <c r="L368" s="152">
        <v>434</v>
      </c>
      <c r="M368" s="152">
        <v>509</v>
      </c>
      <c r="N368" s="152">
        <v>3</v>
      </c>
      <c r="O368" s="152"/>
      <c r="P368" s="152"/>
      <c r="Q368" s="152">
        <v>3</v>
      </c>
      <c r="R368" s="152">
        <v>5</v>
      </c>
      <c r="S368" s="152"/>
      <c r="T368" s="152"/>
      <c r="U368" s="152"/>
      <c r="V368" s="152">
        <v>5</v>
      </c>
      <c r="W368" s="152">
        <v>8</v>
      </c>
      <c r="X368" s="152">
        <v>3</v>
      </c>
      <c r="Y368" s="152"/>
      <c r="Z368" s="152"/>
      <c r="AA368" s="152">
        <v>3</v>
      </c>
      <c r="AB368" s="152">
        <v>8</v>
      </c>
      <c r="AC368" s="152">
        <v>1</v>
      </c>
      <c r="AD368" s="152"/>
      <c r="AE368" s="152"/>
      <c r="AF368" s="152">
        <v>9</v>
      </c>
      <c r="AG368" s="152">
        <v>12</v>
      </c>
      <c r="AH368" s="152">
        <v>10</v>
      </c>
      <c r="AI368" s="152"/>
      <c r="AJ368" s="152"/>
      <c r="AK368" s="152">
        <v>10</v>
      </c>
      <c r="AL368" s="152">
        <v>1</v>
      </c>
      <c r="AM368" s="152"/>
      <c r="AN368" s="152"/>
      <c r="AO368" s="152"/>
      <c r="AP368" s="152">
        <v>1</v>
      </c>
      <c r="AQ368" s="152">
        <v>11</v>
      </c>
      <c r="AR368" s="152">
        <v>13</v>
      </c>
      <c r="AS368" s="152"/>
      <c r="AT368" s="152"/>
      <c r="AU368" s="152">
        <v>13</v>
      </c>
      <c r="AV368" s="152">
        <v>22</v>
      </c>
      <c r="AW368" s="152"/>
      <c r="AX368" s="152"/>
      <c r="AY368" s="152"/>
      <c r="AZ368" s="152">
        <v>22</v>
      </c>
      <c r="BA368" s="152">
        <v>35</v>
      </c>
      <c r="BB368" s="152">
        <v>4</v>
      </c>
      <c r="BC368" s="152"/>
      <c r="BD368" s="152">
        <v>4</v>
      </c>
      <c r="BE368" s="152">
        <v>1</v>
      </c>
      <c r="BF368" s="152"/>
      <c r="BG368" s="152"/>
      <c r="BH368" s="152"/>
      <c r="BI368" s="152">
        <v>1</v>
      </c>
      <c r="BJ368" s="152">
        <v>5</v>
      </c>
      <c r="BK368" s="152"/>
      <c r="BL368" s="152"/>
      <c r="BM368" s="152"/>
      <c r="BN368" s="152">
        <v>0</v>
      </c>
      <c r="BO368" s="152">
        <v>0</v>
      </c>
      <c r="BP368" s="152">
        <v>580</v>
      </c>
    </row>
    <row r="369" spans="1:68" x14ac:dyDescent="0.35">
      <c r="A369" s="146" t="s">
        <v>968</v>
      </c>
      <c r="B369" s="146" t="s">
        <v>969</v>
      </c>
      <c r="C369" s="152">
        <v>53</v>
      </c>
      <c r="D369" s="152">
        <v>1</v>
      </c>
      <c r="E369" s="152"/>
      <c r="F369" s="152"/>
      <c r="G369" s="152">
        <v>54</v>
      </c>
      <c r="H369" s="152">
        <v>1316</v>
      </c>
      <c r="I369" s="152">
        <v>523</v>
      </c>
      <c r="J369" s="152">
        <v>193</v>
      </c>
      <c r="K369" s="152">
        <v>67</v>
      </c>
      <c r="L369" s="152">
        <v>2099</v>
      </c>
      <c r="M369" s="152">
        <v>2153</v>
      </c>
      <c r="N369" s="152"/>
      <c r="O369" s="152"/>
      <c r="P369" s="152"/>
      <c r="Q369" s="152">
        <v>0</v>
      </c>
      <c r="R369" s="152">
        <v>3</v>
      </c>
      <c r="S369" s="152">
        <v>2</v>
      </c>
      <c r="T369" s="152">
        <v>1</v>
      </c>
      <c r="U369" s="152"/>
      <c r="V369" s="152">
        <v>6</v>
      </c>
      <c r="W369" s="152">
        <v>6</v>
      </c>
      <c r="X369" s="152">
        <v>2</v>
      </c>
      <c r="Y369" s="152"/>
      <c r="Z369" s="152"/>
      <c r="AA369" s="152">
        <v>2</v>
      </c>
      <c r="AB369" s="152">
        <v>6</v>
      </c>
      <c r="AC369" s="152">
        <v>4</v>
      </c>
      <c r="AD369" s="152"/>
      <c r="AE369" s="152"/>
      <c r="AF369" s="152">
        <v>10</v>
      </c>
      <c r="AG369" s="152">
        <v>12</v>
      </c>
      <c r="AH369" s="152">
        <v>3</v>
      </c>
      <c r="AI369" s="152"/>
      <c r="AJ369" s="152"/>
      <c r="AK369" s="152">
        <v>3</v>
      </c>
      <c r="AL369" s="152">
        <v>3</v>
      </c>
      <c r="AM369" s="152"/>
      <c r="AN369" s="152"/>
      <c r="AO369" s="152"/>
      <c r="AP369" s="152">
        <v>3</v>
      </c>
      <c r="AQ369" s="152">
        <v>6</v>
      </c>
      <c r="AR369" s="152">
        <v>1</v>
      </c>
      <c r="AS369" s="152"/>
      <c r="AT369" s="152"/>
      <c r="AU369" s="152">
        <v>1</v>
      </c>
      <c r="AV369" s="152">
        <v>30</v>
      </c>
      <c r="AW369" s="152">
        <v>1</v>
      </c>
      <c r="AX369" s="152">
        <v>1</v>
      </c>
      <c r="AY369" s="152"/>
      <c r="AZ369" s="152">
        <v>32</v>
      </c>
      <c r="BA369" s="152">
        <v>33</v>
      </c>
      <c r="BB369" s="152">
        <v>3</v>
      </c>
      <c r="BC369" s="152"/>
      <c r="BD369" s="152">
        <v>3</v>
      </c>
      <c r="BE369" s="152">
        <v>5</v>
      </c>
      <c r="BF369" s="152"/>
      <c r="BG369" s="152"/>
      <c r="BH369" s="152"/>
      <c r="BI369" s="152">
        <v>5</v>
      </c>
      <c r="BJ369" s="152">
        <v>8</v>
      </c>
      <c r="BK369" s="152"/>
      <c r="BL369" s="152"/>
      <c r="BM369" s="152"/>
      <c r="BN369" s="152">
        <v>0</v>
      </c>
      <c r="BO369" s="152">
        <v>0</v>
      </c>
      <c r="BP369" s="152">
        <v>2218</v>
      </c>
    </row>
    <row r="370" spans="1:68" x14ac:dyDescent="0.35">
      <c r="A370" s="146" t="s">
        <v>970</v>
      </c>
      <c r="B370" s="146" t="s">
        <v>1258</v>
      </c>
      <c r="C370" s="152">
        <v>174</v>
      </c>
      <c r="D370" s="152">
        <v>1</v>
      </c>
      <c r="E370" s="152"/>
      <c r="F370" s="152"/>
      <c r="G370" s="152">
        <v>175</v>
      </c>
      <c r="H370" s="152">
        <v>1935</v>
      </c>
      <c r="I370" s="152">
        <v>264</v>
      </c>
      <c r="J370" s="152">
        <v>47</v>
      </c>
      <c r="K370" s="152">
        <v>8</v>
      </c>
      <c r="L370" s="152">
        <v>2254</v>
      </c>
      <c r="M370" s="152">
        <v>2429</v>
      </c>
      <c r="N370" s="152">
        <v>12</v>
      </c>
      <c r="O370" s="152"/>
      <c r="P370" s="152"/>
      <c r="Q370" s="152">
        <v>12</v>
      </c>
      <c r="R370" s="152">
        <v>13</v>
      </c>
      <c r="S370" s="152">
        <v>1</v>
      </c>
      <c r="T370" s="152"/>
      <c r="U370" s="152"/>
      <c r="V370" s="152">
        <v>14</v>
      </c>
      <c r="W370" s="152">
        <v>26</v>
      </c>
      <c r="X370" s="152">
        <v>1</v>
      </c>
      <c r="Y370" s="152"/>
      <c r="Z370" s="152"/>
      <c r="AA370" s="152">
        <v>1</v>
      </c>
      <c r="AB370" s="152">
        <v>10</v>
      </c>
      <c r="AC370" s="152"/>
      <c r="AD370" s="152"/>
      <c r="AE370" s="152"/>
      <c r="AF370" s="152">
        <v>10</v>
      </c>
      <c r="AG370" s="152">
        <v>11</v>
      </c>
      <c r="AH370" s="152">
        <v>2</v>
      </c>
      <c r="AI370" s="152"/>
      <c r="AJ370" s="152"/>
      <c r="AK370" s="152">
        <v>2</v>
      </c>
      <c r="AL370" s="152">
        <v>6</v>
      </c>
      <c r="AM370" s="152"/>
      <c r="AN370" s="152"/>
      <c r="AO370" s="152"/>
      <c r="AP370" s="152">
        <v>6</v>
      </c>
      <c r="AQ370" s="152">
        <v>8</v>
      </c>
      <c r="AR370" s="152">
        <v>22</v>
      </c>
      <c r="AS370" s="152"/>
      <c r="AT370" s="152"/>
      <c r="AU370" s="152">
        <v>22</v>
      </c>
      <c r="AV370" s="152">
        <v>90</v>
      </c>
      <c r="AW370" s="152">
        <v>3</v>
      </c>
      <c r="AX370" s="152"/>
      <c r="AY370" s="152"/>
      <c r="AZ370" s="152">
        <v>93</v>
      </c>
      <c r="BA370" s="152">
        <v>115</v>
      </c>
      <c r="BB370" s="152">
        <v>3</v>
      </c>
      <c r="BC370" s="152"/>
      <c r="BD370" s="152">
        <v>3</v>
      </c>
      <c r="BE370" s="152">
        <v>7</v>
      </c>
      <c r="BF370" s="152">
        <v>3</v>
      </c>
      <c r="BG370" s="152"/>
      <c r="BH370" s="152"/>
      <c r="BI370" s="152">
        <v>10</v>
      </c>
      <c r="BJ370" s="152">
        <v>13</v>
      </c>
      <c r="BK370" s="152"/>
      <c r="BL370" s="152"/>
      <c r="BM370" s="152"/>
      <c r="BN370" s="152">
        <v>0</v>
      </c>
      <c r="BO370" s="152">
        <v>0</v>
      </c>
      <c r="BP370" s="152">
        <v>2602</v>
      </c>
    </row>
    <row r="371" spans="1:68" x14ac:dyDescent="0.35">
      <c r="A371" s="146" t="s">
        <v>1200</v>
      </c>
      <c r="B371" s="146" t="s">
        <v>1259</v>
      </c>
      <c r="C371" s="152">
        <v>53</v>
      </c>
      <c r="D371" s="152"/>
      <c r="E371" s="152"/>
      <c r="F371" s="152"/>
      <c r="G371" s="152">
        <v>53</v>
      </c>
      <c r="H371" s="152">
        <v>382</v>
      </c>
      <c r="I371" s="152">
        <v>78</v>
      </c>
      <c r="J371" s="152">
        <v>8</v>
      </c>
      <c r="K371" s="152">
        <v>3</v>
      </c>
      <c r="L371" s="152">
        <v>471</v>
      </c>
      <c r="M371" s="152">
        <v>524</v>
      </c>
      <c r="N371" s="152">
        <v>5</v>
      </c>
      <c r="O371" s="152"/>
      <c r="P371" s="152"/>
      <c r="Q371" s="152">
        <v>5</v>
      </c>
      <c r="R371" s="152">
        <v>5</v>
      </c>
      <c r="S371" s="152"/>
      <c r="T371" s="152"/>
      <c r="U371" s="152"/>
      <c r="V371" s="152">
        <v>5</v>
      </c>
      <c r="W371" s="152">
        <v>10</v>
      </c>
      <c r="X371" s="152"/>
      <c r="Y371" s="152"/>
      <c r="Z371" s="152"/>
      <c r="AA371" s="152">
        <v>0</v>
      </c>
      <c r="AB371" s="152">
        <v>2</v>
      </c>
      <c r="AC371" s="152"/>
      <c r="AD371" s="152"/>
      <c r="AE371" s="152"/>
      <c r="AF371" s="152">
        <v>2</v>
      </c>
      <c r="AG371" s="152">
        <v>2</v>
      </c>
      <c r="AH371" s="152">
        <v>1</v>
      </c>
      <c r="AI371" s="152"/>
      <c r="AJ371" s="152"/>
      <c r="AK371" s="152">
        <v>1</v>
      </c>
      <c r="AL371" s="152">
        <v>1</v>
      </c>
      <c r="AM371" s="152"/>
      <c r="AN371" s="152"/>
      <c r="AO371" s="152"/>
      <c r="AP371" s="152">
        <v>1</v>
      </c>
      <c r="AQ371" s="152">
        <v>2</v>
      </c>
      <c r="AR371" s="152">
        <v>7</v>
      </c>
      <c r="AS371" s="152"/>
      <c r="AT371" s="152"/>
      <c r="AU371" s="152">
        <v>7</v>
      </c>
      <c r="AV371" s="152">
        <v>14</v>
      </c>
      <c r="AW371" s="152">
        <v>1</v>
      </c>
      <c r="AX371" s="152"/>
      <c r="AY371" s="152"/>
      <c r="AZ371" s="152">
        <v>15</v>
      </c>
      <c r="BA371" s="152">
        <v>22</v>
      </c>
      <c r="BB371" s="152">
        <v>5</v>
      </c>
      <c r="BC371" s="152"/>
      <c r="BD371" s="152">
        <v>5</v>
      </c>
      <c r="BE371" s="152">
        <v>2</v>
      </c>
      <c r="BF371" s="152">
        <v>1</v>
      </c>
      <c r="BG371" s="152"/>
      <c r="BH371" s="152"/>
      <c r="BI371" s="152">
        <v>3</v>
      </c>
      <c r="BJ371" s="152">
        <v>8</v>
      </c>
      <c r="BK371" s="152"/>
      <c r="BL371" s="152"/>
      <c r="BM371" s="152"/>
      <c r="BN371" s="152">
        <v>0</v>
      </c>
      <c r="BO371" s="152">
        <v>0</v>
      </c>
      <c r="BP371" s="152">
        <v>568</v>
      </c>
    </row>
    <row r="372" spans="1:68" x14ac:dyDescent="0.35">
      <c r="A372" s="146" t="s">
        <v>1201</v>
      </c>
      <c r="B372" s="146" t="s">
        <v>1260</v>
      </c>
      <c r="C372" s="152">
        <v>56</v>
      </c>
      <c r="D372" s="152">
        <v>2</v>
      </c>
      <c r="E372" s="152">
        <v>2</v>
      </c>
      <c r="F372" s="152"/>
      <c r="G372" s="152">
        <v>60</v>
      </c>
      <c r="H372" s="152">
        <v>822</v>
      </c>
      <c r="I372" s="152">
        <v>236</v>
      </c>
      <c r="J372" s="152">
        <v>46</v>
      </c>
      <c r="K372" s="152">
        <v>13</v>
      </c>
      <c r="L372" s="152">
        <v>1117</v>
      </c>
      <c r="M372" s="152">
        <v>1177</v>
      </c>
      <c r="N372" s="152">
        <v>5</v>
      </c>
      <c r="O372" s="152"/>
      <c r="P372" s="152"/>
      <c r="Q372" s="152">
        <v>5</v>
      </c>
      <c r="R372" s="152">
        <v>9</v>
      </c>
      <c r="S372" s="152">
        <v>2</v>
      </c>
      <c r="T372" s="152"/>
      <c r="U372" s="152"/>
      <c r="V372" s="152">
        <v>11</v>
      </c>
      <c r="W372" s="152">
        <v>16</v>
      </c>
      <c r="X372" s="152">
        <v>3</v>
      </c>
      <c r="Y372" s="152"/>
      <c r="Z372" s="152"/>
      <c r="AA372" s="152">
        <v>3</v>
      </c>
      <c r="AB372" s="152">
        <v>7</v>
      </c>
      <c r="AC372" s="152">
        <v>2</v>
      </c>
      <c r="AD372" s="152"/>
      <c r="AE372" s="152"/>
      <c r="AF372" s="152">
        <v>9</v>
      </c>
      <c r="AG372" s="152">
        <v>12</v>
      </c>
      <c r="AH372" s="152">
        <v>4</v>
      </c>
      <c r="AI372" s="152"/>
      <c r="AJ372" s="152"/>
      <c r="AK372" s="152">
        <v>4</v>
      </c>
      <c r="AL372" s="152">
        <v>11</v>
      </c>
      <c r="AM372" s="152">
        <v>3</v>
      </c>
      <c r="AN372" s="152"/>
      <c r="AO372" s="152"/>
      <c r="AP372" s="152">
        <v>14</v>
      </c>
      <c r="AQ372" s="152">
        <v>18</v>
      </c>
      <c r="AR372" s="152">
        <v>4</v>
      </c>
      <c r="AS372" s="152"/>
      <c r="AT372" s="152"/>
      <c r="AU372" s="152">
        <v>4</v>
      </c>
      <c r="AV372" s="152">
        <v>51</v>
      </c>
      <c r="AW372" s="152">
        <v>8</v>
      </c>
      <c r="AX372" s="152"/>
      <c r="AY372" s="152"/>
      <c r="AZ372" s="152">
        <v>59</v>
      </c>
      <c r="BA372" s="152">
        <v>63</v>
      </c>
      <c r="BB372" s="152">
        <v>2</v>
      </c>
      <c r="BC372" s="152"/>
      <c r="BD372" s="152">
        <v>2</v>
      </c>
      <c r="BE372" s="152">
        <v>7</v>
      </c>
      <c r="BF372" s="152"/>
      <c r="BG372" s="152">
        <v>1</v>
      </c>
      <c r="BH372" s="152"/>
      <c r="BI372" s="152">
        <v>8</v>
      </c>
      <c r="BJ372" s="152">
        <v>10</v>
      </c>
      <c r="BK372" s="152"/>
      <c r="BL372" s="152"/>
      <c r="BM372" s="152"/>
      <c r="BN372" s="152">
        <v>0</v>
      </c>
      <c r="BO372" s="152">
        <v>0</v>
      </c>
      <c r="BP372" s="152">
        <v>1296</v>
      </c>
    </row>
    <row r="373" spans="1:68" x14ac:dyDescent="0.35">
      <c r="A373" s="146" t="s">
        <v>971</v>
      </c>
      <c r="B373" s="146" t="s">
        <v>972</v>
      </c>
      <c r="C373" s="152">
        <v>6</v>
      </c>
      <c r="D373" s="152"/>
      <c r="E373" s="152"/>
      <c r="F373" s="152"/>
      <c r="G373" s="152">
        <v>6</v>
      </c>
      <c r="H373" s="152">
        <v>75</v>
      </c>
      <c r="I373" s="152">
        <v>51</v>
      </c>
      <c r="J373" s="152">
        <v>2</v>
      </c>
      <c r="K373" s="152"/>
      <c r="L373" s="152">
        <v>128</v>
      </c>
      <c r="M373" s="152">
        <v>134</v>
      </c>
      <c r="N373" s="152"/>
      <c r="O373" s="152"/>
      <c r="P373" s="152"/>
      <c r="Q373" s="152">
        <v>0</v>
      </c>
      <c r="R373" s="152">
        <v>4</v>
      </c>
      <c r="S373" s="152">
        <v>2</v>
      </c>
      <c r="T373" s="152"/>
      <c r="U373" s="152"/>
      <c r="V373" s="152">
        <v>6</v>
      </c>
      <c r="W373" s="152">
        <v>6</v>
      </c>
      <c r="X373" s="152"/>
      <c r="Y373" s="152"/>
      <c r="Z373" s="152"/>
      <c r="AA373" s="152">
        <v>0</v>
      </c>
      <c r="AB373" s="152"/>
      <c r="AC373" s="152">
        <v>3</v>
      </c>
      <c r="AD373" s="152"/>
      <c r="AE373" s="152"/>
      <c r="AF373" s="152">
        <v>3</v>
      </c>
      <c r="AG373" s="152">
        <v>3</v>
      </c>
      <c r="AH373" s="152">
        <v>1</v>
      </c>
      <c r="AI373" s="152"/>
      <c r="AJ373" s="152"/>
      <c r="AK373" s="152">
        <v>1</v>
      </c>
      <c r="AL373" s="152"/>
      <c r="AM373" s="152">
        <v>1</v>
      </c>
      <c r="AN373" s="152"/>
      <c r="AO373" s="152"/>
      <c r="AP373" s="152">
        <v>1</v>
      </c>
      <c r="AQ373" s="152">
        <v>2</v>
      </c>
      <c r="AR373" s="152">
        <v>2</v>
      </c>
      <c r="AS373" s="152"/>
      <c r="AT373" s="152"/>
      <c r="AU373" s="152">
        <v>2</v>
      </c>
      <c r="AV373" s="152">
        <v>13</v>
      </c>
      <c r="AW373" s="152">
        <v>2</v>
      </c>
      <c r="AX373" s="152"/>
      <c r="AY373" s="152"/>
      <c r="AZ373" s="152">
        <v>15</v>
      </c>
      <c r="BA373" s="152">
        <v>17</v>
      </c>
      <c r="BB373" s="152"/>
      <c r="BC373" s="152"/>
      <c r="BD373" s="152">
        <v>0</v>
      </c>
      <c r="BE373" s="152">
        <v>3</v>
      </c>
      <c r="BF373" s="152"/>
      <c r="BG373" s="152"/>
      <c r="BH373" s="152"/>
      <c r="BI373" s="152">
        <v>3</v>
      </c>
      <c r="BJ373" s="152">
        <v>3</v>
      </c>
      <c r="BK373" s="152"/>
      <c r="BL373" s="152"/>
      <c r="BM373" s="152"/>
      <c r="BN373" s="152">
        <v>0</v>
      </c>
      <c r="BO373" s="152">
        <v>0</v>
      </c>
      <c r="BP373" s="152">
        <v>165</v>
      </c>
    </row>
    <row r="374" spans="1:68" x14ac:dyDescent="0.35">
      <c r="A374" s="146" t="s">
        <v>973</v>
      </c>
      <c r="B374" s="146" t="s">
        <v>1261</v>
      </c>
      <c r="C374" s="152">
        <v>12</v>
      </c>
      <c r="D374" s="152"/>
      <c r="E374" s="152"/>
      <c r="F374" s="152"/>
      <c r="G374" s="152">
        <v>12</v>
      </c>
      <c r="H374" s="152">
        <v>56</v>
      </c>
      <c r="I374" s="152">
        <v>10</v>
      </c>
      <c r="J374" s="152"/>
      <c r="K374" s="152">
        <v>2</v>
      </c>
      <c r="L374" s="152">
        <v>68</v>
      </c>
      <c r="M374" s="152">
        <v>80</v>
      </c>
      <c r="N374" s="152">
        <v>1</v>
      </c>
      <c r="O374" s="152"/>
      <c r="P374" s="152"/>
      <c r="Q374" s="152">
        <v>1</v>
      </c>
      <c r="R374" s="152">
        <v>1</v>
      </c>
      <c r="S374" s="152"/>
      <c r="T374" s="152"/>
      <c r="U374" s="152"/>
      <c r="V374" s="152">
        <v>1</v>
      </c>
      <c r="W374" s="152">
        <v>2</v>
      </c>
      <c r="X374" s="152"/>
      <c r="Y374" s="152"/>
      <c r="Z374" s="152"/>
      <c r="AA374" s="152">
        <v>0</v>
      </c>
      <c r="AB374" s="152">
        <v>1</v>
      </c>
      <c r="AC374" s="152"/>
      <c r="AD374" s="152"/>
      <c r="AE374" s="152"/>
      <c r="AF374" s="152">
        <v>1</v>
      </c>
      <c r="AG374" s="152">
        <v>1</v>
      </c>
      <c r="AH374" s="152">
        <v>1</v>
      </c>
      <c r="AI374" s="152"/>
      <c r="AJ374" s="152"/>
      <c r="AK374" s="152">
        <v>1</v>
      </c>
      <c r="AL374" s="152">
        <v>1</v>
      </c>
      <c r="AM374" s="152"/>
      <c r="AN374" s="152"/>
      <c r="AO374" s="152"/>
      <c r="AP374" s="152">
        <v>1</v>
      </c>
      <c r="AQ374" s="152">
        <v>2</v>
      </c>
      <c r="AR374" s="152">
        <v>1</v>
      </c>
      <c r="AS374" s="152"/>
      <c r="AT374" s="152"/>
      <c r="AU374" s="152">
        <v>1</v>
      </c>
      <c r="AV374" s="152">
        <v>5</v>
      </c>
      <c r="AW374" s="152">
        <v>1</v>
      </c>
      <c r="AX374" s="152"/>
      <c r="AY374" s="152"/>
      <c r="AZ374" s="152">
        <v>6</v>
      </c>
      <c r="BA374" s="152">
        <v>7</v>
      </c>
      <c r="BB374" s="152"/>
      <c r="BC374" s="152"/>
      <c r="BD374" s="152">
        <v>0</v>
      </c>
      <c r="BE374" s="152"/>
      <c r="BF374" s="152"/>
      <c r="BG374" s="152"/>
      <c r="BH374" s="152"/>
      <c r="BI374" s="152">
        <v>0</v>
      </c>
      <c r="BJ374" s="152">
        <v>0</v>
      </c>
      <c r="BK374" s="152"/>
      <c r="BL374" s="152"/>
      <c r="BM374" s="152"/>
      <c r="BN374" s="152">
        <v>0</v>
      </c>
      <c r="BO374" s="152">
        <v>0</v>
      </c>
      <c r="BP374" s="152">
        <v>92</v>
      </c>
    </row>
    <row r="375" spans="1:68" x14ac:dyDescent="0.35">
      <c r="A375" s="146" t="s">
        <v>974</v>
      </c>
      <c r="B375" s="146" t="s">
        <v>975</v>
      </c>
      <c r="C375" s="152">
        <v>14</v>
      </c>
      <c r="D375" s="152"/>
      <c r="E375" s="152"/>
      <c r="F375" s="152"/>
      <c r="G375" s="152">
        <v>14</v>
      </c>
      <c r="H375" s="152">
        <v>36</v>
      </c>
      <c r="I375" s="152">
        <v>6</v>
      </c>
      <c r="J375" s="152"/>
      <c r="K375" s="152"/>
      <c r="L375" s="152">
        <v>42</v>
      </c>
      <c r="M375" s="152">
        <v>56</v>
      </c>
      <c r="N375" s="152"/>
      <c r="O375" s="152"/>
      <c r="P375" s="152"/>
      <c r="Q375" s="152">
        <v>0</v>
      </c>
      <c r="R375" s="152"/>
      <c r="S375" s="152"/>
      <c r="T375" s="152"/>
      <c r="U375" s="152"/>
      <c r="V375" s="152">
        <v>0</v>
      </c>
      <c r="W375" s="152">
        <v>0</v>
      </c>
      <c r="X375" s="152">
        <v>1</v>
      </c>
      <c r="Y375" s="152"/>
      <c r="Z375" s="152"/>
      <c r="AA375" s="152">
        <v>1</v>
      </c>
      <c r="AB375" s="152"/>
      <c r="AC375" s="152"/>
      <c r="AD375" s="152"/>
      <c r="AE375" s="152"/>
      <c r="AF375" s="152">
        <v>0</v>
      </c>
      <c r="AG375" s="152">
        <v>1</v>
      </c>
      <c r="AH375" s="152">
        <v>1</v>
      </c>
      <c r="AI375" s="152"/>
      <c r="AJ375" s="152"/>
      <c r="AK375" s="152">
        <v>1</v>
      </c>
      <c r="AL375" s="152"/>
      <c r="AM375" s="152"/>
      <c r="AN375" s="152"/>
      <c r="AO375" s="152"/>
      <c r="AP375" s="152">
        <v>0</v>
      </c>
      <c r="AQ375" s="152">
        <v>1</v>
      </c>
      <c r="AR375" s="152">
        <v>2</v>
      </c>
      <c r="AS375" s="152"/>
      <c r="AT375" s="152"/>
      <c r="AU375" s="152">
        <v>2</v>
      </c>
      <c r="AV375" s="152">
        <v>2</v>
      </c>
      <c r="AW375" s="152"/>
      <c r="AX375" s="152"/>
      <c r="AY375" s="152"/>
      <c r="AZ375" s="152">
        <v>2</v>
      </c>
      <c r="BA375" s="152">
        <v>4</v>
      </c>
      <c r="BB375" s="152"/>
      <c r="BC375" s="152"/>
      <c r="BD375" s="152">
        <v>0</v>
      </c>
      <c r="BE375" s="152"/>
      <c r="BF375" s="152"/>
      <c r="BG375" s="152"/>
      <c r="BH375" s="152"/>
      <c r="BI375" s="152">
        <v>0</v>
      </c>
      <c r="BJ375" s="152">
        <v>0</v>
      </c>
      <c r="BK375" s="152"/>
      <c r="BL375" s="152"/>
      <c r="BM375" s="152"/>
      <c r="BN375" s="152">
        <v>0</v>
      </c>
      <c r="BO375" s="152">
        <v>0</v>
      </c>
      <c r="BP375" s="152">
        <v>62</v>
      </c>
    </row>
    <row r="376" spans="1:68" x14ac:dyDescent="0.35">
      <c r="A376" s="146" t="s">
        <v>976</v>
      </c>
      <c r="B376" s="146" t="s">
        <v>977</v>
      </c>
      <c r="C376" s="152">
        <v>497</v>
      </c>
      <c r="D376" s="152">
        <v>1</v>
      </c>
      <c r="E376" s="152">
        <v>1</v>
      </c>
      <c r="F376" s="152"/>
      <c r="G376" s="152">
        <v>499</v>
      </c>
      <c r="H376" s="152">
        <v>848</v>
      </c>
      <c r="I376" s="152">
        <v>101</v>
      </c>
      <c r="J376" s="152">
        <v>13</v>
      </c>
      <c r="K376" s="152">
        <v>1</v>
      </c>
      <c r="L376" s="152">
        <v>963</v>
      </c>
      <c r="M376" s="152">
        <v>1462</v>
      </c>
      <c r="N376" s="152">
        <v>10</v>
      </c>
      <c r="O376" s="152"/>
      <c r="P376" s="152"/>
      <c r="Q376" s="152">
        <v>10</v>
      </c>
      <c r="R376" s="152">
        <v>1</v>
      </c>
      <c r="S376" s="152"/>
      <c r="T376" s="152"/>
      <c r="U376" s="152"/>
      <c r="V376" s="152">
        <v>1</v>
      </c>
      <c r="W376" s="152">
        <v>11</v>
      </c>
      <c r="X376" s="152">
        <v>5</v>
      </c>
      <c r="Y376" s="152"/>
      <c r="Z376" s="152"/>
      <c r="AA376" s="152">
        <v>5</v>
      </c>
      <c r="AB376" s="152">
        <v>3</v>
      </c>
      <c r="AC376" s="152"/>
      <c r="AD376" s="152"/>
      <c r="AE376" s="152"/>
      <c r="AF376" s="152">
        <v>3</v>
      </c>
      <c r="AG376" s="152">
        <v>8</v>
      </c>
      <c r="AH376" s="152">
        <v>20</v>
      </c>
      <c r="AI376" s="152"/>
      <c r="AJ376" s="152"/>
      <c r="AK376" s="152">
        <v>20</v>
      </c>
      <c r="AL376" s="152">
        <v>4</v>
      </c>
      <c r="AM376" s="152"/>
      <c r="AN376" s="152"/>
      <c r="AO376" s="152"/>
      <c r="AP376" s="152">
        <v>4</v>
      </c>
      <c r="AQ376" s="152">
        <v>24</v>
      </c>
      <c r="AR376" s="152">
        <v>73</v>
      </c>
      <c r="AS376" s="152"/>
      <c r="AT376" s="152"/>
      <c r="AU376" s="152">
        <v>73</v>
      </c>
      <c r="AV376" s="152">
        <v>30</v>
      </c>
      <c r="AW376" s="152"/>
      <c r="AX376" s="152"/>
      <c r="AY376" s="152"/>
      <c r="AZ376" s="152">
        <v>30</v>
      </c>
      <c r="BA376" s="152">
        <v>103</v>
      </c>
      <c r="BB376" s="152">
        <v>6</v>
      </c>
      <c r="BC376" s="152"/>
      <c r="BD376" s="152">
        <v>6</v>
      </c>
      <c r="BE376" s="152">
        <v>2</v>
      </c>
      <c r="BF376" s="152"/>
      <c r="BG376" s="152"/>
      <c r="BH376" s="152"/>
      <c r="BI376" s="152">
        <v>2</v>
      </c>
      <c r="BJ376" s="152">
        <v>8</v>
      </c>
      <c r="BK376" s="152"/>
      <c r="BL376" s="152"/>
      <c r="BM376" s="152"/>
      <c r="BN376" s="152">
        <v>0</v>
      </c>
      <c r="BO376" s="152">
        <v>0</v>
      </c>
      <c r="BP376" s="152">
        <v>1616</v>
      </c>
    </row>
    <row r="377" spans="1:68" x14ac:dyDescent="0.35">
      <c r="A377" s="146" t="s">
        <v>978</v>
      </c>
      <c r="B377" s="146" t="s">
        <v>979</v>
      </c>
      <c r="C377" s="152">
        <v>9</v>
      </c>
      <c r="D377" s="152"/>
      <c r="E377" s="152"/>
      <c r="F377" s="152"/>
      <c r="G377" s="152">
        <v>9</v>
      </c>
      <c r="H377" s="152">
        <v>28</v>
      </c>
      <c r="I377" s="152">
        <v>5</v>
      </c>
      <c r="J377" s="152">
        <v>1</v>
      </c>
      <c r="K377" s="152"/>
      <c r="L377" s="152">
        <v>34</v>
      </c>
      <c r="M377" s="152">
        <v>43</v>
      </c>
      <c r="N377" s="152"/>
      <c r="O377" s="152"/>
      <c r="P377" s="152"/>
      <c r="Q377" s="152">
        <v>0</v>
      </c>
      <c r="R377" s="152"/>
      <c r="S377" s="152"/>
      <c r="T377" s="152"/>
      <c r="U377" s="152"/>
      <c r="V377" s="152">
        <v>0</v>
      </c>
      <c r="W377" s="152">
        <v>0</v>
      </c>
      <c r="X377" s="152"/>
      <c r="Y377" s="152"/>
      <c r="Z377" s="152"/>
      <c r="AA377" s="152">
        <v>0</v>
      </c>
      <c r="AB377" s="152"/>
      <c r="AC377" s="152"/>
      <c r="AD377" s="152"/>
      <c r="AE377" s="152"/>
      <c r="AF377" s="152">
        <v>0</v>
      </c>
      <c r="AG377" s="152">
        <v>0</v>
      </c>
      <c r="AH377" s="152"/>
      <c r="AI377" s="152"/>
      <c r="AJ377" s="152"/>
      <c r="AK377" s="152">
        <v>0</v>
      </c>
      <c r="AL377" s="152"/>
      <c r="AM377" s="152"/>
      <c r="AN377" s="152"/>
      <c r="AO377" s="152"/>
      <c r="AP377" s="152">
        <v>0</v>
      </c>
      <c r="AQ377" s="152">
        <v>0</v>
      </c>
      <c r="AR377" s="152"/>
      <c r="AS377" s="152"/>
      <c r="AT377" s="152"/>
      <c r="AU377" s="152">
        <v>0</v>
      </c>
      <c r="AV377" s="152"/>
      <c r="AW377" s="152"/>
      <c r="AX377" s="152"/>
      <c r="AY377" s="152"/>
      <c r="AZ377" s="152">
        <v>0</v>
      </c>
      <c r="BA377" s="152">
        <v>0</v>
      </c>
      <c r="BB377" s="152">
        <v>1</v>
      </c>
      <c r="BC377" s="152"/>
      <c r="BD377" s="152">
        <v>1</v>
      </c>
      <c r="BE377" s="152"/>
      <c r="BF377" s="152"/>
      <c r="BG377" s="152"/>
      <c r="BH377" s="152"/>
      <c r="BI377" s="152">
        <v>0</v>
      </c>
      <c r="BJ377" s="152">
        <v>1</v>
      </c>
      <c r="BK377" s="152"/>
      <c r="BL377" s="152"/>
      <c r="BM377" s="152"/>
      <c r="BN377" s="152">
        <v>0</v>
      </c>
      <c r="BO377" s="152">
        <v>0</v>
      </c>
      <c r="BP377" s="152">
        <v>44</v>
      </c>
    </row>
    <row r="378" spans="1:68" x14ac:dyDescent="0.35">
      <c r="A378" s="146" t="s">
        <v>980</v>
      </c>
      <c r="B378" s="146" t="s">
        <v>1262</v>
      </c>
      <c r="C378" s="152">
        <v>181</v>
      </c>
      <c r="D378" s="152">
        <v>1</v>
      </c>
      <c r="E378" s="152"/>
      <c r="F378" s="152"/>
      <c r="G378" s="152">
        <v>182</v>
      </c>
      <c r="H378" s="152">
        <v>246</v>
      </c>
      <c r="I378" s="152">
        <v>51</v>
      </c>
      <c r="J378" s="152">
        <v>2</v>
      </c>
      <c r="K378" s="152"/>
      <c r="L378" s="152">
        <v>299</v>
      </c>
      <c r="M378" s="152">
        <v>481</v>
      </c>
      <c r="N378" s="152">
        <v>3</v>
      </c>
      <c r="O378" s="152"/>
      <c r="P378" s="152"/>
      <c r="Q378" s="152">
        <v>3</v>
      </c>
      <c r="R378" s="152"/>
      <c r="S378" s="152"/>
      <c r="T378" s="152"/>
      <c r="U378" s="152"/>
      <c r="V378" s="152">
        <v>0</v>
      </c>
      <c r="W378" s="152">
        <v>3</v>
      </c>
      <c r="X378" s="152">
        <v>3</v>
      </c>
      <c r="Y378" s="152"/>
      <c r="Z378" s="152"/>
      <c r="AA378" s="152">
        <v>3</v>
      </c>
      <c r="AB378" s="152"/>
      <c r="AC378" s="152"/>
      <c r="AD378" s="152"/>
      <c r="AE378" s="152"/>
      <c r="AF378" s="152">
        <v>0</v>
      </c>
      <c r="AG378" s="152">
        <v>3</v>
      </c>
      <c r="AH378" s="152">
        <v>3</v>
      </c>
      <c r="AI378" s="152"/>
      <c r="AJ378" s="152"/>
      <c r="AK378" s="152">
        <v>3</v>
      </c>
      <c r="AL378" s="152"/>
      <c r="AM378" s="152"/>
      <c r="AN378" s="152"/>
      <c r="AO378" s="152"/>
      <c r="AP378" s="152">
        <v>0</v>
      </c>
      <c r="AQ378" s="152">
        <v>3</v>
      </c>
      <c r="AR378" s="152">
        <v>18</v>
      </c>
      <c r="AS378" s="152"/>
      <c r="AT378" s="152"/>
      <c r="AU378" s="152">
        <v>18</v>
      </c>
      <c r="AV378" s="152">
        <v>12</v>
      </c>
      <c r="AW378" s="152"/>
      <c r="AX378" s="152"/>
      <c r="AY378" s="152"/>
      <c r="AZ378" s="152">
        <v>12</v>
      </c>
      <c r="BA378" s="152">
        <v>30</v>
      </c>
      <c r="BB378" s="152">
        <v>4</v>
      </c>
      <c r="BC378" s="152"/>
      <c r="BD378" s="152">
        <v>4</v>
      </c>
      <c r="BE378" s="152"/>
      <c r="BF378" s="152"/>
      <c r="BG378" s="152"/>
      <c r="BH378" s="152"/>
      <c r="BI378" s="152">
        <v>0</v>
      </c>
      <c r="BJ378" s="152">
        <v>4</v>
      </c>
      <c r="BK378" s="152"/>
      <c r="BL378" s="152"/>
      <c r="BM378" s="152"/>
      <c r="BN378" s="152">
        <v>0</v>
      </c>
      <c r="BO378" s="152">
        <v>0</v>
      </c>
      <c r="BP378" s="152">
        <v>524</v>
      </c>
    </row>
    <row r="379" spans="1:68" x14ac:dyDescent="0.35">
      <c r="A379" s="146" t="s">
        <v>981</v>
      </c>
      <c r="B379" s="146" t="s">
        <v>982</v>
      </c>
      <c r="C379" s="152">
        <v>116</v>
      </c>
      <c r="D379" s="152">
        <v>3</v>
      </c>
      <c r="E379" s="152"/>
      <c r="F379" s="152"/>
      <c r="G379" s="152">
        <v>119</v>
      </c>
      <c r="H379" s="152">
        <v>57</v>
      </c>
      <c r="I379" s="152">
        <v>9</v>
      </c>
      <c r="J379" s="152">
        <v>1</v>
      </c>
      <c r="K379" s="152"/>
      <c r="L379" s="152">
        <v>67</v>
      </c>
      <c r="M379" s="152">
        <v>186</v>
      </c>
      <c r="N379" s="152">
        <v>14</v>
      </c>
      <c r="O379" s="152"/>
      <c r="P379" s="152"/>
      <c r="Q379" s="152">
        <v>14</v>
      </c>
      <c r="R379" s="152"/>
      <c r="S379" s="152"/>
      <c r="T379" s="152"/>
      <c r="U379" s="152"/>
      <c r="V379" s="152">
        <v>0</v>
      </c>
      <c r="W379" s="152">
        <v>14</v>
      </c>
      <c r="X379" s="152">
        <v>20</v>
      </c>
      <c r="Y379" s="152"/>
      <c r="Z379" s="152"/>
      <c r="AA379" s="152">
        <v>20</v>
      </c>
      <c r="AB379" s="152"/>
      <c r="AC379" s="152"/>
      <c r="AD379" s="152"/>
      <c r="AE379" s="152"/>
      <c r="AF379" s="152">
        <v>0</v>
      </c>
      <c r="AG379" s="152">
        <v>20</v>
      </c>
      <c r="AH379" s="152">
        <v>6</v>
      </c>
      <c r="AI379" s="152"/>
      <c r="AJ379" s="152"/>
      <c r="AK379" s="152">
        <v>6</v>
      </c>
      <c r="AL379" s="152"/>
      <c r="AM379" s="152"/>
      <c r="AN379" s="152"/>
      <c r="AO379" s="152"/>
      <c r="AP379" s="152">
        <v>0</v>
      </c>
      <c r="AQ379" s="152">
        <v>6</v>
      </c>
      <c r="AR379" s="152">
        <v>21</v>
      </c>
      <c r="AS379" s="152"/>
      <c r="AT379" s="152"/>
      <c r="AU379" s="152">
        <v>21</v>
      </c>
      <c r="AV379" s="152">
        <v>1</v>
      </c>
      <c r="AW379" s="152"/>
      <c r="AX379" s="152"/>
      <c r="AY379" s="152"/>
      <c r="AZ379" s="152">
        <v>1</v>
      </c>
      <c r="BA379" s="152">
        <v>22</v>
      </c>
      <c r="BB379" s="152">
        <v>9</v>
      </c>
      <c r="BC379" s="152"/>
      <c r="BD379" s="152">
        <v>9</v>
      </c>
      <c r="BE379" s="152"/>
      <c r="BF379" s="152"/>
      <c r="BG379" s="152"/>
      <c r="BH379" s="152"/>
      <c r="BI379" s="152">
        <v>0</v>
      </c>
      <c r="BJ379" s="152">
        <v>9</v>
      </c>
      <c r="BK379" s="152"/>
      <c r="BL379" s="152"/>
      <c r="BM379" s="152"/>
      <c r="BN379" s="152">
        <v>0</v>
      </c>
      <c r="BO379" s="152">
        <v>0</v>
      </c>
      <c r="BP379" s="152">
        <v>257</v>
      </c>
    </row>
    <row r="380" spans="1:68" x14ac:dyDescent="0.35">
      <c r="A380" s="146" t="s">
        <v>983</v>
      </c>
      <c r="B380" s="146" t="s">
        <v>984</v>
      </c>
      <c r="C380" s="152">
        <v>160</v>
      </c>
      <c r="D380" s="152">
        <v>4</v>
      </c>
      <c r="E380" s="152">
        <v>1</v>
      </c>
      <c r="F380" s="152"/>
      <c r="G380" s="152">
        <v>165</v>
      </c>
      <c r="H380" s="152">
        <v>704</v>
      </c>
      <c r="I380" s="152">
        <v>260</v>
      </c>
      <c r="J380" s="152">
        <v>105</v>
      </c>
      <c r="K380" s="152">
        <v>26</v>
      </c>
      <c r="L380" s="152">
        <v>1095</v>
      </c>
      <c r="M380" s="152">
        <v>1260</v>
      </c>
      <c r="N380" s="152">
        <v>5</v>
      </c>
      <c r="O380" s="152"/>
      <c r="P380" s="152"/>
      <c r="Q380" s="152">
        <v>5</v>
      </c>
      <c r="R380" s="152">
        <v>4</v>
      </c>
      <c r="S380" s="152"/>
      <c r="T380" s="152"/>
      <c r="U380" s="152"/>
      <c r="V380" s="152">
        <v>4</v>
      </c>
      <c r="W380" s="152">
        <v>9</v>
      </c>
      <c r="X380" s="152">
        <v>8</v>
      </c>
      <c r="Y380" s="152"/>
      <c r="Z380" s="152"/>
      <c r="AA380" s="152">
        <v>8</v>
      </c>
      <c r="AB380" s="152">
        <v>8</v>
      </c>
      <c r="AC380" s="152"/>
      <c r="AD380" s="152"/>
      <c r="AE380" s="152"/>
      <c r="AF380" s="152">
        <v>8</v>
      </c>
      <c r="AG380" s="152">
        <v>16</v>
      </c>
      <c r="AH380" s="152">
        <v>7</v>
      </c>
      <c r="AI380" s="152"/>
      <c r="AJ380" s="152"/>
      <c r="AK380" s="152">
        <v>7</v>
      </c>
      <c r="AL380" s="152">
        <v>4</v>
      </c>
      <c r="AM380" s="152"/>
      <c r="AN380" s="152"/>
      <c r="AO380" s="152"/>
      <c r="AP380" s="152">
        <v>4</v>
      </c>
      <c r="AQ380" s="152">
        <v>11</v>
      </c>
      <c r="AR380" s="152">
        <v>15</v>
      </c>
      <c r="AS380" s="152"/>
      <c r="AT380" s="152"/>
      <c r="AU380" s="152">
        <v>15</v>
      </c>
      <c r="AV380" s="152">
        <v>35</v>
      </c>
      <c r="AW380" s="152">
        <v>1</v>
      </c>
      <c r="AX380" s="152"/>
      <c r="AY380" s="152"/>
      <c r="AZ380" s="152">
        <v>36</v>
      </c>
      <c r="BA380" s="152">
        <v>51</v>
      </c>
      <c r="BB380" s="152">
        <v>2</v>
      </c>
      <c r="BC380" s="152"/>
      <c r="BD380" s="152">
        <v>2</v>
      </c>
      <c r="BE380" s="152">
        <v>7</v>
      </c>
      <c r="BF380" s="152">
        <v>1</v>
      </c>
      <c r="BG380" s="152"/>
      <c r="BH380" s="152"/>
      <c r="BI380" s="152">
        <v>8</v>
      </c>
      <c r="BJ380" s="152">
        <v>10</v>
      </c>
      <c r="BK380" s="152"/>
      <c r="BL380" s="152"/>
      <c r="BM380" s="152"/>
      <c r="BN380" s="152">
        <v>0</v>
      </c>
      <c r="BO380" s="152">
        <v>0</v>
      </c>
      <c r="BP380" s="152">
        <v>1357</v>
      </c>
    </row>
    <row r="381" spans="1:68" x14ac:dyDescent="0.35">
      <c r="A381" s="146" t="s">
        <v>985</v>
      </c>
      <c r="B381" s="146" t="s">
        <v>219</v>
      </c>
      <c r="C381" s="152">
        <v>175</v>
      </c>
      <c r="D381" s="152"/>
      <c r="E381" s="152"/>
      <c r="F381" s="152"/>
      <c r="G381" s="152">
        <v>175</v>
      </c>
      <c r="H381" s="152">
        <v>98</v>
      </c>
      <c r="I381" s="152">
        <v>8</v>
      </c>
      <c r="J381" s="152"/>
      <c r="K381" s="152"/>
      <c r="L381" s="152">
        <v>106</v>
      </c>
      <c r="M381" s="152">
        <v>281</v>
      </c>
      <c r="N381" s="152">
        <v>17</v>
      </c>
      <c r="O381" s="152"/>
      <c r="P381" s="152"/>
      <c r="Q381" s="152">
        <v>17</v>
      </c>
      <c r="R381" s="152">
        <v>1</v>
      </c>
      <c r="S381" s="152"/>
      <c r="T381" s="152"/>
      <c r="U381" s="152"/>
      <c r="V381" s="152">
        <v>1</v>
      </c>
      <c r="W381" s="152">
        <v>18</v>
      </c>
      <c r="X381" s="152">
        <v>5</v>
      </c>
      <c r="Y381" s="152"/>
      <c r="Z381" s="152"/>
      <c r="AA381" s="152">
        <v>5</v>
      </c>
      <c r="AB381" s="152">
        <v>1</v>
      </c>
      <c r="AC381" s="152"/>
      <c r="AD381" s="152"/>
      <c r="AE381" s="152"/>
      <c r="AF381" s="152">
        <v>1</v>
      </c>
      <c r="AG381" s="152">
        <v>6</v>
      </c>
      <c r="AH381" s="152">
        <v>5</v>
      </c>
      <c r="AI381" s="152"/>
      <c r="AJ381" s="152"/>
      <c r="AK381" s="152">
        <v>5</v>
      </c>
      <c r="AL381" s="152"/>
      <c r="AM381" s="152"/>
      <c r="AN381" s="152"/>
      <c r="AO381" s="152"/>
      <c r="AP381" s="152">
        <v>0</v>
      </c>
      <c r="AQ381" s="152">
        <v>5</v>
      </c>
      <c r="AR381" s="152">
        <v>39</v>
      </c>
      <c r="AS381" s="152"/>
      <c r="AT381" s="152"/>
      <c r="AU381" s="152">
        <v>39</v>
      </c>
      <c r="AV381" s="152">
        <v>15</v>
      </c>
      <c r="AW381" s="152"/>
      <c r="AX381" s="152"/>
      <c r="AY381" s="152"/>
      <c r="AZ381" s="152">
        <v>15</v>
      </c>
      <c r="BA381" s="152">
        <v>54</v>
      </c>
      <c r="BB381" s="152">
        <v>3</v>
      </c>
      <c r="BC381" s="152"/>
      <c r="BD381" s="152">
        <v>3</v>
      </c>
      <c r="BE381" s="152"/>
      <c r="BF381" s="152"/>
      <c r="BG381" s="152"/>
      <c r="BH381" s="152"/>
      <c r="BI381" s="152">
        <v>0</v>
      </c>
      <c r="BJ381" s="152">
        <v>3</v>
      </c>
      <c r="BK381" s="152"/>
      <c r="BL381" s="152"/>
      <c r="BM381" s="152"/>
      <c r="BN381" s="152">
        <v>0</v>
      </c>
      <c r="BO381" s="152">
        <v>0</v>
      </c>
      <c r="BP381" s="152">
        <v>367</v>
      </c>
    </row>
    <row r="382" spans="1:68" x14ac:dyDescent="0.35">
      <c r="A382" s="146" t="s">
        <v>986</v>
      </c>
      <c r="B382" s="146" t="s">
        <v>987</v>
      </c>
      <c r="C382" s="152">
        <v>41</v>
      </c>
      <c r="D382" s="152">
        <v>1</v>
      </c>
      <c r="E382" s="152"/>
      <c r="F382" s="152"/>
      <c r="G382" s="152">
        <v>42</v>
      </c>
      <c r="H382" s="152">
        <v>92</v>
      </c>
      <c r="I382" s="152">
        <v>14</v>
      </c>
      <c r="J382" s="152">
        <v>1</v>
      </c>
      <c r="K382" s="152">
        <v>1</v>
      </c>
      <c r="L382" s="152">
        <v>108</v>
      </c>
      <c r="M382" s="152">
        <v>150</v>
      </c>
      <c r="N382" s="152">
        <v>10</v>
      </c>
      <c r="O382" s="152"/>
      <c r="P382" s="152"/>
      <c r="Q382" s="152">
        <v>10</v>
      </c>
      <c r="R382" s="152">
        <v>2</v>
      </c>
      <c r="S382" s="152"/>
      <c r="T382" s="152"/>
      <c r="U382" s="152"/>
      <c r="V382" s="152">
        <v>2</v>
      </c>
      <c r="W382" s="152">
        <v>12</v>
      </c>
      <c r="X382" s="152"/>
      <c r="Y382" s="152"/>
      <c r="Z382" s="152"/>
      <c r="AA382" s="152">
        <v>0</v>
      </c>
      <c r="AB382" s="152"/>
      <c r="AC382" s="152"/>
      <c r="AD382" s="152"/>
      <c r="AE382" s="152"/>
      <c r="AF382" s="152">
        <v>0</v>
      </c>
      <c r="AG382" s="152">
        <v>0</v>
      </c>
      <c r="AH382" s="152">
        <v>3</v>
      </c>
      <c r="AI382" s="152"/>
      <c r="AJ382" s="152"/>
      <c r="AK382" s="152">
        <v>3</v>
      </c>
      <c r="AL382" s="152">
        <v>1</v>
      </c>
      <c r="AM382" s="152"/>
      <c r="AN382" s="152"/>
      <c r="AO382" s="152"/>
      <c r="AP382" s="152">
        <v>1</v>
      </c>
      <c r="AQ382" s="152">
        <v>4</v>
      </c>
      <c r="AR382" s="152">
        <v>12</v>
      </c>
      <c r="AS382" s="152"/>
      <c r="AT382" s="152"/>
      <c r="AU382" s="152">
        <v>12</v>
      </c>
      <c r="AV382" s="152">
        <v>6</v>
      </c>
      <c r="AW382" s="152"/>
      <c r="AX382" s="152"/>
      <c r="AY382" s="152"/>
      <c r="AZ382" s="152">
        <v>6</v>
      </c>
      <c r="BA382" s="152">
        <v>18</v>
      </c>
      <c r="BB382" s="152">
        <v>2</v>
      </c>
      <c r="BC382" s="152"/>
      <c r="BD382" s="152">
        <v>2</v>
      </c>
      <c r="BE382" s="152">
        <v>2</v>
      </c>
      <c r="BF382" s="152"/>
      <c r="BG382" s="152"/>
      <c r="BH382" s="152"/>
      <c r="BI382" s="152">
        <v>2</v>
      </c>
      <c r="BJ382" s="152">
        <v>4</v>
      </c>
      <c r="BK382" s="152"/>
      <c r="BL382" s="152"/>
      <c r="BM382" s="152"/>
      <c r="BN382" s="152">
        <v>0</v>
      </c>
      <c r="BO382" s="152">
        <v>0</v>
      </c>
      <c r="BP382" s="152">
        <v>188</v>
      </c>
    </row>
    <row r="383" spans="1:68" x14ac:dyDescent="0.35">
      <c r="A383" s="146" t="s">
        <v>988</v>
      </c>
      <c r="B383" s="146" t="s">
        <v>989</v>
      </c>
      <c r="C383" s="152">
        <v>11</v>
      </c>
      <c r="D383" s="152"/>
      <c r="E383" s="152"/>
      <c r="F383" s="152"/>
      <c r="G383" s="152">
        <v>11</v>
      </c>
      <c r="H383" s="152">
        <v>13</v>
      </c>
      <c r="I383" s="152">
        <v>1</v>
      </c>
      <c r="J383" s="152"/>
      <c r="K383" s="152"/>
      <c r="L383" s="152">
        <v>14</v>
      </c>
      <c r="M383" s="152">
        <v>25</v>
      </c>
      <c r="N383" s="152">
        <v>1</v>
      </c>
      <c r="O383" s="152"/>
      <c r="P383" s="152"/>
      <c r="Q383" s="152">
        <v>1</v>
      </c>
      <c r="R383" s="152"/>
      <c r="S383" s="152"/>
      <c r="T383" s="152"/>
      <c r="U383" s="152"/>
      <c r="V383" s="152">
        <v>0</v>
      </c>
      <c r="W383" s="152">
        <v>1</v>
      </c>
      <c r="X383" s="152"/>
      <c r="Y383" s="152"/>
      <c r="Z383" s="152"/>
      <c r="AA383" s="152">
        <v>0</v>
      </c>
      <c r="AB383" s="152"/>
      <c r="AC383" s="152"/>
      <c r="AD383" s="152"/>
      <c r="AE383" s="152"/>
      <c r="AF383" s="152">
        <v>0</v>
      </c>
      <c r="AG383" s="152">
        <v>0</v>
      </c>
      <c r="AH383" s="152"/>
      <c r="AI383" s="152"/>
      <c r="AJ383" s="152"/>
      <c r="AK383" s="152">
        <v>0</v>
      </c>
      <c r="AL383" s="152"/>
      <c r="AM383" s="152"/>
      <c r="AN383" s="152"/>
      <c r="AO383" s="152"/>
      <c r="AP383" s="152">
        <v>0</v>
      </c>
      <c r="AQ383" s="152">
        <v>0</v>
      </c>
      <c r="AR383" s="152"/>
      <c r="AS383" s="152"/>
      <c r="AT383" s="152"/>
      <c r="AU383" s="152">
        <v>0</v>
      </c>
      <c r="AV383" s="152"/>
      <c r="AW383" s="152"/>
      <c r="AX383" s="152"/>
      <c r="AY383" s="152"/>
      <c r="AZ383" s="152">
        <v>0</v>
      </c>
      <c r="BA383" s="152">
        <v>0</v>
      </c>
      <c r="BB383" s="152"/>
      <c r="BC383" s="152"/>
      <c r="BD383" s="152">
        <v>0</v>
      </c>
      <c r="BE383" s="152"/>
      <c r="BF383" s="152"/>
      <c r="BG383" s="152"/>
      <c r="BH383" s="152"/>
      <c r="BI383" s="152">
        <v>0</v>
      </c>
      <c r="BJ383" s="152">
        <v>0</v>
      </c>
      <c r="BK383" s="152"/>
      <c r="BL383" s="152"/>
      <c r="BM383" s="152"/>
      <c r="BN383" s="152">
        <v>0</v>
      </c>
      <c r="BO383" s="152">
        <v>0</v>
      </c>
      <c r="BP383" s="152">
        <v>26</v>
      </c>
    </row>
    <row r="384" spans="1:68" x14ac:dyDescent="0.35">
      <c r="A384" s="146" t="s">
        <v>990</v>
      </c>
      <c r="B384" s="146" t="s">
        <v>1263</v>
      </c>
      <c r="C384" s="152">
        <v>1</v>
      </c>
      <c r="D384" s="152"/>
      <c r="E384" s="152"/>
      <c r="F384" s="152"/>
      <c r="G384" s="152">
        <v>1</v>
      </c>
      <c r="H384" s="152"/>
      <c r="I384" s="152"/>
      <c r="J384" s="152"/>
      <c r="K384" s="152"/>
      <c r="L384" s="152">
        <v>0</v>
      </c>
      <c r="M384" s="152">
        <v>1</v>
      </c>
      <c r="N384" s="152">
        <v>1</v>
      </c>
      <c r="O384" s="152"/>
      <c r="P384" s="152"/>
      <c r="Q384" s="152">
        <v>1</v>
      </c>
      <c r="R384" s="152"/>
      <c r="S384" s="152"/>
      <c r="T384" s="152"/>
      <c r="U384" s="152"/>
      <c r="V384" s="152">
        <v>0</v>
      </c>
      <c r="W384" s="152">
        <v>1</v>
      </c>
      <c r="X384" s="152">
        <v>4</v>
      </c>
      <c r="Y384" s="152"/>
      <c r="Z384" s="152"/>
      <c r="AA384" s="152">
        <v>4</v>
      </c>
      <c r="AB384" s="152"/>
      <c r="AC384" s="152"/>
      <c r="AD384" s="152"/>
      <c r="AE384" s="152"/>
      <c r="AF384" s="152">
        <v>0</v>
      </c>
      <c r="AG384" s="152">
        <v>4</v>
      </c>
      <c r="AH384" s="152"/>
      <c r="AI384" s="152"/>
      <c r="AJ384" s="152"/>
      <c r="AK384" s="152">
        <v>0</v>
      </c>
      <c r="AL384" s="152"/>
      <c r="AM384" s="152"/>
      <c r="AN384" s="152"/>
      <c r="AO384" s="152"/>
      <c r="AP384" s="152">
        <v>0</v>
      </c>
      <c r="AQ384" s="152">
        <v>0</v>
      </c>
      <c r="AR384" s="152"/>
      <c r="AS384" s="152"/>
      <c r="AT384" s="152"/>
      <c r="AU384" s="152">
        <v>0</v>
      </c>
      <c r="AV384" s="152"/>
      <c r="AW384" s="152"/>
      <c r="AX384" s="152"/>
      <c r="AY384" s="152"/>
      <c r="AZ384" s="152">
        <v>0</v>
      </c>
      <c r="BA384" s="152">
        <v>0</v>
      </c>
      <c r="BB384" s="152">
        <v>1</v>
      </c>
      <c r="BC384" s="152"/>
      <c r="BD384" s="152">
        <v>1</v>
      </c>
      <c r="BE384" s="152"/>
      <c r="BF384" s="152"/>
      <c r="BG384" s="152"/>
      <c r="BH384" s="152"/>
      <c r="BI384" s="152">
        <v>0</v>
      </c>
      <c r="BJ384" s="152">
        <v>1</v>
      </c>
      <c r="BK384" s="152"/>
      <c r="BL384" s="152"/>
      <c r="BM384" s="152"/>
      <c r="BN384" s="152">
        <v>0</v>
      </c>
      <c r="BO384" s="152">
        <v>0</v>
      </c>
      <c r="BP384" s="152">
        <v>7</v>
      </c>
    </row>
    <row r="385" spans="1:68" x14ac:dyDescent="0.35">
      <c r="A385" s="145" t="s">
        <v>991</v>
      </c>
      <c r="B385" s="146" t="s">
        <v>992</v>
      </c>
      <c r="C385" s="152">
        <v>109</v>
      </c>
      <c r="D385" s="152">
        <v>1</v>
      </c>
      <c r="E385" s="152"/>
      <c r="F385" s="152"/>
      <c r="G385" s="152">
        <v>110</v>
      </c>
      <c r="H385" s="152">
        <v>27</v>
      </c>
      <c r="I385" s="152">
        <v>6</v>
      </c>
      <c r="J385" s="152">
        <v>1</v>
      </c>
      <c r="K385" s="152"/>
      <c r="L385" s="152">
        <v>34</v>
      </c>
      <c r="M385" s="152">
        <v>144</v>
      </c>
      <c r="N385" s="152">
        <v>1</v>
      </c>
      <c r="O385" s="152"/>
      <c r="P385" s="152"/>
      <c r="Q385" s="152">
        <v>1</v>
      </c>
      <c r="R385" s="152"/>
      <c r="S385" s="152"/>
      <c r="T385" s="152"/>
      <c r="U385" s="152"/>
      <c r="V385" s="152">
        <v>0</v>
      </c>
      <c r="W385" s="152">
        <v>1</v>
      </c>
      <c r="X385" s="152">
        <v>4</v>
      </c>
      <c r="Y385" s="152"/>
      <c r="Z385" s="152"/>
      <c r="AA385" s="152">
        <v>4</v>
      </c>
      <c r="AB385" s="152"/>
      <c r="AC385" s="152"/>
      <c r="AD385" s="152"/>
      <c r="AE385" s="152"/>
      <c r="AF385" s="152">
        <v>0</v>
      </c>
      <c r="AG385" s="152">
        <v>4</v>
      </c>
      <c r="AH385" s="152">
        <v>2</v>
      </c>
      <c r="AI385" s="152"/>
      <c r="AJ385" s="152"/>
      <c r="AK385" s="152">
        <v>2</v>
      </c>
      <c r="AL385" s="152"/>
      <c r="AM385" s="152"/>
      <c r="AN385" s="152"/>
      <c r="AO385" s="152"/>
      <c r="AP385" s="152">
        <v>0</v>
      </c>
      <c r="AQ385" s="152">
        <v>2</v>
      </c>
      <c r="AR385" s="152">
        <v>8</v>
      </c>
      <c r="AS385" s="152"/>
      <c r="AT385" s="152"/>
      <c r="AU385" s="152">
        <v>8</v>
      </c>
      <c r="AV385" s="152">
        <v>1</v>
      </c>
      <c r="AW385" s="152"/>
      <c r="AX385" s="152"/>
      <c r="AY385" s="152"/>
      <c r="AZ385" s="152">
        <v>1</v>
      </c>
      <c r="BA385" s="152">
        <v>9</v>
      </c>
      <c r="BB385" s="152"/>
      <c r="BC385" s="152"/>
      <c r="BD385" s="152">
        <v>0</v>
      </c>
      <c r="BE385" s="152"/>
      <c r="BF385" s="152"/>
      <c r="BG385" s="152"/>
      <c r="BH385" s="152"/>
      <c r="BI385" s="152">
        <v>0</v>
      </c>
      <c r="BJ385" s="152">
        <v>0</v>
      </c>
      <c r="BK385" s="152"/>
      <c r="BL385" s="152"/>
      <c r="BM385" s="152"/>
      <c r="BN385" s="152">
        <v>0</v>
      </c>
      <c r="BO385" s="152">
        <v>0</v>
      </c>
      <c r="BP385" s="152">
        <v>160</v>
      </c>
    </row>
    <row r="386" spans="1:68" x14ac:dyDescent="0.35">
      <c r="A386" s="145" t="s">
        <v>993</v>
      </c>
      <c r="B386" s="146" t="s">
        <v>994</v>
      </c>
      <c r="C386" s="152">
        <v>51</v>
      </c>
      <c r="D386" s="152">
        <v>1</v>
      </c>
      <c r="E386" s="152"/>
      <c r="F386" s="152"/>
      <c r="G386" s="152">
        <v>52</v>
      </c>
      <c r="H386" s="152">
        <v>183</v>
      </c>
      <c r="I386" s="152">
        <v>80</v>
      </c>
      <c r="J386" s="152">
        <v>15</v>
      </c>
      <c r="K386" s="152">
        <v>4</v>
      </c>
      <c r="L386" s="152">
        <v>282</v>
      </c>
      <c r="M386" s="152">
        <v>334</v>
      </c>
      <c r="N386" s="152">
        <v>9</v>
      </c>
      <c r="O386" s="152">
        <v>1</v>
      </c>
      <c r="P386" s="152"/>
      <c r="Q386" s="152">
        <v>10</v>
      </c>
      <c r="R386" s="152">
        <v>5</v>
      </c>
      <c r="S386" s="152"/>
      <c r="T386" s="152"/>
      <c r="U386" s="152"/>
      <c r="V386" s="152">
        <v>5</v>
      </c>
      <c r="W386" s="152">
        <v>15</v>
      </c>
      <c r="X386" s="152">
        <v>2</v>
      </c>
      <c r="Y386" s="152"/>
      <c r="Z386" s="152"/>
      <c r="AA386" s="152">
        <v>2</v>
      </c>
      <c r="AB386" s="152">
        <v>4</v>
      </c>
      <c r="AC386" s="152">
        <v>1</v>
      </c>
      <c r="AD386" s="152"/>
      <c r="AE386" s="152"/>
      <c r="AF386" s="152">
        <v>5</v>
      </c>
      <c r="AG386" s="152">
        <v>7</v>
      </c>
      <c r="AH386" s="152">
        <v>28</v>
      </c>
      <c r="AI386" s="152">
        <v>2</v>
      </c>
      <c r="AJ386" s="152"/>
      <c r="AK386" s="152">
        <v>30</v>
      </c>
      <c r="AL386" s="152">
        <v>10</v>
      </c>
      <c r="AM386" s="152">
        <v>2</v>
      </c>
      <c r="AN386" s="152"/>
      <c r="AO386" s="152"/>
      <c r="AP386" s="152">
        <v>12</v>
      </c>
      <c r="AQ386" s="152">
        <v>42</v>
      </c>
      <c r="AR386" s="152">
        <v>12</v>
      </c>
      <c r="AS386" s="152">
        <v>1</v>
      </c>
      <c r="AT386" s="152"/>
      <c r="AU386" s="152">
        <v>13</v>
      </c>
      <c r="AV386" s="152">
        <v>19</v>
      </c>
      <c r="AW386" s="152">
        <v>5</v>
      </c>
      <c r="AX386" s="152">
        <v>4</v>
      </c>
      <c r="AY386" s="152"/>
      <c r="AZ386" s="152">
        <v>28</v>
      </c>
      <c r="BA386" s="152">
        <v>41</v>
      </c>
      <c r="BB386" s="152">
        <v>6</v>
      </c>
      <c r="BC386" s="152"/>
      <c r="BD386" s="152">
        <v>6</v>
      </c>
      <c r="BE386" s="152">
        <v>2</v>
      </c>
      <c r="BF386" s="152"/>
      <c r="BG386" s="152"/>
      <c r="BH386" s="152"/>
      <c r="BI386" s="152">
        <v>2</v>
      </c>
      <c r="BJ386" s="152">
        <v>8</v>
      </c>
      <c r="BK386" s="152"/>
      <c r="BL386" s="152"/>
      <c r="BM386" s="152"/>
      <c r="BN386" s="152">
        <v>0</v>
      </c>
      <c r="BO386" s="152">
        <v>0</v>
      </c>
      <c r="BP386" s="152">
        <v>447</v>
      </c>
    </row>
    <row r="387" spans="1:68" x14ac:dyDescent="0.35">
      <c r="A387" s="146" t="s">
        <v>995</v>
      </c>
      <c r="B387" s="146" t="s">
        <v>996</v>
      </c>
      <c r="C387" s="152"/>
      <c r="D387" s="152"/>
      <c r="E387" s="152"/>
      <c r="F387" s="152"/>
      <c r="G387" s="152">
        <v>0</v>
      </c>
      <c r="H387" s="152">
        <v>15</v>
      </c>
      <c r="I387" s="152">
        <v>8</v>
      </c>
      <c r="J387" s="152">
        <v>1</v>
      </c>
      <c r="K387" s="152"/>
      <c r="L387" s="152">
        <v>24</v>
      </c>
      <c r="M387" s="152">
        <v>24</v>
      </c>
      <c r="N387" s="152"/>
      <c r="O387" s="152"/>
      <c r="P387" s="152"/>
      <c r="Q387" s="152">
        <v>0</v>
      </c>
      <c r="R387" s="152"/>
      <c r="S387" s="152"/>
      <c r="T387" s="152"/>
      <c r="U387" s="152"/>
      <c r="V387" s="152">
        <v>0</v>
      </c>
      <c r="W387" s="152">
        <v>0</v>
      </c>
      <c r="X387" s="152"/>
      <c r="Y387" s="152"/>
      <c r="Z387" s="152"/>
      <c r="AA387" s="152">
        <v>0</v>
      </c>
      <c r="AB387" s="152"/>
      <c r="AC387" s="152"/>
      <c r="AD387" s="152"/>
      <c r="AE387" s="152"/>
      <c r="AF387" s="152">
        <v>0</v>
      </c>
      <c r="AG387" s="152">
        <v>0</v>
      </c>
      <c r="AH387" s="152"/>
      <c r="AI387" s="152"/>
      <c r="AJ387" s="152"/>
      <c r="AK387" s="152">
        <v>0</v>
      </c>
      <c r="AL387" s="152"/>
      <c r="AM387" s="152"/>
      <c r="AN387" s="152"/>
      <c r="AO387" s="152"/>
      <c r="AP387" s="152">
        <v>0</v>
      </c>
      <c r="AQ387" s="152">
        <v>0</v>
      </c>
      <c r="AR387" s="152"/>
      <c r="AS387" s="152"/>
      <c r="AT387" s="152"/>
      <c r="AU387" s="152">
        <v>0</v>
      </c>
      <c r="AV387" s="152">
        <v>1</v>
      </c>
      <c r="AW387" s="152"/>
      <c r="AX387" s="152"/>
      <c r="AY387" s="152"/>
      <c r="AZ387" s="152">
        <v>1</v>
      </c>
      <c r="BA387" s="152">
        <v>1</v>
      </c>
      <c r="BB387" s="152"/>
      <c r="BC387" s="152"/>
      <c r="BD387" s="152">
        <v>0</v>
      </c>
      <c r="BE387" s="152"/>
      <c r="BF387" s="152"/>
      <c r="BG387" s="152"/>
      <c r="BH387" s="152"/>
      <c r="BI387" s="152">
        <v>0</v>
      </c>
      <c r="BJ387" s="152">
        <v>0</v>
      </c>
      <c r="BK387" s="152"/>
      <c r="BL387" s="152"/>
      <c r="BM387" s="152"/>
      <c r="BN387" s="152">
        <v>0</v>
      </c>
      <c r="BO387" s="152">
        <v>0</v>
      </c>
      <c r="BP387" s="152">
        <v>25</v>
      </c>
    </row>
    <row r="388" spans="1:68" x14ac:dyDescent="0.35">
      <c r="A388" s="146" t="s">
        <v>997</v>
      </c>
      <c r="B388" s="146" t="s">
        <v>1264</v>
      </c>
      <c r="C388" s="152">
        <v>8</v>
      </c>
      <c r="D388" s="152"/>
      <c r="E388" s="152"/>
      <c r="F388" s="152"/>
      <c r="G388" s="152">
        <v>8</v>
      </c>
      <c r="H388" s="152">
        <v>24</v>
      </c>
      <c r="I388" s="152">
        <v>3</v>
      </c>
      <c r="J388" s="152"/>
      <c r="K388" s="152"/>
      <c r="L388" s="152">
        <v>27</v>
      </c>
      <c r="M388" s="152">
        <v>35</v>
      </c>
      <c r="N388" s="152"/>
      <c r="O388" s="152"/>
      <c r="P388" s="152"/>
      <c r="Q388" s="152">
        <v>0</v>
      </c>
      <c r="R388" s="152">
        <v>1</v>
      </c>
      <c r="S388" s="152"/>
      <c r="T388" s="152"/>
      <c r="U388" s="152"/>
      <c r="V388" s="152">
        <v>1</v>
      </c>
      <c r="W388" s="152">
        <v>1</v>
      </c>
      <c r="X388" s="152"/>
      <c r="Y388" s="152"/>
      <c r="Z388" s="152"/>
      <c r="AA388" s="152">
        <v>0</v>
      </c>
      <c r="AB388" s="152"/>
      <c r="AC388" s="152"/>
      <c r="AD388" s="152"/>
      <c r="AE388" s="152"/>
      <c r="AF388" s="152">
        <v>0</v>
      </c>
      <c r="AG388" s="152">
        <v>0</v>
      </c>
      <c r="AH388" s="152"/>
      <c r="AI388" s="152"/>
      <c r="AJ388" s="152"/>
      <c r="AK388" s="152">
        <v>0</v>
      </c>
      <c r="AL388" s="152"/>
      <c r="AM388" s="152"/>
      <c r="AN388" s="152"/>
      <c r="AO388" s="152"/>
      <c r="AP388" s="152">
        <v>0</v>
      </c>
      <c r="AQ388" s="152">
        <v>0</v>
      </c>
      <c r="AR388" s="152">
        <v>2</v>
      </c>
      <c r="AS388" s="152"/>
      <c r="AT388" s="152"/>
      <c r="AU388" s="152">
        <v>2</v>
      </c>
      <c r="AV388" s="152"/>
      <c r="AW388" s="152"/>
      <c r="AX388" s="152"/>
      <c r="AY388" s="152"/>
      <c r="AZ388" s="152">
        <v>0</v>
      </c>
      <c r="BA388" s="152">
        <v>2</v>
      </c>
      <c r="BB388" s="152"/>
      <c r="BC388" s="152"/>
      <c r="BD388" s="152">
        <v>0</v>
      </c>
      <c r="BE388" s="152"/>
      <c r="BF388" s="152"/>
      <c r="BG388" s="152"/>
      <c r="BH388" s="152"/>
      <c r="BI388" s="152">
        <v>0</v>
      </c>
      <c r="BJ388" s="152">
        <v>0</v>
      </c>
      <c r="BK388" s="152"/>
      <c r="BL388" s="152"/>
      <c r="BM388" s="152"/>
      <c r="BN388" s="152">
        <v>0</v>
      </c>
      <c r="BO388" s="152">
        <v>0</v>
      </c>
      <c r="BP388" s="152">
        <v>38</v>
      </c>
    </row>
    <row r="389" spans="1:68" x14ac:dyDescent="0.35">
      <c r="A389" s="146" t="s">
        <v>998</v>
      </c>
      <c r="B389" s="146" t="s">
        <v>1265</v>
      </c>
      <c r="C389" s="152">
        <v>3</v>
      </c>
      <c r="D389" s="152"/>
      <c r="E389" s="152"/>
      <c r="F389" s="152"/>
      <c r="G389" s="152">
        <v>3</v>
      </c>
      <c r="H389" s="152">
        <v>25</v>
      </c>
      <c r="I389" s="152">
        <v>16</v>
      </c>
      <c r="J389" s="152">
        <v>12</v>
      </c>
      <c r="K389" s="152">
        <v>1</v>
      </c>
      <c r="L389" s="152">
        <v>54</v>
      </c>
      <c r="M389" s="152">
        <v>57</v>
      </c>
      <c r="N389" s="152"/>
      <c r="O389" s="152"/>
      <c r="P389" s="152"/>
      <c r="Q389" s="152">
        <v>0</v>
      </c>
      <c r="R389" s="152"/>
      <c r="S389" s="152"/>
      <c r="T389" s="152"/>
      <c r="U389" s="152"/>
      <c r="V389" s="152">
        <v>0</v>
      </c>
      <c r="W389" s="152">
        <v>0</v>
      </c>
      <c r="X389" s="152"/>
      <c r="Y389" s="152"/>
      <c r="Z389" s="152"/>
      <c r="AA389" s="152">
        <v>0</v>
      </c>
      <c r="AB389" s="152"/>
      <c r="AC389" s="152"/>
      <c r="AD389" s="152"/>
      <c r="AE389" s="152"/>
      <c r="AF389" s="152">
        <v>0</v>
      </c>
      <c r="AG389" s="152">
        <v>0</v>
      </c>
      <c r="AH389" s="152"/>
      <c r="AI389" s="152"/>
      <c r="AJ389" s="152"/>
      <c r="AK389" s="152">
        <v>0</v>
      </c>
      <c r="AL389" s="152"/>
      <c r="AM389" s="152"/>
      <c r="AN389" s="152"/>
      <c r="AO389" s="152"/>
      <c r="AP389" s="152">
        <v>0</v>
      </c>
      <c r="AQ389" s="152">
        <v>0</v>
      </c>
      <c r="AR389" s="152">
        <v>1</v>
      </c>
      <c r="AS389" s="152"/>
      <c r="AT389" s="152"/>
      <c r="AU389" s="152">
        <v>1</v>
      </c>
      <c r="AV389" s="152"/>
      <c r="AW389" s="152"/>
      <c r="AX389" s="152"/>
      <c r="AY389" s="152"/>
      <c r="AZ389" s="152">
        <v>0</v>
      </c>
      <c r="BA389" s="152">
        <v>1</v>
      </c>
      <c r="BB389" s="152">
        <v>1</v>
      </c>
      <c r="BC389" s="152"/>
      <c r="BD389" s="152">
        <v>1</v>
      </c>
      <c r="BE389" s="152"/>
      <c r="BF389" s="152"/>
      <c r="BG389" s="152"/>
      <c r="BH389" s="152"/>
      <c r="BI389" s="152">
        <v>0</v>
      </c>
      <c r="BJ389" s="152">
        <v>1</v>
      </c>
      <c r="BK389" s="152"/>
      <c r="BL389" s="152"/>
      <c r="BM389" s="152"/>
      <c r="BN389" s="152">
        <v>0</v>
      </c>
      <c r="BO389" s="152">
        <v>0</v>
      </c>
      <c r="BP389" s="152">
        <v>59</v>
      </c>
    </row>
    <row r="390" spans="1:68" x14ac:dyDescent="0.35">
      <c r="A390" s="146" t="s">
        <v>999</v>
      </c>
      <c r="B390" s="146" t="s">
        <v>1266</v>
      </c>
      <c r="C390" s="152">
        <v>9</v>
      </c>
      <c r="D390" s="152"/>
      <c r="E390" s="152"/>
      <c r="F390" s="152"/>
      <c r="G390" s="152">
        <v>9</v>
      </c>
      <c r="H390" s="152">
        <v>48</v>
      </c>
      <c r="I390" s="152">
        <v>9</v>
      </c>
      <c r="J390" s="152">
        <v>1</v>
      </c>
      <c r="K390" s="152"/>
      <c r="L390" s="152">
        <v>58</v>
      </c>
      <c r="M390" s="152">
        <v>67</v>
      </c>
      <c r="N390" s="152"/>
      <c r="O390" s="152"/>
      <c r="P390" s="152"/>
      <c r="Q390" s="152">
        <v>0</v>
      </c>
      <c r="R390" s="152"/>
      <c r="S390" s="152"/>
      <c r="T390" s="152"/>
      <c r="U390" s="152"/>
      <c r="V390" s="152">
        <v>0</v>
      </c>
      <c r="W390" s="152">
        <v>0</v>
      </c>
      <c r="X390" s="152"/>
      <c r="Y390" s="152"/>
      <c r="Z390" s="152"/>
      <c r="AA390" s="152">
        <v>0</v>
      </c>
      <c r="AB390" s="152"/>
      <c r="AC390" s="152"/>
      <c r="AD390" s="152"/>
      <c r="AE390" s="152"/>
      <c r="AF390" s="152">
        <v>0</v>
      </c>
      <c r="AG390" s="152">
        <v>0</v>
      </c>
      <c r="AH390" s="152"/>
      <c r="AI390" s="152"/>
      <c r="AJ390" s="152"/>
      <c r="AK390" s="152">
        <v>0</v>
      </c>
      <c r="AL390" s="152"/>
      <c r="AM390" s="152"/>
      <c r="AN390" s="152"/>
      <c r="AO390" s="152"/>
      <c r="AP390" s="152">
        <v>0</v>
      </c>
      <c r="AQ390" s="152">
        <v>0</v>
      </c>
      <c r="AR390" s="152">
        <v>1</v>
      </c>
      <c r="AS390" s="152"/>
      <c r="AT390" s="152"/>
      <c r="AU390" s="152">
        <v>1</v>
      </c>
      <c r="AV390" s="152">
        <v>6</v>
      </c>
      <c r="AW390" s="152"/>
      <c r="AX390" s="152"/>
      <c r="AY390" s="152"/>
      <c r="AZ390" s="152">
        <v>6</v>
      </c>
      <c r="BA390" s="152">
        <v>7</v>
      </c>
      <c r="BB390" s="152"/>
      <c r="BC390" s="152"/>
      <c r="BD390" s="152">
        <v>0</v>
      </c>
      <c r="BE390" s="152">
        <v>1</v>
      </c>
      <c r="BF390" s="152"/>
      <c r="BG390" s="152"/>
      <c r="BH390" s="152"/>
      <c r="BI390" s="152">
        <v>1</v>
      </c>
      <c r="BJ390" s="152">
        <v>1</v>
      </c>
      <c r="BK390" s="152"/>
      <c r="BL390" s="152"/>
      <c r="BM390" s="152"/>
      <c r="BN390" s="152">
        <v>0</v>
      </c>
      <c r="BO390" s="152">
        <v>0</v>
      </c>
      <c r="BP390" s="152">
        <v>75</v>
      </c>
    </row>
    <row r="391" spans="1:68" x14ac:dyDescent="0.35">
      <c r="A391" s="146" t="s">
        <v>1000</v>
      </c>
      <c r="B391" s="146" t="s">
        <v>1001</v>
      </c>
      <c r="C391" s="152">
        <v>325</v>
      </c>
      <c r="D391" s="152">
        <v>1</v>
      </c>
      <c r="E391" s="152"/>
      <c r="F391" s="152"/>
      <c r="G391" s="152">
        <v>326</v>
      </c>
      <c r="H391" s="152">
        <v>303</v>
      </c>
      <c r="I391" s="152">
        <v>37</v>
      </c>
      <c r="J391" s="152">
        <v>4</v>
      </c>
      <c r="K391" s="152"/>
      <c r="L391" s="152">
        <v>344</v>
      </c>
      <c r="M391" s="152">
        <v>670</v>
      </c>
      <c r="N391" s="152">
        <v>42</v>
      </c>
      <c r="O391" s="152"/>
      <c r="P391" s="152"/>
      <c r="Q391" s="152">
        <v>42</v>
      </c>
      <c r="R391" s="152">
        <v>7</v>
      </c>
      <c r="S391" s="152"/>
      <c r="T391" s="152"/>
      <c r="U391" s="152"/>
      <c r="V391" s="152">
        <v>7</v>
      </c>
      <c r="W391" s="152">
        <v>49</v>
      </c>
      <c r="X391" s="152">
        <v>8</v>
      </c>
      <c r="Y391" s="152"/>
      <c r="Z391" s="152"/>
      <c r="AA391" s="152">
        <v>8</v>
      </c>
      <c r="AB391" s="152">
        <v>3</v>
      </c>
      <c r="AC391" s="152"/>
      <c r="AD391" s="152"/>
      <c r="AE391" s="152"/>
      <c r="AF391" s="152">
        <v>3</v>
      </c>
      <c r="AG391" s="152">
        <v>11</v>
      </c>
      <c r="AH391" s="152">
        <v>2</v>
      </c>
      <c r="AI391" s="152"/>
      <c r="AJ391" s="152"/>
      <c r="AK391" s="152">
        <v>2</v>
      </c>
      <c r="AL391" s="152"/>
      <c r="AM391" s="152"/>
      <c r="AN391" s="152"/>
      <c r="AO391" s="152"/>
      <c r="AP391" s="152">
        <v>0</v>
      </c>
      <c r="AQ391" s="152">
        <v>2</v>
      </c>
      <c r="AR391" s="152">
        <v>77</v>
      </c>
      <c r="AS391" s="152"/>
      <c r="AT391" s="152"/>
      <c r="AU391" s="152">
        <v>77</v>
      </c>
      <c r="AV391" s="152">
        <v>38</v>
      </c>
      <c r="AW391" s="152"/>
      <c r="AX391" s="152"/>
      <c r="AY391" s="152"/>
      <c r="AZ391" s="152">
        <v>38</v>
      </c>
      <c r="BA391" s="152">
        <v>115</v>
      </c>
      <c r="BB391" s="152">
        <v>7</v>
      </c>
      <c r="BC391" s="152"/>
      <c r="BD391" s="152">
        <v>7</v>
      </c>
      <c r="BE391" s="152">
        <v>2</v>
      </c>
      <c r="BF391" s="152"/>
      <c r="BG391" s="152"/>
      <c r="BH391" s="152"/>
      <c r="BI391" s="152">
        <v>2</v>
      </c>
      <c r="BJ391" s="152">
        <v>9</v>
      </c>
      <c r="BK391" s="152"/>
      <c r="BL391" s="152"/>
      <c r="BM391" s="152"/>
      <c r="BN391" s="152">
        <v>0</v>
      </c>
      <c r="BO391" s="152">
        <v>0</v>
      </c>
      <c r="BP391" s="152">
        <v>856</v>
      </c>
    </row>
    <row r="392" spans="1:68" x14ac:dyDescent="0.35">
      <c r="A392" s="146" t="s">
        <v>1002</v>
      </c>
      <c r="B392" s="146" t="s">
        <v>1003</v>
      </c>
      <c r="C392" s="152">
        <v>253</v>
      </c>
      <c r="D392" s="152"/>
      <c r="E392" s="152"/>
      <c r="F392" s="152"/>
      <c r="G392" s="152">
        <v>253</v>
      </c>
      <c r="H392" s="152">
        <v>222</v>
      </c>
      <c r="I392" s="152">
        <v>16</v>
      </c>
      <c r="J392" s="152">
        <v>5</v>
      </c>
      <c r="K392" s="152"/>
      <c r="L392" s="152">
        <v>243</v>
      </c>
      <c r="M392" s="152">
        <v>496</v>
      </c>
      <c r="N392" s="152">
        <v>57</v>
      </c>
      <c r="O392" s="152"/>
      <c r="P392" s="152"/>
      <c r="Q392" s="152">
        <v>57</v>
      </c>
      <c r="R392" s="152">
        <v>15</v>
      </c>
      <c r="S392" s="152"/>
      <c r="T392" s="152"/>
      <c r="U392" s="152"/>
      <c r="V392" s="152">
        <v>15</v>
      </c>
      <c r="W392" s="152">
        <v>72</v>
      </c>
      <c r="X392" s="152">
        <v>10</v>
      </c>
      <c r="Y392" s="152"/>
      <c r="Z392" s="152"/>
      <c r="AA392" s="152">
        <v>10</v>
      </c>
      <c r="AB392" s="152">
        <v>2</v>
      </c>
      <c r="AC392" s="152"/>
      <c r="AD392" s="152"/>
      <c r="AE392" s="152"/>
      <c r="AF392" s="152">
        <v>2</v>
      </c>
      <c r="AG392" s="152">
        <v>12</v>
      </c>
      <c r="AH392" s="152"/>
      <c r="AI392" s="152"/>
      <c r="AJ392" s="152"/>
      <c r="AK392" s="152">
        <v>0</v>
      </c>
      <c r="AL392" s="152"/>
      <c r="AM392" s="152">
        <v>1</v>
      </c>
      <c r="AN392" s="152"/>
      <c r="AO392" s="152"/>
      <c r="AP392" s="152">
        <v>1</v>
      </c>
      <c r="AQ392" s="152">
        <v>1</v>
      </c>
      <c r="AR392" s="152">
        <v>62</v>
      </c>
      <c r="AS392" s="152"/>
      <c r="AT392" s="152"/>
      <c r="AU392" s="152">
        <v>62</v>
      </c>
      <c r="AV392" s="152">
        <v>21</v>
      </c>
      <c r="AW392" s="152"/>
      <c r="AX392" s="152"/>
      <c r="AY392" s="152"/>
      <c r="AZ392" s="152">
        <v>21</v>
      </c>
      <c r="BA392" s="152">
        <v>83</v>
      </c>
      <c r="BB392" s="152">
        <v>15</v>
      </c>
      <c r="BC392" s="152"/>
      <c r="BD392" s="152">
        <v>15</v>
      </c>
      <c r="BE392" s="152">
        <v>2</v>
      </c>
      <c r="BF392" s="152"/>
      <c r="BG392" s="152"/>
      <c r="BH392" s="152"/>
      <c r="BI392" s="152">
        <v>2</v>
      </c>
      <c r="BJ392" s="152">
        <v>17</v>
      </c>
      <c r="BK392" s="152"/>
      <c r="BL392" s="152"/>
      <c r="BM392" s="152"/>
      <c r="BN392" s="152">
        <v>0</v>
      </c>
      <c r="BO392" s="152">
        <v>0</v>
      </c>
      <c r="BP392" s="152">
        <v>681</v>
      </c>
    </row>
    <row r="393" spans="1:68" x14ac:dyDescent="0.35">
      <c r="A393" s="146" t="s">
        <v>1004</v>
      </c>
      <c r="B393" s="146" t="s">
        <v>1005</v>
      </c>
      <c r="C393" s="152">
        <v>64</v>
      </c>
      <c r="D393" s="152"/>
      <c r="E393" s="152"/>
      <c r="F393" s="152"/>
      <c r="G393" s="152">
        <v>64</v>
      </c>
      <c r="H393" s="152">
        <v>79</v>
      </c>
      <c r="I393" s="152">
        <v>9</v>
      </c>
      <c r="J393" s="152"/>
      <c r="K393" s="152"/>
      <c r="L393" s="152">
        <v>88</v>
      </c>
      <c r="M393" s="152">
        <v>152</v>
      </c>
      <c r="N393" s="152">
        <v>4</v>
      </c>
      <c r="O393" s="152"/>
      <c r="P393" s="152"/>
      <c r="Q393" s="152">
        <v>4</v>
      </c>
      <c r="R393" s="152">
        <v>2</v>
      </c>
      <c r="S393" s="152"/>
      <c r="T393" s="152"/>
      <c r="U393" s="152"/>
      <c r="V393" s="152">
        <v>2</v>
      </c>
      <c r="W393" s="152">
        <v>6</v>
      </c>
      <c r="X393" s="152">
        <v>1</v>
      </c>
      <c r="Y393" s="152"/>
      <c r="Z393" s="152"/>
      <c r="AA393" s="152">
        <v>1</v>
      </c>
      <c r="AB393" s="152">
        <v>1</v>
      </c>
      <c r="AC393" s="152"/>
      <c r="AD393" s="152"/>
      <c r="AE393" s="152"/>
      <c r="AF393" s="152">
        <v>1</v>
      </c>
      <c r="AG393" s="152">
        <v>2</v>
      </c>
      <c r="AH393" s="152"/>
      <c r="AI393" s="152"/>
      <c r="AJ393" s="152"/>
      <c r="AK393" s="152">
        <v>0</v>
      </c>
      <c r="AL393" s="152"/>
      <c r="AM393" s="152"/>
      <c r="AN393" s="152"/>
      <c r="AO393" s="152"/>
      <c r="AP393" s="152">
        <v>0</v>
      </c>
      <c r="AQ393" s="152">
        <v>0</v>
      </c>
      <c r="AR393" s="152">
        <v>7</v>
      </c>
      <c r="AS393" s="152"/>
      <c r="AT393" s="152"/>
      <c r="AU393" s="152">
        <v>7</v>
      </c>
      <c r="AV393" s="152">
        <v>2</v>
      </c>
      <c r="AW393" s="152"/>
      <c r="AX393" s="152"/>
      <c r="AY393" s="152"/>
      <c r="AZ393" s="152">
        <v>2</v>
      </c>
      <c r="BA393" s="152">
        <v>9</v>
      </c>
      <c r="BB393" s="152">
        <v>4</v>
      </c>
      <c r="BC393" s="152"/>
      <c r="BD393" s="152">
        <v>4</v>
      </c>
      <c r="BE393" s="152">
        <v>1</v>
      </c>
      <c r="BF393" s="152"/>
      <c r="BG393" s="152"/>
      <c r="BH393" s="152"/>
      <c r="BI393" s="152">
        <v>1</v>
      </c>
      <c r="BJ393" s="152">
        <v>5</v>
      </c>
      <c r="BK393" s="152"/>
      <c r="BL393" s="152"/>
      <c r="BM393" s="152"/>
      <c r="BN393" s="152">
        <v>0</v>
      </c>
      <c r="BO393" s="152">
        <v>0</v>
      </c>
      <c r="BP393" s="152">
        <v>174</v>
      </c>
    </row>
    <row r="394" spans="1:68" x14ac:dyDescent="0.35">
      <c r="A394" s="146" t="s">
        <v>1006</v>
      </c>
      <c r="B394" s="146" t="s">
        <v>1007</v>
      </c>
      <c r="C394" s="152">
        <v>5</v>
      </c>
      <c r="D394" s="152"/>
      <c r="E394" s="152"/>
      <c r="F394" s="152"/>
      <c r="G394" s="152">
        <v>5</v>
      </c>
      <c r="H394" s="152">
        <v>12</v>
      </c>
      <c r="I394" s="152">
        <v>32</v>
      </c>
      <c r="J394" s="152">
        <v>9</v>
      </c>
      <c r="K394" s="152">
        <v>3</v>
      </c>
      <c r="L394" s="152">
        <v>56</v>
      </c>
      <c r="M394" s="152">
        <v>61</v>
      </c>
      <c r="N394" s="152"/>
      <c r="O394" s="152"/>
      <c r="P394" s="152"/>
      <c r="Q394" s="152">
        <v>0</v>
      </c>
      <c r="R394" s="152"/>
      <c r="S394" s="152"/>
      <c r="T394" s="152"/>
      <c r="U394" s="152"/>
      <c r="V394" s="152">
        <v>0</v>
      </c>
      <c r="W394" s="152">
        <v>0</v>
      </c>
      <c r="X394" s="152"/>
      <c r="Y394" s="152"/>
      <c r="Z394" s="152"/>
      <c r="AA394" s="152">
        <v>0</v>
      </c>
      <c r="AB394" s="152"/>
      <c r="AC394" s="152"/>
      <c r="AD394" s="152"/>
      <c r="AE394" s="152"/>
      <c r="AF394" s="152">
        <v>0</v>
      </c>
      <c r="AG394" s="152">
        <v>0</v>
      </c>
      <c r="AH394" s="152"/>
      <c r="AI394" s="152"/>
      <c r="AJ394" s="152"/>
      <c r="AK394" s="152">
        <v>0</v>
      </c>
      <c r="AL394" s="152"/>
      <c r="AM394" s="152"/>
      <c r="AN394" s="152"/>
      <c r="AO394" s="152"/>
      <c r="AP394" s="152">
        <v>0</v>
      </c>
      <c r="AQ394" s="152">
        <v>0</v>
      </c>
      <c r="AR394" s="152">
        <v>1</v>
      </c>
      <c r="AS394" s="152"/>
      <c r="AT394" s="152"/>
      <c r="AU394" s="152">
        <v>1</v>
      </c>
      <c r="AV394" s="152">
        <v>3</v>
      </c>
      <c r="AW394" s="152">
        <v>1</v>
      </c>
      <c r="AX394" s="152"/>
      <c r="AY394" s="152"/>
      <c r="AZ394" s="152">
        <v>4</v>
      </c>
      <c r="BA394" s="152">
        <v>5</v>
      </c>
      <c r="BB394" s="152"/>
      <c r="BC394" s="152"/>
      <c r="BD394" s="152">
        <v>0</v>
      </c>
      <c r="BE394" s="152"/>
      <c r="BF394" s="152"/>
      <c r="BG394" s="152"/>
      <c r="BH394" s="152"/>
      <c r="BI394" s="152">
        <v>0</v>
      </c>
      <c r="BJ394" s="152">
        <v>0</v>
      </c>
      <c r="BK394" s="152"/>
      <c r="BL394" s="152"/>
      <c r="BM394" s="152"/>
      <c r="BN394" s="152">
        <v>0</v>
      </c>
      <c r="BO394" s="152">
        <v>0</v>
      </c>
      <c r="BP394" s="152">
        <v>66</v>
      </c>
    </row>
    <row r="395" spans="1:68" x14ac:dyDescent="0.35">
      <c r="A395" s="146" t="s">
        <v>1008</v>
      </c>
      <c r="B395" s="146" t="s">
        <v>1009</v>
      </c>
      <c r="C395" s="152">
        <v>79</v>
      </c>
      <c r="D395" s="152"/>
      <c r="E395" s="152"/>
      <c r="F395" s="152"/>
      <c r="G395" s="152">
        <v>79</v>
      </c>
      <c r="H395" s="152">
        <v>53</v>
      </c>
      <c r="I395" s="152">
        <v>15</v>
      </c>
      <c r="J395" s="152">
        <v>1</v>
      </c>
      <c r="K395" s="152"/>
      <c r="L395" s="152">
        <v>69</v>
      </c>
      <c r="M395" s="152">
        <v>148</v>
      </c>
      <c r="N395" s="152">
        <v>6</v>
      </c>
      <c r="O395" s="152"/>
      <c r="P395" s="152"/>
      <c r="Q395" s="152">
        <v>6</v>
      </c>
      <c r="R395" s="152"/>
      <c r="S395" s="152"/>
      <c r="T395" s="152"/>
      <c r="U395" s="152"/>
      <c r="V395" s="152">
        <v>0</v>
      </c>
      <c r="W395" s="152">
        <v>6</v>
      </c>
      <c r="X395" s="152">
        <v>3</v>
      </c>
      <c r="Y395" s="152"/>
      <c r="Z395" s="152"/>
      <c r="AA395" s="152">
        <v>3</v>
      </c>
      <c r="AB395" s="152">
        <v>1</v>
      </c>
      <c r="AC395" s="152"/>
      <c r="AD395" s="152"/>
      <c r="AE395" s="152"/>
      <c r="AF395" s="152">
        <v>1</v>
      </c>
      <c r="AG395" s="152">
        <v>4</v>
      </c>
      <c r="AH395" s="152">
        <v>1</v>
      </c>
      <c r="AI395" s="152"/>
      <c r="AJ395" s="152"/>
      <c r="AK395" s="152">
        <v>1</v>
      </c>
      <c r="AL395" s="152"/>
      <c r="AM395" s="152"/>
      <c r="AN395" s="152"/>
      <c r="AO395" s="152"/>
      <c r="AP395" s="152">
        <v>0</v>
      </c>
      <c r="AQ395" s="152">
        <v>1</v>
      </c>
      <c r="AR395" s="152">
        <v>20</v>
      </c>
      <c r="AS395" s="152"/>
      <c r="AT395" s="152"/>
      <c r="AU395" s="152">
        <v>20</v>
      </c>
      <c r="AV395" s="152">
        <v>6</v>
      </c>
      <c r="AW395" s="152">
        <v>1</v>
      </c>
      <c r="AX395" s="152"/>
      <c r="AY395" s="152"/>
      <c r="AZ395" s="152">
        <v>7</v>
      </c>
      <c r="BA395" s="152">
        <v>27</v>
      </c>
      <c r="BB395" s="152">
        <v>2</v>
      </c>
      <c r="BC395" s="152"/>
      <c r="BD395" s="152">
        <v>2</v>
      </c>
      <c r="BE395" s="152">
        <v>1</v>
      </c>
      <c r="BF395" s="152"/>
      <c r="BG395" s="152"/>
      <c r="BH395" s="152"/>
      <c r="BI395" s="152">
        <v>1</v>
      </c>
      <c r="BJ395" s="152">
        <v>3</v>
      </c>
      <c r="BK395" s="152"/>
      <c r="BL395" s="152"/>
      <c r="BM395" s="152"/>
      <c r="BN395" s="152">
        <v>0</v>
      </c>
      <c r="BO395" s="152">
        <v>0</v>
      </c>
      <c r="BP395" s="152">
        <v>189</v>
      </c>
    </row>
    <row r="396" spans="1:68" x14ac:dyDescent="0.35">
      <c r="A396" s="146" t="s">
        <v>1010</v>
      </c>
      <c r="B396" s="146" t="s">
        <v>1011</v>
      </c>
      <c r="C396" s="152">
        <v>9</v>
      </c>
      <c r="D396" s="152"/>
      <c r="E396" s="152"/>
      <c r="F396" s="152"/>
      <c r="G396" s="152">
        <v>9</v>
      </c>
      <c r="H396" s="152">
        <v>9</v>
      </c>
      <c r="I396" s="152">
        <v>1</v>
      </c>
      <c r="J396" s="152"/>
      <c r="K396" s="152"/>
      <c r="L396" s="152">
        <v>10</v>
      </c>
      <c r="M396" s="152">
        <v>19</v>
      </c>
      <c r="N396" s="152"/>
      <c r="O396" s="152"/>
      <c r="P396" s="152"/>
      <c r="Q396" s="152">
        <v>0</v>
      </c>
      <c r="R396" s="152"/>
      <c r="S396" s="152"/>
      <c r="T396" s="152"/>
      <c r="U396" s="152"/>
      <c r="V396" s="152">
        <v>0</v>
      </c>
      <c r="W396" s="152">
        <v>0</v>
      </c>
      <c r="X396" s="152"/>
      <c r="Y396" s="152"/>
      <c r="Z396" s="152"/>
      <c r="AA396" s="152">
        <v>0</v>
      </c>
      <c r="AB396" s="152"/>
      <c r="AC396" s="152"/>
      <c r="AD396" s="152"/>
      <c r="AE396" s="152"/>
      <c r="AF396" s="152">
        <v>0</v>
      </c>
      <c r="AG396" s="152">
        <v>0</v>
      </c>
      <c r="AH396" s="152"/>
      <c r="AI396" s="152"/>
      <c r="AJ396" s="152"/>
      <c r="AK396" s="152">
        <v>0</v>
      </c>
      <c r="AL396" s="152"/>
      <c r="AM396" s="152"/>
      <c r="AN396" s="152"/>
      <c r="AO396" s="152"/>
      <c r="AP396" s="152">
        <v>0</v>
      </c>
      <c r="AQ396" s="152">
        <v>0</v>
      </c>
      <c r="AR396" s="152">
        <v>1</v>
      </c>
      <c r="AS396" s="152"/>
      <c r="AT396" s="152"/>
      <c r="AU396" s="152">
        <v>1</v>
      </c>
      <c r="AV396" s="152">
        <v>2</v>
      </c>
      <c r="AW396" s="152"/>
      <c r="AX396" s="152"/>
      <c r="AY396" s="152"/>
      <c r="AZ396" s="152">
        <v>2</v>
      </c>
      <c r="BA396" s="152">
        <v>3</v>
      </c>
      <c r="BB396" s="152"/>
      <c r="BC396" s="152"/>
      <c r="BD396" s="152">
        <v>0</v>
      </c>
      <c r="BE396" s="152"/>
      <c r="BF396" s="152"/>
      <c r="BG396" s="152"/>
      <c r="BH396" s="152"/>
      <c r="BI396" s="152">
        <v>0</v>
      </c>
      <c r="BJ396" s="152">
        <v>0</v>
      </c>
      <c r="BK396" s="152"/>
      <c r="BL396" s="152"/>
      <c r="BM396" s="152"/>
      <c r="BN396" s="152">
        <v>0</v>
      </c>
      <c r="BO396" s="152">
        <v>0</v>
      </c>
      <c r="BP396" s="152">
        <v>22</v>
      </c>
    </row>
    <row r="397" spans="1:68" x14ac:dyDescent="0.35">
      <c r="A397" s="146" t="s">
        <v>1012</v>
      </c>
      <c r="B397" s="146" t="s">
        <v>1013</v>
      </c>
      <c r="C397" s="152">
        <v>15</v>
      </c>
      <c r="D397" s="152"/>
      <c r="E397" s="152"/>
      <c r="F397" s="152"/>
      <c r="G397" s="152">
        <v>15</v>
      </c>
      <c r="H397" s="152">
        <v>39</v>
      </c>
      <c r="I397" s="152">
        <v>3</v>
      </c>
      <c r="J397" s="152"/>
      <c r="K397" s="152"/>
      <c r="L397" s="152">
        <v>42</v>
      </c>
      <c r="M397" s="152">
        <v>57</v>
      </c>
      <c r="N397" s="152"/>
      <c r="O397" s="152"/>
      <c r="P397" s="152"/>
      <c r="Q397" s="152">
        <v>0</v>
      </c>
      <c r="R397" s="152">
        <v>1</v>
      </c>
      <c r="S397" s="152"/>
      <c r="T397" s="152"/>
      <c r="U397" s="152"/>
      <c r="V397" s="152">
        <v>1</v>
      </c>
      <c r="W397" s="152">
        <v>1</v>
      </c>
      <c r="X397" s="152"/>
      <c r="Y397" s="152"/>
      <c r="Z397" s="152"/>
      <c r="AA397" s="152">
        <v>0</v>
      </c>
      <c r="AB397" s="152">
        <v>3</v>
      </c>
      <c r="AC397" s="152"/>
      <c r="AD397" s="152"/>
      <c r="AE397" s="152"/>
      <c r="AF397" s="152">
        <v>3</v>
      </c>
      <c r="AG397" s="152">
        <v>3</v>
      </c>
      <c r="AH397" s="152"/>
      <c r="AI397" s="152"/>
      <c r="AJ397" s="152"/>
      <c r="AK397" s="152">
        <v>0</v>
      </c>
      <c r="AL397" s="152"/>
      <c r="AM397" s="152"/>
      <c r="AN397" s="152"/>
      <c r="AO397" s="152"/>
      <c r="AP397" s="152">
        <v>0</v>
      </c>
      <c r="AQ397" s="152">
        <v>0</v>
      </c>
      <c r="AR397" s="152">
        <v>1</v>
      </c>
      <c r="AS397" s="152"/>
      <c r="AT397" s="152"/>
      <c r="AU397" s="152">
        <v>1</v>
      </c>
      <c r="AV397" s="152">
        <v>5</v>
      </c>
      <c r="AW397" s="152"/>
      <c r="AX397" s="152"/>
      <c r="AY397" s="152"/>
      <c r="AZ397" s="152">
        <v>5</v>
      </c>
      <c r="BA397" s="152">
        <v>6</v>
      </c>
      <c r="BB397" s="152"/>
      <c r="BC397" s="152"/>
      <c r="BD397" s="152">
        <v>0</v>
      </c>
      <c r="BE397" s="152">
        <v>3</v>
      </c>
      <c r="BF397" s="152"/>
      <c r="BG397" s="152"/>
      <c r="BH397" s="152"/>
      <c r="BI397" s="152">
        <v>3</v>
      </c>
      <c r="BJ397" s="152">
        <v>3</v>
      </c>
      <c r="BK397" s="152"/>
      <c r="BL397" s="152"/>
      <c r="BM397" s="152"/>
      <c r="BN397" s="152">
        <v>0</v>
      </c>
      <c r="BO397" s="152">
        <v>0</v>
      </c>
      <c r="BP397" s="152">
        <v>70</v>
      </c>
    </row>
    <row r="398" spans="1:68" x14ac:dyDescent="0.35">
      <c r="A398" s="146" t="s">
        <v>1014</v>
      </c>
      <c r="B398" s="146" t="s">
        <v>1015</v>
      </c>
      <c r="C398" s="152">
        <v>22</v>
      </c>
      <c r="D398" s="152"/>
      <c r="E398" s="152"/>
      <c r="F398" s="152"/>
      <c r="G398" s="152">
        <v>22</v>
      </c>
      <c r="H398" s="152">
        <v>81</v>
      </c>
      <c r="I398" s="152">
        <v>6</v>
      </c>
      <c r="J398" s="152">
        <v>2</v>
      </c>
      <c r="K398" s="152">
        <v>1</v>
      </c>
      <c r="L398" s="152">
        <v>90</v>
      </c>
      <c r="M398" s="152">
        <v>112</v>
      </c>
      <c r="N398" s="152"/>
      <c r="O398" s="152"/>
      <c r="P398" s="152"/>
      <c r="Q398" s="152">
        <v>0</v>
      </c>
      <c r="R398" s="152"/>
      <c r="S398" s="152"/>
      <c r="T398" s="152"/>
      <c r="U398" s="152"/>
      <c r="V398" s="152">
        <v>0</v>
      </c>
      <c r="W398" s="152">
        <v>0</v>
      </c>
      <c r="X398" s="152">
        <v>1</v>
      </c>
      <c r="Y398" s="152"/>
      <c r="Z398" s="152"/>
      <c r="AA398" s="152">
        <v>1</v>
      </c>
      <c r="AB398" s="152">
        <v>2</v>
      </c>
      <c r="AC398" s="152"/>
      <c r="AD398" s="152"/>
      <c r="AE398" s="152"/>
      <c r="AF398" s="152">
        <v>2</v>
      </c>
      <c r="AG398" s="152">
        <v>3</v>
      </c>
      <c r="AH398" s="152"/>
      <c r="AI398" s="152"/>
      <c r="AJ398" s="152"/>
      <c r="AK398" s="152">
        <v>0</v>
      </c>
      <c r="AL398" s="152"/>
      <c r="AM398" s="152"/>
      <c r="AN398" s="152"/>
      <c r="AO398" s="152"/>
      <c r="AP398" s="152">
        <v>0</v>
      </c>
      <c r="AQ398" s="152">
        <v>0</v>
      </c>
      <c r="AR398" s="152">
        <v>4</v>
      </c>
      <c r="AS398" s="152"/>
      <c r="AT398" s="152"/>
      <c r="AU398" s="152">
        <v>4</v>
      </c>
      <c r="AV398" s="152">
        <v>12</v>
      </c>
      <c r="AW398" s="152">
        <v>1</v>
      </c>
      <c r="AX398" s="152"/>
      <c r="AY398" s="152"/>
      <c r="AZ398" s="152">
        <v>13</v>
      </c>
      <c r="BA398" s="152">
        <v>17</v>
      </c>
      <c r="BB398" s="152"/>
      <c r="BC398" s="152"/>
      <c r="BD398" s="152">
        <v>0</v>
      </c>
      <c r="BE398" s="152">
        <v>1</v>
      </c>
      <c r="BF398" s="152"/>
      <c r="BG398" s="152"/>
      <c r="BH398" s="152"/>
      <c r="BI398" s="152">
        <v>1</v>
      </c>
      <c r="BJ398" s="152">
        <v>1</v>
      </c>
      <c r="BK398" s="152"/>
      <c r="BL398" s="152"/>
      <c r="BM398" s="152"/>
      <c r="BN398" s="152">
        <v>0</v>
      </c>
      <c r="BO398" s="152">
        <v>0</v>
      </c>
      <c r="BP398" s="152">
        <v>133</v>
      </c>
    </row>
    <row r="399" spans="1:68" x14ac:dyDescent="0.35">
      <c r="A399" s="146" t="s">
        <v>1016</v>
      </c>
      <c r="B399" s="146" t="s">
        <v>1017</v>
      </c>
      <c r="C399" s="152">
        <v>68</v>
      </c>
      <c r="D399" s="152"/>
      <c r="E399" s="152"/>
      <c r="F399" s="152"/>
      <c r="G399" s="152">
        <v>68</v>
      </c>
      <c r="H399" s="152">
        <v>111</v>
      </c>
      <c r="I399" s="152">
        <v>12</v>
      </c>
      <c r="J399" s="152">
        <v>6</v>
      </c>
      <c r="K399" s="152"/>
      <c r="L399" s="152">
        <v>129</v>
      </c>
      <c r="M399" s="152">
        <v>197</v>
      </c>
      <c r="N399" s="152">
        <v>3</v>
      </c>
      <c r="O399" s="152"/>
      <c r="P399" s="152"/>
      <c r="Q399" s="152">
        <v>3</v>
      </c>
      <c r="R399" s="152">
        <v>3</v>
      </c>
      <c r="S399" s="152"/>
      <c r="T399" s="152"/>
      <c r="U399" s="152"/>
      <c r="V399" s="152">
        <v>3</v>
      </c>
      <c r="W399" s="152">
        <v>6</v>
      </c>
      <c r="X399" s="152">
        <v>1</v>
      </c>
      <c r="Y399" s="152"/>
      <c r="Z399" s="152"/>
      <c r="AA399" s="152">
        <v>1</v>
      </c>
      <c r="AB399" s="152"/>
      <c r="AC399" s="152"/>
      <c r="AD399" s="152"/>
      <c r="AE399" s="152"/>
      <c r="AF399" s="152">
        <v>0</v>
      </c>
      <c r="AG399" s="152">
        <v>1</v>
      </c>
      <c r="AH399" s="152">
        <v>1</v>
      </c>
      <c r="AI399" s="152"/>
      <c r="AJ399" s="152"/>
      <c r="AK399" s="152">
        <v>1</v>
      </c>
      <c r="AL399" s="152">
        <v>1</v>
      </c>
      <c r="AM399" s="152"/>
      <c r="AN399" s="152"/>
      <c r="AO399" s="152"/>
      <c r="AP399" s="152">
        <v>1</v>
      </c>
      <c r="AQ399" s="152">
        <v>2</v>
      </c>
      <c r="AR399" s="152">
        <v>17</v>
      </c>
      <c r="AS399" s="152"/>
      <c r="AT399" s="152"/>
      <c r="AU399" s="152">
        <v>17</v>
      </c>
      <c r="AV399" s="152">
        <v>22</v>
      </c>
      <c r="AW399" s="152"/>
      <c r="AX399" s="152"/>
      <c r="AY399" s="152"/>
      <c r="AZ399" s="152">
        <v>22</v>
      </c>
      <c r="BA399" s="152">
        <v>39</v>
      </c>
      <c r="BB399" s="152">
        <v>3</v>
      </c>
      <c r="BC399" s="152"/>
      <c r="BD399" s="152">
        <v>3</v>
      </c>
      <c r="BE399" s="152"/>
      <c r="BF399" s="152"/>
      <c r="BG399" s="152"/>
      <c r="BH399" s="152"/>
      <c r="BI399" s="152">
        <v>0</v>
      </c>
      <c r="BJ399" s="152">
        <v>3</v>
      </c>
      <c r="BK399" s="152"/>
      <c r="BL399" s="152"/>
      <c r="BM399" s="152"/>
      <c r="BN399" s="152">
        <v>0</v>
      </c>
      <c r="BO399" s="152">
        <v>0</v>
      </c>
      <c r="BP399" s="152">
        <v>248</v>
      </c>
    </row>
    <row r="400" spans="1:68" x14ac:dyDescent="0.35">
      <c r="A400" s="146" t="s">
        <v>1018</v>
      </c>
      <c r="B400" s="146" t="s">
        <v>1019</v>
      </c>
      <c r="C400" s="152">
        <v>51</v>
      </c>
      <c r="D400" s="152"/>
      <c r="E400" s="152"/>
      <c r="F400" s="152"/>
      <c r="G400" s="152">
        <v>51</v>
      </c>
      <c r="H400" s="152">
        <v>64</v>
      </c>
      <c r="I400" s="152">
        <v>6</v>
      </c>
      <c r="J400" s="152"/>
      <c r="K400" s="152"/>
      <c r="L400" s="152">
        <v>70</v>
      </c>
      <c r="M400" s="152">
        <v>121</v>
      </c>
      <c r="N400" s="152">
        <v>3</v>
      </c>
      <c r="O400" s="152"/>
      <c r="P400" s="152"/>
      <c r="Q400" s="152">
        <v>3</v>
      </c>
      <c r="R400" s="152">
        <v>2</v>
      </c>
      <c r="S400" s="152"/>
      <c r="T400" s="152"/>
      <c r="U400" s="152"/>
      <c r="V400" s="152">
        <v>2</v>
      </c>
      <c r="W400" s="152">
        <v>5</v>
      </c>
      <c r="X400" s="152"/>
      <c r="Y400" s="152"/>
      <c r="Z400" s="152"/>
      <c r="AA400" s="152">
        <v>0</v>
      </c>
      <c r="AB400" s="152"/>
      <c r="AC400" s="152"/>
      <c r="AD400" s="152"/>
      <c r="AE400" s="152"/>
      <c r="AF400" s="152">
        <v>0</v>
      </c>
      <c r="AG400" s="152">
        <v>0</v>
      </c>
      <c r="AH400" s="152">
        <v>2</v>
      </c>
      <c r="AI400" s="152"/>
      <c r="AJ400" s="152"/>
      <c r="AK400" s="152">
        <v>2</v>
      </c>
      <c r="AL400" s="152">
        <v>2</v>
      </c>
      <c r="AM400" s="152"/>
      <c r="AN400" s="152"/>
      <c r="AO400" s="152"/>
      <c r="AP400" s="152">
        <v>2</v>
      </c>
      <c r="AQ400" s="152">
        <v>4</v>
      </c>
      <c r="AR400" s="152">
        <v>7</v>
      </c>
      <c r="AS400" s="152"/>
      <c r="AT400" s="152"/>
      <c r="AU400" s="152">
        <v>7</v>
      </c>
      <c r="AV400" s="152">
        <v>8</v>
      </c>
      <c r="AW400" s="152"/>
      <c r="AX400" s="152"/>
      <c r="AY400" s="152"/>
      <c r="AZ400" s="152">
        <v>8</v>
      </c>
      <c r="BA400" s="152">
        <v>15</v>
      </c>
      <c r="BB400" s="152">
        <v>5</v>
      </c>
      <c r="BC400" s="152"/>
      <c r="BD400" s="152">
        <v>5</v>
      </c>
      <c r="BE400" s="152">
        <v>1</v>
      </c>
      <c r="BF400" s="152"/>
      <c r="BG400" s="152"/>
      <c r="BH400" s="152"/>
      <c r="BI400" s="152">
        <v>1</v>
      </c>
      <c r="BJ400" s="152">
        <v>6</v>
      </c>
      <c r="BK400" s="152"/>
      <c r="BL400" s="152"/>
      <c r="BM400" s="152"/>
      <c r="BN400" s="152">
        <v>0</v>
      </c>
      <c r="BO400" s="152">
        <v>0</v>
      </c>
      <c r="BP400" s="152">
        <v>151</v>
      </c>
    </row>
    <row r="401" spans="1:68" x14ac:dyDescent="0.35">
      <c r="A401" s="146" t="s">
        <v>1020</v>
      </c>
      <c r="B401" s="146" t="s">
        <v>1021</v>
      </c>
      <c r="C401" s="152">
        <v>57</v>
      </c>
      <c r="D401" s="152"/>
      <c r="E401" s="152"/>
      <c r="F401" s="152"/>
      <c r="G401" s="152">
        <v>57</v>
      </c>
      <c r="H401" s="152">
        <v>161</v>
      </c>
      <c r="I401" s="152">
        <v>28</v>
      </c>
      <c r="J401" s="152">
        <v>8</v>
      </c>
      <c r="K401" s="152">
        <v>2</v>
      </c>
      <c r="L401" s="152">
        <v>199</v>
      </c>
      <c r="M401" s="152">
        <v>256</v>
      </c>
      <c r="N401" s="152">
        <v>5</v>
      </c>
      <c r="O401" s="152"/>
      <c r="P401" s="152"/>
      <c r="Q401" s="152">
        <v>5</v>
      </c>
      <c r="R401" s="152">
        <v>1</v>
      </c>
      <c r="S401" s="152"/>
      <c r="T401" s="152">
        <v>1</v>
      </c>
      <c r="U401" s="152"/>
      <c r="V401" s="152">
        <v>2</v>
      </c>
      <c r="W401" s="152">
        <v>7</v>
      </c>
      <c r="X401" s="152">
        <v>4</v>
      </c>
      <c r="Y401" s="152"/>
      <c r="Z401" s="152"/>
      <c r="AA401" s="152">
        <v>4</v>
      </c>
      <c r="AB401" s="152"/>
      <c r="AC401" s="152"/>
      <c r="AD401" s="152"/>
      <c r="AE401" s="152"/>
      <c r="AF401" s="152">
        <v>0</v>
      </c>
      <c r="AG401" s="152">
        <v>4</v>
      </c>
      <c r="AH401" s="152">
        <v>2</v>
      </c>
      <c r="AI401" s="152"/>
      <c r="AJ401" s="152"/>
      <c r="AK401" s="152">
        <v>2</v>
      </c>
      <c r="AL401" s="152">
        <v>1</v>
      </c>
      <c r="AM401" s="152"/>
      <c r="AN401" s="152"/>
      <c r="AO401" s="152"/>
      <c r="AP401" s="152">
        <v>1</v>
      </c>
      <c r="AQ401" s="152">
        <v>3</v>
      </c>
      <c r="AR401" s="152">
        <v>9</v>
      </c>
      <c r="AS401" s="152"/>
      <c r="AT401" s="152"/>
      <c r="AU401" s="152">
        <v>9</v>
      </c>
      <c r="AV401" s="152">
        <v>6</v>
      </c>
      <c r="AW401" s="152"/>
      <c r="AX401" s="152">
        <v>1</v>
      </c>
      <c r="AY401" s="152"/>
      <c r="AZ401" s="152">
        <v>7</v>
      </c>
      <c r="BA401" s="152">
        <v>16</v>
      </c>
      <c r="BB401" s="152">
        <v>1</v>
      </c>
      <c r="BC401" s="152"/>
      <c r="BD401" s="152">
        <v>1</v>
      </c>
      <c r="BE401" s="152"/>
      <c r="BF401" s="152">
        <v>1</v>
      </c>
      <c r="BG401" s="152"/>
      <c r="BH401" s="152"/>
      <c r="BI401" s="152">
        <v>1</v>
      </c>
      <c r="BJ401" s="152">
        <v>2</v>
      </c>
      <c r="BK401" s="152"/>
      <c r="BL401" s="152"/>
      <c r="BM401" s="152"/>
      <c r="BN401" s="152">
        <v>0</v>
      </c>
      <c r="BO401" s="152">
        <v>0</v>
      </c>
      <c r="BP401" s="152">
        <v>288</v>
      </c>
    </row>
    <row r="402" spans="1:68" x14ac:dyDescent="0.35">
      <c r="A402" s="146" t="s">
        <v>1022</v>
      </c>
      <c r="B402" s="146" t="s">
        <v>1023</v>
      </c>
      <c r="C402" s="152">
        <v>65</v>
      </c>
      <c r="D402" s="152"/>
      <c r="E402" s="152"/>
      <c r="F402" s="152"/>
      <c r="G402" s="152">
        <v>65</v>
      </c>
      <c r="H402" s="152">
        <v>9</v>
      </c>
      <c r="I402" s="152">
        <v>2</v>
      </c>
      <c r="J402" s="152">
        <v>1</v>
      </c>
      <c r="K402" s="152"/>
      <c r="L402" s="152">
        <v>12</v>
      </c>
      <c r="M402" s="152">
        <v>77</v>
      </c>
      <c r="N402" s="152">
        <v>3</v>
      </c>
      <c r="O402" s="152"/>
      <c r="P402" s="152"/>
      <c r="Q402" s="152">
        <v>3</v>
      </c>
      <c r="R402" s="152"/>
      <c r="S402" s="152"/>
      <c r="T402" s="152"/>
      <c r="U402" s="152"/>
      <c r="V402" s="152">
        <v>0</v>
      </c>
      <c r="W402" s="152">
        <v>3</v>
      </c>
      <c r="X402" s="152">
        <v>1</v>
      </c>
      <c r="Y402" s="152"/>
      <c r="Z402" s="152"/>
      <c r="AA402" s="152">
        <v>1</v>
      </c>
      <c r="AB402" s="152"/>
      <c r="AC402" s="152"/>
      <c r="AD402" s="152"/>
      <c r="AE402" s="152"/>
      <c r="AF402" s="152">
        <v>0</v>
      </c>
      <c r="AG402" s="152">
        <v>1</v>
      </c>
      <c r="AH402" s="152">
        <v>4</v>
      </c>
      <c r="AI402" s="152"/>
      <c r="AJ402" s="152"/>
      <c r="AK402" s="152">
        <v>4</v>
      </c>
      <c r="AL402" s="152"/>
      <c r="AM402" s="152"/>
      <c r="AN402" s="152"/>
      <c r="AO402" s="152"/>
      <c r="AP402" s="152">
        <v>0</v>
      </c>
      <c r="AQ402" s="152">
        <v>4</v>
      </c>
      <c r="AR402" s="152">
        <v>8</v>
      </c>
      <c r="AS402" s="152"/>
      <c r="AT402" s="152"/>
      <c r="AU402" s="152">
        <v>8</v>
      </c>
      <c r="AV402" s="152">
        <v>2</v>
      </c>
      <c r="AW402" s="152"/>
      <c r="AX402" s="152"/>
      <c r="AY402" s="152"/>
      <c r="AZ402" s="152">
        <v>2</v>
      </c>
      <c r="BA402" s="152">
        <v>10</v>
      </c>
      <c r="BB402" s="152">
        <v>1</v>
      </c>
      <c r="BC402" s="152"/>
      <c r="BD402" s="152">
        <v>1</v>
      </c>
      <c r="BE402" s="152"/>
      <c r="BF402" s="152"/>
      <c r="BG402" s="152"/>
      <c r="BH402" s="152"/>
      <c r="BI402" s="152">
        <v>0</v>
      </c>
      <c r="BJ402" s="152">
        <v>1</v>
      </c>
      <c r="BK402" s="152"/>
      <c r="BL402" s="152"/>
      <c r="BM402" s="152"/>
      <c r="BN402" s="152">
        <v>0</v>
      </c>
      <c r="BO402" s="152">
        <v>0</v>
      </c>
      <c r="BP402" s="152">
        <v>96</v>
      </c>
    </row>
    <row r="403" spans="1:68" x14ac:dyDescent="0.35">
      <c r="A403" s="146" t="s">
        <v>1024</v>
      </c>
      <c r="B403" s="146" t="s">
        <v>1267</v>
      </c>
      <c r="C403" s="152">
        <v>12</v>
      </c>
      <c r="D403" s="152"/>
      <c r="E403" s="152"/>
      <c r="F403" s="152"/>
      <c r="G403" s="152">
        <v>12</v>
      </c>
      <c r="H403" s="152">
        <v>195</v>
      </c>
      <c r="I403" s="152">
        <v>34</v>
      </c>
      <c r="J403" s="152">
        <v>4</v>
      </c>
      <c r="K403" s="152">
        <v>4</v>
      </c>
      <c r="L403" s="152">
        <v>237</v>
      </c>
      <c r="M403" s="152">
        <v>249</v>
      </c>
      <c r="N403" s="152"/>
      <c r="O403" s="152"/>
      <c r="P403" s="152"/>
      <c r="Q403" s="152">
        <v>0</v>
      </c>
      <c r="R403" s="152"/>
      <c r="S403" s="152"/>
      <c r="T403" s="152"/>
      <c r="U403" s="152"/>
      <c r="V403" s="152">
        <v>0</v>
      </c>
      <c r="W403" s="152">
        <v>0</v>
      </c>
      <c r="X403" s="152"/>
      <c r="Y403" s="152"/>
      <c r="Z403" s="152"/>
      <c r="AA403" s="152">
        <v>0</v>
      </c>
      <c r="AB403" s="152">
        <v>1</v>
      </c>
      <c r="AC403" s="152"/>
      <c r="AD403" s="152"/>
      <c r="AE403" s="152"/>
      <c r="AF403" s="152">
        <v>1</v>
      </c>
      <c r="AG403" s="152">
        <v>1</v>
      </c>
      <c r="AH403" s="152"/>
      <c r="AI403" s="152"/>
      <c r="AJ403" s="152"/>
      <c r="AK403" s="152">
        <v>0</v>
      </c>
      <c r="AL403" s="152"/>
      <c r="AM403" s="152"/>
      <c r="AN403" s="152"/>
      <c r="AO403" s="152"/>
      <c r="AP403" s="152">
        <v>0</v>
      </c>
      <c r="AQ403" s="152">
        <v>0</v>
      </c>
      <c r="AR403" s="152">
        <v>2</v>
      </c>
      <c r="AS403" s="152"/>
      <c r="AT403" s="152"/>
      <c r="AU403" s="152">
        <v>2</v>
      </c>
      <c r="AV403" s="152">
        <v>10</v>
      </c>
      <c r="AW403" s="152"/>
      <c r="AX403" s="152"/>
      <c r="AY403" s="152">
        <v>2</v>
      </c>
      <c r="AZ403" s="152">
        <v>12</v>
      </c>
      <c r="BA403" s="152">
        <v>14</v>
      </c>
      <c r="BB403" s="152"/>
      <c r="BC403" s="152"/>
      <c r="BD403" s="152">
        <v>0</v>
      </c>
      <c r="BE403" s="152"/>
      <c r="BF403" s="152"/>
      <c r="BG403" s="152"/>
      <c r="BH403" s="152"/>
      <c r="BI403" s="152">
        <v>0</v>
      </c>
      <c r="BJ403" s="152">
        <v>0</v>
      </c>
      <c r="BK403" s="152"/>
      <c r="BL403" s="152"/>
      <c r="BM403" s="152"/>
      <c r="BN403" s="152">
        <v>0</v>
      </c>
      <c r="BO403" s="152">
        <v>0</v>
      </c>
      <c r="BP403" s="152">
        <v>264</v>
      </c>
    </row>
    <row r="404" spans="1:68" x14ac:dyDescent="0.35">
      <c r="A404" s="146" t="s">
        <v>1025</v>
      </c>
      <c r="B404" s="146" t="s">
        <v>1026</v>
      </c>
      <c r="C404" s="152">
        <v>106</v>
      </c>
      <c r="D404" s="152"/>
      <c r="E404" s="152">
        <v>1</v>
      </c>
      <c r="F404" s="152"/>
      <c r="G404" s="152">
        <v>107</v>
      </c>
      <c r="H404" s="152">
        <v>253</v>
      </c>
      <c r="I404" s="152">
        <v>57</v>
      </c>
      <c r="J404" s="152">
        <v>5</v>
      </c>
      <c r="K404" s="152">
        <v>1</v>
      </c>
      <c r="L404" s="152">
        <v>316</v>
      </c>
      <c r="M404" s="152">
        <v>423</v>
      </c>
      <c r="N404" s="152">
        <v>5</v>
      </c>
      <c r="O404" s="152"/>
      <c r="P404" s="152"/>
      <c r="Q404" s="152">
        <v>5</v>
      </c>
      <c r="R404" s="152">
        <v>4</v>
      </c>
      <c r="S404" s="152"/>
      <c r="T404" s="152"/>
      <c r="U404" s="152"/>
      <c r="V404" s="152">
        <v>4</v>
      </c>
      <c r="W404" s="152">
        <v>9</v>
      </c>
      <c r="X404" s="152">
        <v>1</v>
      </c>
      <c r="Y404" s="152"/>
      <c r="Z404" s="152"/>
      <c r="AA404" s="152">
        <v>1</v>
      </c>
      <c r="AB404" s="152">
        <v>3</v>
      </c>
      <c r="AC404" s="152">
        <v>1</v>
      </c>
      <c r="AD404" s="152"/>
      <c r="AE404" s="152"/>
      <c r="AF404" s="152">
        <v>4</v>
      </c>
      <c r="AG404" s="152">
        <v>5</v>
      </c>
      <c r="AH404" s="152">
        <v>2</v>
      </c>
      <c r="AI404" s="152"/>
      <c r="AJ404" s="152"/>
      <c r="AK404" s="152">
        <v>2</v>
      </c>
      <c r="AL404" s="152">
        <v>2</v>
      </c>
      <c r="AM404" s="152"/>
      <c r="AN404" s="152"/>
      <c r="AO404" s="152"/>
      <c r="AP404" s="152">
        <v>2</v>
      </c>
      <c r="AQ404" s="152">
        <v>4</v>
      </c>
      <c r="AR404" s="152">
        <v>11</v>
      </c>
      <c r="AS404" s="152"/>
      <c r="AT404" s="152"/>
      <c r="AU404" s="152">
        <v>11</v>
      </c>
      <c r="AV404" s="152">
        <v>19</v>
      </c>
      <c r="AW404" s="152"/>
      <c r="AX404" s="152"/>
      <c r="AY404" s="152"/>
      <c r="AZ404" s="152">
        <v>19</v>
      </c>
      <c r="BA404" s="152">
        <v>30</v>
      </c>
      <c r="BB404" s="152">
        <v>1</v>
      </c>
      <c r="BC404" s="152"/>
      <c r="BD404" s="152">
        <v>1</v>
      </c>
      <c r="BE404" s="152">
        <v>1</v>
      </c>
      <c r="BF404" s="152"/>
      <c r="BG404" s="152"/>
      <c r="BH404" s="152"/>
      <c r="BI404" s="152">
        <v>1</v>
      </c>
      <c r="BJ404" s="152">
        <v>2</v>
      </c>
      <c r="BK404" s="152"/>
      <c r="BL404" s="152"/>
      <c r="BM404" s="152"/>
      <c r="BN404" s="152">
        <v>0</v>
      </c>
      <c r="BO404" s="152">
        <v>0</v>
      </c>
      <c r="BP404" s="152">
        <v>473</v>
      </c>
    </row>
    <row r="405" spans="1:68" x14ac:dyDescent="0.35">
      <c r="A405" s="146" t="s">
        <v>1027</v>
      </c>
      <c r="B405" s="146" t="s">
        <v>1028</v>
      </c>
      <c r="C405" s="152">
        <v>3</v>
      </c>
      <c r="D405" s="152"/>
      <c r="E405" s="152"/>
      <c r="F405" s="152"/>
      <c r="G405" s="152">
        <v>3</v>
      </c>
      <c r="H405" s="152">
        <v>31</v>
      </c>
      <c r="I405" s="152">
        <v>5</v>
      </c>
      <c r="J405" s="152">
        <v>3</v>
      </c>
      <c r="K405" s="152"/>
      <c r="L405" s="152">
        <v>39</v>
      </c>
      <c r="M405" s="152">
        <v>42</v>
      </c>
      <c r="N405" s="152"/>
      <c r="O405" s="152"/>
      <c r="P405" s="152"/>
      <c r="Q405" s="152">
        <v>0</v>
      </c>
      <c r="R405" s="152"/>
      <c r="S405" s="152"/>
      <c r="T405" s="152"/>
      <c r="U405" s="152"/>
      <c r="V405" s="152">
        <v>0</v>
      </c>
      <c r="W405" s="152">
        <v>0</v>
      </c>
      <c r="X405" s="152"/>
      <c r="Y405" s="152"/>
      <c r="Z405" s="152"/>
      <c r="AA405" s="152">
        <v>0</v>
      </c>
      <c r="AB405" s="152"/>
      <c r="AC405" s="152"/>
      <c r="AD405" s="152"/>
      <c r="AE405" s="152"/>
      <c r="AF405" s="152">
        <v>0</v>
      </c>
      <c r="AG405" s="152">
        <v>0</v>
      </c>
      <c r="AH405" s="152"/>
      <c r="AI405" s="152"/>
      <c r="AJ405" s="152"/>
      <c r="AK405" s="152">
        <v>0</v>
      </c>
      <c r="AL405" s="152"/>
      <c r="AM405" s="152"/>
      <c r="AN405" s="152"/>
      <c r="AO405" s="152"/>
      <c r="AP405" s="152">
        <v>0</v>
      </c>
      <c r="AQ405" s="152">
        <v>0</v>
      </c>
      <c r="AR405" s="152">
        <v>1</v>
      </c>
      <c r="AS405" s="152"/>
      <c r="AT405" s="152"/>
      <c r="AU405" s="152">
        <v>1</v>
      </c>
      <c r="AV405" s="152">
        <v>3</v>
      </c>
      <c r="AW405" s="152"/>
      <c r="AX405" s="152"/>
      <c r="AY405" s="152"/>
      <c r="AZ405" s="152">
        <v>3</v>
      </c>
      <c r="BA405" s="152">
        <v>4</v>
      </c>
      <c r="BB405" s="152"/>
      <c r="BC405" s="152"/>
      <c r="BD405" s="152">
        <v>0</v>
      </c>
      <c r="BE405" s="152">
        <v>1</v>
      </c>
      <c r="BF405" s="152"/>
      <c r="BG405" s="152"/>
      <c r="BH405" s="152"/>
      <c r="BI405" s="152">
        <v>1</v>
      </c>
      <c r="BJ405" s="152">
        <v>1</v>
      </c>
      <c r="BK405" s="152"/>
      <c r="BL405" s="152"/>
      <c r="BM405" s="152"/>
      <c r="BN405" s="152">
        <v>0</v>
      </c>
      <c r="BO405" s="152">
        <v>0</v>
      </c>
      <c r="BP405" s="152">
        <v>47</v>
      </c>
    </row>
    <row r="406" spans="1:68" x14ac:dyDescent="0.35">
      <c r="A406" s="146" t="s">
        <v>1029</v>
      </c>
      <c r="B406" s="146" t="s">
        <v>1030</v>
      </c>
      <c r="C406" s="152">
        <v>9</v>
      </c>
      <c r="D406" s="152"/>
      <c r="E406" s="152"/>
      <c r="F406" s="152"/>
      <c r="G406" s="152">
        <v>9</v>
      </c>
      <c r="H406" s="152">
        <v>13</v>
      </c>
      <c r="I406" s="152">
        <v>5</v>
      </c>
      <c r="J406" s="152">
        <v>2</v>
      </c>
      <c r="K406" s="152"/>
      <c r="L406" s="152">
        <v>20</v>
      </c>
      <c r="M406" s="152">
        <v>29</v>
      </c>
      <c r="N406" s="152">
        <v>1</v>
      </c>
      <c r="O406" s="152"/>
      <c r="P406" s="152"/>
      <c r="Q406" s="152">
        <v>1</v>
      </c>
      <c r="R406" s="152"/>
      <c r="S406" s="152"/>
      <c r="T406" s="152"/>
      <c r="U406" s="152"/>
      <c r="V406" s="152">
        <v>0</v>
      </c>
      <c r="W406" s="152">
        <v>1</v>
      </c>
      <c r="X406" s="152"/>
      <c r="Y406" s="152"/>
      <c r="Z406" s="152"/>
      <c r="AA406" s="152">
        <v>0</v>
      </c>
      <c r="AB406" s="152"/>
      <c r="AC406" s="152"/>
      <c r="AD406" s="152"/>
      <c r="AE406" s="152"/>
      <c r="AF406" s="152">
        <v>0</v>
      </c>
      <c r="AG406" s="152">
        <v>0</v>
      </c>
      <c r="AH406" s="152"/>
      <c r="AI406" s="152"/>
      <c r="AJ406" s="152"/>
      <c r="AK406" s="152">
        <v>0</v>
      </c>
      <c r="AL406" s="152"/>
      <c r="AM406" s="152"/>
      <c r="AN406" s="152"/>
      <c r="AO406" s="152"/>
      <c r="AP406" s="152">
        <v>0</v>
      </c>
      <c r="AQ406" s="152">
        <v>0</v>
      </c>
      <c r="AR406" s="152">
        <v>1</v>
      </c>
      <c r="AS406" s="152"/>
      <c r="AT406" s="152"/>
      <c r="AU406" s="152">
        <v>1</v>
      </c>
      <c r="AV406" s="152">
        <v>3</v>
      </c>
      <c r="AW406" s="152">
        <v>1</v>
      </c>
      <c r="AX406" s="152"/>
      <c r="AY406" s="152"/>
      <c r="AZ406" s="152">
        <v>4</v>
      </c>
      <c r="BA406" s="152">
        <v>5</v>
      </c>
      <c r="BB406" s="152"/>
      <c r="BC406" s="152"/>
      <c r="BD406" s="152">
        <v>0</v>
      </c>
      <c r="BE406" s="152">
        <v>1</v>
      </c>
      <c r="BF406" s="152"/>
      <c r="BG406" s="152"/>
      <c r="BH406" s="152"/>
      <c r="BI406" s="152">
        <v>1</v>
      </c>
      <c r="BJ406" s="152">
        <v>1</v>
      </c>
      <c r="BK406" s="152"/>
      <c r="BL406" s="152"/>
      <c r="BM406" s="152"/>
      <c r="BN406" s="152">
        <v>0</v>
      </c>
      <c r="BO406" s="152">
        <v>0</v>
      </c>
      <c r="BP406" s="152">
        <v>36</v>
      </c>
    </row>
    <row r="407" spans="1:68" x14ac:dyDescent="0.35">
      <c r="A407" s="146" t="s">
        <v>1031</v>
      </c>
      <c r="B407" s="146" t="s">
        <v>1032</v>
      </c>
      <c r="C407" s="152">
        <v>735</v>
      </c>
      <c r="D407" s="152">
        <v>1</v>
      </c>
      <c r="E407" s="152"/>
      <c r="F407" s="152"/>
      <c r="G407" s="152">
        <v>736</v>
      </c>
      <c r="H407" s="152">
        <v>521</v>
      </c>
      <c r="I407" s="152">
        <v>201</v>
      </c>
      <c r="J407" s="152">
        <v>76</v>
      </c>
      <c r="K407" s="152">
        <v>19</v>
      </c>
      <c r="L407" s="152">
        <v>817</v>
      </c>
      <c r="M407" s="152">
        <v>1553</v>
      </c>
      <c r="N407" s="152">
        <v>41</v>
      </c>
      <c r="O407" s="152"/>
      <c r="P407" s="152"/>
      <c r="Q407" s="152">
        <v>41</v>
      </c>
      <c r="R407" s="152">
        <v>4</v>
      </c>
      <c r="S407" s="152">
        <v>1</v>
      </c>
      <c r="T407" s="152"/>
      <c r="U407" s="152"/>
      <c r="V407" s="152">
        <v>5</v>
      </c>
      <c r="W407" s="152">
        <v>46</v>
      </c>
      <c r="X407" s="152">
        <v>43</v>
      </c>
      <c r="Y407" s="152"/>
      <c r="Z407" s="152"/>
      <c r="AA407" s="152">
        <v>43</v>
      </c>
      <c r="AB407" s="152">
        <v>2</v>
      </c>
      <c r="AC407" s="152"/>
      <c r="AD407" s="152"/>
      <c r="AE407" s="152"/>
      <c r="AF407" s="152">
        <v>2</v>
      </c>
      <c r="AG407" s="152">
        <v>45</v>
      </c>
      <c r="AH407" s="152">
        <v>22</v>
      </c>
      <c r="AI407" s="152"/>
      <c r="AJ407" s="152"/>
      <c r="AK407" s="152">
        <v>22</v>
      </c>
      <c r="AL407" s="152">
        <v>3</v>
      </c>
      <c r="AM407" s="152"/>
      <c r="AN407" s="152"/>
      <c r="AO407" s="152"/>
      <c r="AP407" s="152">
        <v>3</v>
      </c>
      <c r="AQ407" s="152">
        <v>25</v>
      </c>
      <c r="AR407" s="152">
        <v>137</v>
      </c>
      <c r="AS407" s="152"/>
      <c r="AT407" s="152"/>
      <c r="AU407" s="152">
        <v>137</v>
      </c>
      <c r="AV407" s="152">
        <v>24</v>
      </c>
      <c r="AW407" s="152">
        <v>3</v>
      </c>
      <c r="AX407" s="152"/>
      <c r="AY407" s="152"/>
      <c r="AZ407" s="152">
        <v>27</v>
      </c>
      <c r="BA407" s="152">
        <v>164</v>
      </c>
      <c r="BB407" s="152">
        <v>11</v>
      </c>
      <c r="BC407" s="152"/>
      <c r="BD407" s="152">
        <v>11</v>
      </c>
      <c r="BE407" s="152">
        <v>5</v>
      </c>
      <c r="BF407" s="152">
        <v>4</v>
      </c>
      <c r="BG407" s="152"/>
      <c r="BH407" s="152"/>
      <c r="BI407" s="152">
        <v>9</v>
      </c>
      <c r="BJ407" s="152">
        <v>20</v>
      </c>
      <c r="BK407" s="152"/>
      <c r="BL407" s="152"/>
      <c r="BM407" s="152"/>
      <c r="BN407" s="152">
        <v>0</v>
      </c>
      <c r="BO407" s="152">
        <v>0</v>
      </c>
      <c r="BP407" s="152">
        <v>1853</v>
      </c>
    </row>
    <row r="408" spans="1:68" x14ac:dyDescent="0.35">
      <c r="A408" s="146" t="s">
        <v>1033</v>
      </c>
      <c r="B408" s="146" t="s">
        <v>1034</v>
      </c>
      <c r="C408" s="152"/>
      <c r="D408" s="152"/>
      <c r="E408" s="152"/>
      <c r="F408" s="152"/>
      <c r="G408" s="152">
        <v>0</v>
      </c>
      <c r="H408" s="152">
        <v>1</v>
      </c>
      <c r="I408" s="152">
        <v>2</v>
      </c>
      <c r="J408" s="152"/>
      <c r="K408" s="152"/>
      <c r="L408" s="152">
        <v>3</v>
      </c>
      <c r="M408" s="152">
        <v>3</v>
      </c>
      <c r="N408" s="152"/>
      <c r="O408" s="152"/>
      <c r="P408" s="152"/>
      <c r="Q408" s="152">
        <v>0</v>
      </c>
      <c r="R408" s="152"/>
      <c r="S408" s="152">
        <v>1</v>
      </c>
      <c r="T408" s="152"/>
      <c r="U408" s="152"/>
      <c r="V408" s="152">
        <v>1</v>
      </c>
      <c r="W408" s="152">
        <v>1</v>
      </c>
      <c r="X408" s="152"/>
      <c r="Y408" s="152"/>
      <c r="Z408" s="152"/>
      <c r="AA408" s="152">
        <v>0</v>
      </c>
      <c r="AB408" s="152"/>
      <c r="AC408" s="152"/>
      <c r="AD408" s="152"/>
      <c r="AE408" s="152"/>
      <c r="AF408" s="152">
        <v>0</v>
      </c>
      <c r="AG408" s="152">
        <v>0</v>
      </c>
      <c r="AH408" s="152"/>
      <c r="AI408" s="152"/>
      <c r="AJ408" s="152"/>
      <c r="AK408" s="152">
        <v>0</v>
      </c>
      <c r="AL408" s="152"/>
      <c r="AM408" s="152"/>
      <c r="AN408" s="152"/>
      <c r="AO408" s="152"/>
      <c r="AP408" s="152">
        <v>0</v>
      </c>
      <c r="AQ408" s="152">
        <v>0</v>
      </c>
      <c r="AR408" s="152"/>
      <c r="AS408" s="152"/>
      <c r="AT408" s="152"/>
      <c r="AU408" s="152">
        <v>0</v>
      </c>
      <c r="AV408" s="152"/>
      <c r="AW408" s="152"/>
      <c r="AX408" s="152"/>
      <c r="AY408" s="152"/>
      <c r="AZ408" s="152">
        <v>0</v>
      </c>
      <c r="BA408" s="152">
        <v>0</v>
      </c>
      <c r="BB408" s="152"/>
      <c r="BC408" s="152"/>
      <c r="BD408" s="152">
        <v>0</v>
      </c>
      <c r="BE408" s="152"/>
      <c r="BF408" s="152"/>
      <c r="BG408" s="152"/>
      <c r="BH408" s="152"/>
      <c r="BI408" s="152">
        <v>0</v>
      </c>
      <c r="BJ408" s="152">
        <v>0</v>
      </c>
      <c r="BK408" s="152"/>
      <c r="BL408" s="152"/>
      <c r="BM408" s="152"/>
      <c r="BN408" s="152">
        <v>0</v>
      </c>
      <c r="BO408" s="152">
        <v>0</v>
      </c>
      <c r="BP408" s="152">
        <v>4</v>
      </c>
    </row>
    <row r="409" spans="1:68" x14ac:dyDescent="0.35">
      <c r="A409" s="146" t="s">
        <v>1035</v>
      </c>
      <c r="B409" s="146" t="s">
        <v>1268</v>
      </c>
      <c r="C409" s="152">
        <v>3</v>
      </c>
      <c r="D409" s="152"/>
      <c r="E409" s="152"/>
      <c r="F409" s="152"/>
      <c r="G409" s="152">
        <v>3</v>
      </c>
      <c r="H409" s="152">
        <v>8</v>
      </c>
      <c r="I409" s="152"/>
      <c r="J409" s="152"/>
      <c r="K409" s="152"/>
      <c r="L409" s="152">
        <v>8</v>
      </c>
      <c r="M409" s="152">
        <v>11</v>
      </c>
      <c r="N409" s="152"/>
      <c r="O409" s="152"/>
      <c r="P409" s="152"/>
      <c r="Q409" s="152">
        <v>0</v>
      </c>
      <c r="R409" s="152"/>
      <c r="S409" s="152"/>
      <c r="T409" s="152"/>
      <c r="U409" s="152"/>
      <c r="V409" s="152">
        <v>0</v>
      </c>
      <c r="W409" s="152">
        <v>0</v>
      </c>
      <c r="X409" s="152"/>
      <c r="Y409" s="152"/>
      <c r="Z409" s="152"/>
      <c r="AA409" s="152">
        <v>0</v>
      </c>
      <c r="AB409" s="152"/>
      <c r="AC409" s="152"/>
      <c r="AD409" s="152"/>
      <c r="AE409" s="152"/>
      <c r="AF409" s="152">
        <v>0</v>
      </c>
      <c r="AG409" s="152">
        <v>0</v>
      </c>
      <c r="AH409" s="152"/>
      <c r="AI409" s="152"/>
      <c r="AJ409" s="152"/>
      <c r="AK409" s="152">
        <v>0</v>
      </c>
      <c r="AL409" s="152"/>
      <c r="AM409" s="152"/>
      <c r="AN409" s="152"/>
      <c r="AO409" s="152"/>
      <c r="AP409" s="152">
        <v>0</v>
      </c>
      <c r="AQ409" s="152">
        <v>0</v>
      </c>
      <c r="AR409" s="152"/>
      <c r="AS409" s="152"/>
      <c r="AT409" s="152"/>
      <c r="AU409" s="152">
        <v>0</v>
      </c>
      <c r="AV409" s="152">
        <v>1</v>
      </c>
      <c r="AW409" s="152"/>
      <c r="AX409" s="152"/>
      <c r="AY409" s="152"/>
      <c r="AZ409" s="152">
        <v>1</v>
      </c>
      <c r="BA409" s="152">
        <v>1</v>
      </c>
      <c r="BB409" s="152"/>
      <c r="BC409" s="152"/>
      <c r="BD409" s="152">
        <v>0</v>
      </c>
      <c r="BE409" s="152"/>
      <c r="BF409" s="152"/>
      <c r="BG409" s="152"/>
      <c r="BH409" s="152"/>
      <c r="BI409" s="152">
        <v>0</v>
      </c>
      <c r="BJ409" s="152">
        <v>0</v>
      </c>
      <c r="BK409" s="152"/>
      <c r="BL409" s="152"/>
      <c r="BM409" s="152"/>
      <c r="BN409" s="152">
        <v>0</v>
      </c>
      <c r="BO409" s="152">
        <v>0</v>
      </c>
      <c r="BP409" s="152">
        <v>12</v>
      </c>
    </row>
    <row r="410" spans="1:68" x14ac:dyDescent="0.35">
      <c r="A410" s="146" t="s">
        <v>1036</v>
      </c>
      <c r="B410" s="146" t="s">
        <v>1037</v>
      </c>
      <c r="C410" s="152"/>
      <c r="D410" s="152"/>
      <c r="E410" s="152"/>
      <c r="F410" s="152"/>
      <c r="G410" s="152">
        <v>0</v>
      </c>
      <c r="H410" s="152">
        <v>5</v>
      </c>
      <c r="I410" s="152"/>
      <c r="J410" s="152"/>
      <c r="K410" s="152"/>
      <c r="L410" s="152">
        <v>5</v>
      </c>
      <c r="M410" s="152">
        <v>5</v>
      </c>
      <c r="N410" s="152"/>
      <c r="O410" s="152"/>
      <c r="P410" s="152"/>
      <c r="Q410" s="152">
        <v>0</v>
      </c>
      <c r="R410" s="152"/>
      <c r="S410" s="152"/>
      <c r="T410" s="152"/>
      <c r="U410" s="152"/>
      <c r="V410" s="152">
        <v>0</v>
      </c>
      <c r="W410" s="152">
        <v>0</v>
      </c>
      <c r="X410" s="152"/>
      <c r="Y410" s="152"/>
      <c r="Z410" s="152"/>
      <c r="AA410" s="152">
        <v>0</v>
      </c>
      <c r="AB410" s="152"/>
      <c r="AC410" s="152"/>
      <c r="AD410" s="152"/>
      <c r="AE410" s="152"/>
      <c r="AF410" s="152">
        <v>0</v>
      </c>
      <c r="AG410" s="152">
        <v>0</v>
      </c>
      <c r="AH410" s="152"/>
      <c r="AI410" s="152"/>
      <c r="AJ410" s="152"/>
      <c r="AK410" s="152">
        <v>0</v>
      </c>
      <c r="AL410" s="152"/>
      <c r="AM410" s="152"/>
      <c r="AN410" s="152"/>
      <c r="AO410" s="152"/>
      <c r="AP410" s="152">
        <v>0</v>
      </c>
      <c r="AQ410" s="152">
        <v>0</v>
      </c>
      <c r="AR410" s="152"/>
      <c r="AS410" s="152"/>
      <c r="AT410" s="152"/>
      <c r="AU410" s="152">
        <v>0</v>
      </c>
      <c r="AV410" s="152"/>
      <c r="AW410" s="152"/>
      <c r="AX410" s="152"/>
      <c r="AY410" s="152"/>
      <c r="AZ410" s="152">
        <v>0</v>
      </c>
      <c r="BA410" s="152">
        <v>0</v>
      </c>
      <c r="BB410" s="152"/>
      <c r="BC410" s="152"/>
      <c r="BD410" s="152">
        <v>0</v>
      </c>
      <c r="BE410" s="152"/>
      <c r="BF410" s="152"/>
      <c r="BG410" s="152"/>
      <c r="BH410" s="152"/>
      <c r="BI410" s="152">
        <v>0</v>
      </c>
      <c r="BJ410" s="152">
        <v>0</v>
      </c>
      <c r="BK410" s="152"/>
      <c r="BL410" s="152"/>
      <c r="BM410" s="152"/>
      <c r="BN410" s="152">
        <v>0</v>
      </c>
      <c r="BO410" s="152">
        <v>0</v>
      </c>
      <c r="BP410" s="152">
        <v>5</v>
      </c>
    </row>
    <row r="411" spans="1:68" x14ac:dyDescent="0.35">
      <c r="A411" s="146" t="s">
        <v>1040</v>
      </c>
      <c r="B411" s="146" t="s">
        <v>1041</v>
      </c>
      <c r="C411" s="152"/>
      <c r="D411" s="152"/>
      <c r="E411" s="152"/>
      <c r="F411" s="152"/>
      <c r="G411" s="152">
        <v>0</v>
      </c>
      <c r="H411" s="152">
        <v>6</v>
      </c>
      <c r="I411" s="152">
        <v>1</v>
      </c>
      <c r="J411" s="152"/>
      <c r="K411" s="152">
        <v>1</v>
      </c>
      <c r="L411" s="152">
        <v>8</v>
      </c>
      <c r="M411" s="152">
        <v>8</v>
      </c>
      <c r="N411" s="152"/>
      <c r="O411" s="152"/>
      <c r="P411" s="152"/>
      <c r="Q411" s="152">
        <v>0</v>
      </c>
      <c r="R411" s="152"/>
      <c r="S411" s="152"/>
      <c r="T411" s="152"/>
      <c r="U411" s="152"/>
      <c r="V411" s="152">
        <v>0</v>
      </c>
      <c r="W411" s="152">
        <v>0</v>
      </c>
      <c r="X411" s="152"/>
      <c r="Y411" s="152"/>
      <c r="Z411" s="152"/>
      <c r="AA411" s="152">
        <v>0</v>
      </c>
      <c r="AB411" s="152"/>
      <c r="AC411" s="152"/>
      <c r="AD411" s="152"/>
      <c r="AE411" s="152"/>
      <c r="AF411" s="152">
        <v>0</v>
      </c>
      <c r="AG411" s="152">
        <v>0</v>
      </c>
      <c r="AH411" s="152"/>
      <c r="AI411" s="152"/>
      <c r="AJ411" s="152"/>
      <c r="AK411" s="152">
        <v>0</v>
      </c>
      <c r="AL411" s="152"/>
      <c r="AM411" s="152"/>
      <c r="AN411" s="152"/>
      <c r="AO411" s="152"/>
      <c r="AP411" s="152">
        <v>0</v>
      </c>
      <c r="AQ411" s="152">
        <v>0</v>
      </c>
      <c r="AR411" s="152"/>
      <c r="AS411" s="152"/>
      <c r="AT411" s="152"/>
      <c r="AU411" s="152">
        <v>0</v>
      </c>
      <c r="AV411" s="152">
        <v>1</v>
      </c>
      <c r="AW411" s="152"/>
      <c r="AX411" s="152"/>
      <c r="AY411" s="152"/>
      <c r="AZ411" s="152">
        <v>1</v>
      </c>
      <c r="BA411" s="152">
        <v>1</v>
      </c>
      <c r="BB411" s="152"/>
      <c r="BC411" s="152"/>
      <c r="BD411" s="152">
        <v>0</v>
      </c>
      <c r="BE411" s="152"/>
      <c r="BF411" s="152"/>
      <c r="BG411" s="152"/>
      <c r="BH411" s="152"/>
      <c r="BI411" s="152">
        <v>0</v>
      </c>
      <c r="BJ411" s="152">
        <v>0</v>
      </c>
      <c r="BK411" s="152"/>
      <c r="BL411" s="152"/>
      <c r="BM411" s="152"/>
      <c r="BN411" s="152">
        <v>0</v>
      </c>
      <c r="BO411" s="152">
        <v>0</v>
      </c>
      <c r="BP411" s="152">
        <v>9</v>
      </c>
    </row>
    <row r="412" spans="1:68" x14ac:dyDescent="0.35">
      <c r="A412" s="146" t="s">
        <v>1042</v>
      </c>
      <c r="B412" s="146" t="s">
        <v>1043</v>
      </c>
      <c r="C412" s="152">
        <v>20</v>
      </c>
      <c r="D412" s="152"/>
      <c r="E412" s="152"/>
      <c r="F412" s="152"/>
      <c r="G412" s="152">
        <v>20</v>
      </c>
      <c r="H412" s="152">
        <v>9</v>
      </c>
      <c r="I412" s="152"/>
      <c r="J412" s="152"/>
      <c r="K412" s="152"/>
      <c r="L412" s="152">
        <v>9</v>
      </c>
      <c r="M412" s="152">
        <v>29</v>
      </c>
      <c r="N412" s="152">
        <v>1</v>
      </c>
      <c r="O412" s="152"/>
      <c r="P412" s="152"/>
      <c r="Q412" s="152">
        <v>1</v>
      </c>
      <c r="R412" s="152">
        <v>1</v>
      </c>
      <c r="S412" s="152"/>
      <c r="T412" s="152"/>
      <c r="U412" s="152"/>
      <c r="V412" s="152">
        <v>1</v>
      </c>
      <c r="W412" s="152">
        <v>2</v>
      </c>
      <c r="X412" s="152">
        <v>2</v>
      </c>
      <c r="Y412" s="152"/>
      <c r="Z412" s="152"/>
      <c r="AA412" s="152">
        <v>2</v>
      </c>
      <c r="AB412" s="152"/>
      <c r="AC412" s="152"/>
      <c r="AD412" s="152"/>
      <c r="AE412" s="152"/>
      <c r="AF412" s="152">
        <v>0</v>
      </c>
      <c r="AG412" s="152">
        <v>2</v>
      </c>
      <c r="AH412" s="152">
        <v>3</v>
      </c>
      <c r="AI412" s="152"/>
      <c r="AJ412" s="152"/>
      <c r="AK412" s="152">
        <v>3</v>
      </c>
      <c r="AL412" s="152">
        <v>3</v>
      </c>
      <c r="AM412" s="152"/>
      <c r="AN412" s="152"/>
      <c r="AO412" s="152"/>
      <c r="AP412" s="152">
        <v>3</v>
      </c>
      <c r="AQ412" s="152">
        <v>6</v>
      </c>
      <c r="AR412" s="152">
        <v>12</v>
      </c>
      <c r="AS412" s="152"/>
      <c r="AT412" s="152"/>
      <c r="AU412" s="152">
        <v>12</v>
      </c>
      <c r="AV412" s="152">
        <v>4</v>
      </c>
      <c r="AW412" s="152"/>
      <c r="AX412" s="152"/>
      <c r="AY412" s="152"/>
      <c r="AZ412" s="152">
        <v>4</v>
      </c>
      <c r="BA412" s="152">
        <v>16</v>
      </c>
      <c r="BB412" s="152">
        <v>2</v>
      </c>
      <c r="BC412" s="152"/>
      <c r="BD412" s="152">
        <v>2</v>
      </c>
      <c r="BE412" s="152"/>
      <c r="BF412" s="152"/>
      <c r="BG412" s="152"/>
      <c r="BH412" s="152"/>
      <c r="BI412" s="152">
        <v>0</v>
      </c>
      <c r="BJ412" s="152">
        <v>2</v>
      </c>
      <c r="BK412" s="152"/>
      <c r="BL412" s="152"/>
      <c r="BM412" s="152"/>
      <c r="BN412" s="152">
        <v>0</v>
      </c>
      <c r="BO412" s="152">
        <v>0</v>
      </c>
      <c r="BP412" s="152">
        <v>57</v>
      </c>
    </row>
    <row r="413" spans="1:68" x14ac:dyDescent="0.35">
      <c r="A413" s="146" t="s">
        <v>1044</v>
      </c>
      <c r="B413" s="146" t="s">
        <v>1045</v>
      </c>
      <c r="C413" s="152">
        <v>46</v>
      </c>
      <c r="D413" s="152"/>
      <c r="E413" s="152"/>
      <c r="F413" s="152"/>
      <c r="G413" s="152">
        <v>46</v>
      </c>
      <c r="H413" s="152">
        <v>38</v>
      </c>
      <c r="I413" s="152">
        <v>7</v>
      </c>
      <c r="J413" s="152">
        <v>1</v>
      </c>
      <c r="K413" s="152"/>
      <c r="L413" s="152">
        <v>46</v>
      </c>
      <c r="M413" s="152">
        <v>92</v>
      </c>
      <c r="N413" s="152"/>
      <c r="O413" s="152"/>
      <c r="P413" s="152"/>
      <c r="Q413" s="152">
        <v>0</v>
      </c>
      <c r="R413" s="152"/>
      <c r="S413" s="152"/>
      <c r="T413" s="152"/>
      <c r="U413" s="152"/>
      <c r="V413" s="152">
        <v>0</v>
      </c>
      <c r="W413" s="152">
        <v>0</v>
      </c>
      <c r="X413" s="152">
        <v>1</v>
      </c>
      <c r="Y413" s="152"/>
      <c r="Z413" s="152"/>
      <c r="AA413" s="152">
        <v>1</v>
      </c>
      <c r="AB413" s="152"/>
      <c r="AC413" s="152"/>
      <c r="AD413" s="152"/>
      <c r="AE413" s="152"/>
      <c r="AF413" s="152">
        <v>0</v>
      </c>
      <c r="AG413" s="152">
        <v>1</v>
      </c>
      <c r="AH413" s="152">
        <v>2</v>
      </c>
      <c r="AI413" s="152"/>
      <c r="AJ413" s="152"/>
      <c r="AK413" s="152">
        <v>2</v>
      </c>
      <c r="AL413" s="152">
        <v>1</v>
      </c>
      <c r="AM413" s="152"/>
      <c r="AN413" s="152"/>
      <c r="AO413" s="152"/>
      <c r="AP413" s="152">
        <v>1</v>
      </c>
      <c r="AQ413" s="152">
        <v>3</v>
      </c>
      <c r="AR413" s="152">
        <v>8</v>
      </c>
      <c r="AS413" s="152"/>
      <c r="AT413" s="152"/>
      <c r="AU413" s="152">
        <v>8</v>
      </c>
      <c r="AV413" s="152">
        <v>8</v>
      </c>
      <c r="AW413" s="152">
        <v>1</v>
      </c>
      <c r="AX413" s="152"/>
      <c r="AY413" s="152"/>
      <c r="AZ413" s="152">
        <v>9</v>
      </c>
      <c r="BA413" s="152">
        <v>17</v>
      </c>
      <c r="BB413" s="152"/>
      <c r="BC413" s="152"/>
      <c r="BD413" s="152">
        <v>0</v>
      </c>
      <c r="BE413" s="152"/>
      <c r="BF413" s="152"/>
      <c r="BG413" s="152"/>
      <c r="BH413" s="152"/>
      <c r="BI413" s="152">
        <v>0</v>
      </c>
      <c r="BJ413" s="152">
        <v>0</v>
      </c>
      <c r="BK413" s="152"/>
      <c r="BL413" s="152"/>
      <c r="BM413" s="152"/>
      <c r="BN413" s="152">
        <v>0</v>
      </c>
      <c r="BO413" s="152">
        <v>0</v>
      </c>
      <c r="BP413" s="152">
        <v>113</v>
      </c>
    </row>
    <row r="414" spans="1:68" x14ac:dyDescent="0.35">
      <c r="A414" s="146" t="s">
        <v>1046</v>
      </c>
      <c r="B414" s="146" t="s">
        <v>1047</v>
      </c>
      <c r="C414" s="152">
        <v>2</v>
      </c>
      <c r="D414" s="152"/>
      <c r="E414" s="152"/>
      <c r="F414" s="152"/>
      <c r="G414" s="152">
        <v>2</v>
      </c>
      <c r="H414" s="152">
        <v>4</v>
      </c>
      <c r="I414" s="152"/>
      <c r="J414" s="152"/>
      <c r="K414" s="152"/>
      <c r="L414" s="152">
        <v>4</v>
      </c>
      <c r="M414" s="152">
        <v>6</v>
      </c>
      <c r="N414" s="152">
        <v>1</v>
      </c>
      <c r="O414" s="152"/>
      <c r="P414" s="152"/>
      <c r="Q414" s="152">
        <v>1</v>
      </c>
      <c r="R414" s="152"/>
      <c r="S414" s="152"/>
      <c r="T414" s="152"/>
      <c r="U414" s="152"/>
      <c r="V414" s="152">
        <v>0</v>
      </c>
      <c r="W414" s="152">
        <v>1</v>
      </c>
      <c r="X414" s="152"/>
      <c r="Y414" s="152"/>
      <c r="Z414" s="152"/>
      <c r="AA414" s="152">
        <v>0</v>
      </c>
      <c r="AB414" s="152">
        <v>1</v>
      </c>
      <c r="AC414" s="152"/>
      <c r="AD414" s="152"/>
      <c r="AE414" s="152"/>
      <c r="AF414" s="152">
        <v>1</v>
      </c>
      <c r="AG414" s="152">
        <v>1</v>
      </c>
      <c r="AH414" s="152">
        <v>1</v>
      </c>
      <c r="AI414" s="152"/>
      <c r="AJ414" s="152"/>
      <c r="AK414" s="152">
        <v>1</v>
      </c>
      <c r="AL414" s="152">
        <v>1</v>
      </c>
      <c r="AM414" s="152"/>
      <c r="AN414" s="152"/>
      <c r="AO414" s="152"/>
      <c r="AP414" s="152">
        <v>1</v>
      </c>
      <c r="AQ414" s="152">
        <v>2</v>
      </c>
      <c r="AR414" s="152">
        <v>2</v>
      </c>
      <c r="AS414" s="152"/>
      <c r="AT414" s="152"/>
      <c r="AU414" s="152">
        <v>2</v>
      </c>
      <c r="AV414" s="152">
        <v>1</v>
      </c>
      <c r="AW414" s="152"/>
      <c r="AX414" s="152"/>
      <c r="AY414" s="152"/>
      <c r="AZ414" s="152">
        <v>1</v>
      </c>
      <c r="BA414" s="152">
        <v>3</v>
      </c>
      <c r="BB414" s="152">
        <v>1</v>
      </c>
      <c r="BC414" s="152"/>
      <c r="BD414" s="152">
        <v>1</v>
      </c>
      <c r="BE414" s="152"/>
      <c r="BF414" s="152"/>
      <c r="BG414" s="152"/>
      <c r="BH414" s="152"/>
      <c r="BI414" s="152">
        <v>0</v>
      </c>
      <c r="BJ414" s="152">
        <v>1</v>
      </c>
      <c r="BK414" s="152"/>
      <c r="BL414" s="152"/>
      <c r="BM414" s="152"/>
      <c r="BN414" s="152">
        <v>0</v>
      </c>
      <c r="BO414" s="152">
        <v>0</v>
      </c>
      <c r="BP414" s="152">
        <v>14</v>
      </c>
    </row>
    <row r="415" spans="1:68" x14ac:dyDescent="0.35">
      <c r="A415" s="146" t="s">
        <v>1048</v>
      </c>
      <c r="B415" s="146" t="s">
        <v>1269</v>
      </c>
      <c r="C415" s="152">
        <v>6</v>
      </c>
      <c r="D415" s="152"/>
      <c r="E415" s="152"/>
      <c r="F415" s="152"/>
      <c r="G415" s="152">
        <v>6</v>
      </c>
      <c r="H415" s="152"/>
      <c r="I415" s="152"/>
      <c r="J415" s="152"/>
      <c r="K415" s="152"/>
      <c r="L415" s="152">
        <v>0</v>
      </c>
      <c r="M415" s="152">
        <v>6</v>
      </c>
      <c r="N415" s="152">
        <v>2</v>
      </c>
      <c r="O415" s="152"/>
      <c r="P415" s="152"/>
      <c r="Q415" s="152">
        <v>2</v>
      </c>
      <c r="R415" s="152"/>
      <c r="S415" s="152"/>
      <c r="T415" s="152"/>
      <c r="U415" s="152"/>
      <c r="V415" s="152">
        <v>0</v>
      </c>
      <c r="W415" s="152">
        <v>2</v>
      </c>
      <c r="X415" s="152"/>
      <c r="Y415" s="152"/>
      <c r="Z415" s="152"/>
      <c r="AA415" s="152">
        <v>0</v>
      </c>
      <c r="AB415" s="152"/>
      <c r="AC415" s="152"/>
      <c r="AD415" s="152"/>
      <c r="AE415" s="152"/>
      <c r="AF415" s="152">
        <v>0</v>
      </c>
      <c r="AG415" s="152">
        <v>0</v>
      </c>
      <c r="AH415" s="152"/>
      <c r="AI415" s="152"/>
      <c r="AJ415" s="152"/>
      <c r="AK415" s="152">
        <v>0</v>
      </c>
      <c r="AL415" s="152"/>
      <c r="AM415" s="152"/>
      <c r="AN415" s="152"/>
      <c r="AO415" s="152"/>
      <c r="AP415" s="152">
        <v>0</v>
      </c>
      <c r="AQ415" s="152">
        <v>0</v>
      </c>
      <c r="AR415" s="152">
        <v>1</v>
      </c>
      <c r="AS415" s="152"/>
      <c r="AT415" s="152"/>
      <c r="AU415" s="152">
        <v>1</v>
      </c>
      <c r="AV415" s="152">
        <v>1</v>
      </c>
      <c r="AW415" s="152"/>
      <c r="AX415" s="152"/>
      <c r="AY415" s="152"/>
      <c r="AZ415" s="152">
        <v>1</v>
      </c>
      <c r="BA415" s="152">
        <v>2</v>
      </c>
      <c r="BB415" s="152"/>
      <c r="BC415" s="152"/>
      <c r="BD415" s="152">
        <v>0</v>
      </c>
      <c r="BE415" s="152"/>
      <c r="BF415" s="152"/>
      <c r="BG415" s="152"/>
      <c r="BH415" s="152"/>
      <c r="BI415" s="152">
        <v>0</v>
      </c>
      <c r="BJ415" s="152">
        <v>0</v>
      </c>
      <c r="BK415" s="152"/>
      <c r="BL415" s="152"/>
      <c r="BM415" s="152"/>
      <c r="BN415" s="152">
        <v>0</v>
      </c>
      <c r="BO415" s="152">
        <v>0</v>
      </c>
      <c r="BP415" s="152">
        <v>10</v>
      </c>
    </row>
    <row r="416" spans="1:68" x14ac:dyDescent="0.35">
      <c r="A416" s="146" t="s">
        <v>1049</v>
      </c>
      <c r="B416" s="146" t="s">
        <v>1050</v>
      </c>
      <c r="C416" s="152"/>
      <c r="D416" s="152"/>
      <c r="E416" s="152"/>
      <c r="F416" s="152"/>
      <c r="G416" s="152">
        <v>0</v>
      </c>
      <c r="H416" s="152">
        <v>4</v>
      </c>
      <c r="I416" s="152"/>
      <c r="J416" s="152"/>
      <c r="K416" s="152"/>
      <c r="L416" s="152">
        <v>4</v>
      </c>
      <c r="M416" s="152">
        <v>4</v>
      </c>
      <c r="N416" s="152"/>
      <c r="O416" s="152"/>
      <c r="P416" s="152"/>
      <c r="Q416" s="152">
        <v>0</v>
      </c>
      <c r="R416" s="152"/>
      <c r="S416" s="152"/>
      <c r="T416" s="152"/>
      <c r="U416" s="152"/>
      <c r="V416" s="152">
        <v>0</v>
      </c>
      <c r="W416" s="152">
        <v>0</v>
      </c>
      <c r="X416" s="152"/>
      <c r="Y416" s="152"/>
      <c r="Z416" s="152"/>
      <c r="AA416" s="152">
        <v>0</v>
      </c>
      <c r="AB416" s="152"/>
      <c r="AC416" s="152"/>
      <c r="AD416" s="152"/>
      <c r="AE416" s="152"/>
      <c r="AF416" s="152">
        <v>0</v>
      </c>
      <c r="AG416" s="152">
        <v>0</v>
      </c>
      <c r="AH416" s="152"/>
      <c r="AI416" s="152"/>
      <c r="AJ416" s="152"/>
      <c r="AK416" s="152">
        <v>0</v>
      </c>
      <c r="AL416" s="152"/>
      <c r="AM416" s="152"/>
      <c r="AN416" s="152"/>
      <c r="AO416" s="152"/>
      <c r="AP416" s="152">
        <v>0</v>
      </c>
      <c r="AQ416" s="152">
        <v>0</v>
      </c>
      <c r="AR416" s="152"/>
      <c r="AS416" s="152"/>
      <c r="AT416" s="152"/>
      <c r="AU416" s="152">
        <v>0</v>
      </c>
      <c r="AV416" s="152"/>
      <c r="AW416" s="152"/>
      <c r="AX416" s="152"/>
      <c r="AY416" s="152"/>
      <c r="AZ416" s="152">
        <v>0</v>
      </c>
      <c r="BA416" s="152">
        <v>0</v>
      </c>
      <c r="BB416" s="152"/>
      <c r="BC416" s="152"/>
      <c r="BD416" s="152">
        <v>0</v>
      </c>
      <c r="BE416" s="152"/>
      <c r="BF416" s="152"/>
      <c r="BG416" s="152"/>
      <c r="BH416" s="152"/>
      <c r="BI416" s="152">
        <v>0</v>
      </c>
      <c r="BJ416" s="152">
        <v>0</v>
      </c>
      <c r="BK416" s="152"/>
      <c r="BL416" s="152"/>
      <c r="BM416" s="152"/>
      <c r="BN416" s="152">
        <v>0</v>
      </c>
      <c r="BO416" s="152">
        <v>0</v>
      </c>
      <c r="BP416" s="152">
        <v>4</v>
      </c>
    </row>
    <row r="417" spans="1:68" x14ac:dyDescent="0.35">
      <c r="A417" s="146" t="s">
        <v>1051</v>
      </c>
      <c r="B417" s="146" t="s">
        <v>1270</v>
      </c>
      <c r="C417" s="152">
        <v>5</v>
      </c>
      <c r="D417" s="152"/>
      <c r="E417" s="152"/>
      <c r="F417" s="152"/>
      <c r="G417" s="152">
        <v>5</v>
      </c>
      <c r="H417" s="152">
        <v>15</v>
      </c>
      <c r="I417" s="152">
        <v>2</v>
      </c>
      <c r="J417" s="152"/>
      <c r="K417" s="152"/>
      <c r="L417" s="152">
        <v>17</v>
      </c>
      <c r="M417" s="152">
        <v>22</v>
      </c>
      <c r="N417" s="152"/>
      <c r="O417" s="152"/>
      <c r="P417" s="152"/>
      <c r="Q417" s="152">
        <v>0</v>
      </c>
      <c r="R417" s="152">
        <v>2</v>
      </c>
      <c r="S417" s="152"/>
      <c r="T417" s="152"/>
      <c r="U417" s="152"/>
      <c r="V417" s="152">
        <v>2</v>
      </c>
      <c r="W417" s="152">
        <v>2</v>
      </c>
      <c r="X417" s="152">
        <v>1</v>
      </c>
      <c r="Y417" s="152"/>
      <c r="Z417" s="152"/>
      <c r="AA417" s="152">
        <v>1</v>
      </c>
      <c r="AB417" s="152"/>
      <c r="AC417" s="152"/>
      <c r="AD417" s="152"/>
      <c r="AE417" s="152"/>
      <c r="AF417" s="152">
        <v>0</v>
      </c>
      <c r="AG417" s="152">
        <v>1</v>
      </c>
      <c r="AH417" s="152"/>
      <c r="AI417" s="152"/>
      <c r="AJ417" s="152"/>
      <c r="AK417" s="152">
        <v>0</v>
      </c>
      <c r="AL417" s="152"/>
      <c r="AM417" s="152"/>
      <c r="AN417" s="152"/>
      <c r="AO417" s="152"/>
      <c r="AP417" s="152">
        <v>0</v>
      </c>
      <c r="AQ417" s="152">
        <v>0</v>
      </c>
      <c r="AR417" s="152">
        <v>2</v>
      </c>
      <c r="AS417" s="152"/>
      <c r="AT417" s="152"/>
      <c r="AU417" s="152">
        <v>2</v>
      </c>
      <c r="AV417" s="152">
        <v>3</v>
      </c>
      <c r="AW417" s="152"/>
      <c r="AX417" s="152">
        <v>1</v>
      </c>
      <c r="AY417" s="152"/>
      <c r="AZ417" s="152">
        <v>4</v>
      </c>
      <c r="BA417" s="152">
        <v>6</v>
      </c>
      <c r="BB417" s="152"/>
      <c r="BC417" s="152"/>
      <c r="BD417" s="152">
        <v>0</v>
      </c>
      <c r="BE417" s="152"/>
      <c r="BF417" s="152"/>
      <c r="BG417" s="152"/>
      <c r="BH417" s="152"/>
      <c r="BI417" s="152">
        <v>0</v>
      </c>
      <c r="BJ417" s="152">
        <v>0</v>
      </c>
      <c r="BK417" s="152"/>
      <c r="BL417" s="152"/>
      <c r="BM417" s="152"/>
      <c r="BN417" s="152">
        <v>0</v>
      </c>
      <c r="BO417" s="152">
        <v>0</v>
      </c>
      <c r="BP417" s="152">
        <v>31</v>
      </c>
    </row>
    <row r="418" spans="1:68" x14ac:dyDescent="0.35">
      <c r="A418" s="146" t="s">
        <v>1052</v>
      </c>
      <c r="B418" s="146" t="s">
        <v>1271</v>
      </c>
      <c r="C418" s="152">
        <v>7</v>
      </c>
      <c r="D418" s="152"/>
      <c r="E418" s="152"/>
      <c r="F418" s="152"/>
      <c r="G418" s="152">
        <v>7</v>
      </c>
      <c r="H418" s="152">
        <v>28</v>
      </c>
      <c r="I418" s="152">
        <v>8</v>
      </c>
      <c r="J418" s="152">
        <v>2</v>
      </c>
      <c r="K418" s="152"/>
      <c r="L418" s="152">
        <v>38</v>
      </c>
      <c r="M418" s="152">
        <v>45</v>
      </c>
      <c r="N418" s="152"/>
      <c r="O418" s="152"/>
      <c r="P418" s="152"/>
      <c r="Q418" s="152">
        <v>0</v>
      </c>
      <c r="R418" s="152">
        <v>1</v>
      </c>
      <c r="S418" s="152"/>
      <c r="T418" s="152"/>
      <c r="U418" s="152"/>
      <c r="V418" s="152">
        <v>1</v>
      </c>
      <c r="W418" s="152">
        <v>1</v>
      </c>
      <c r="X418" s="152">
        <v>1</v>
      </c>
      <c r="Y418" s="152"/>
      <c r="Z418" s="152"/>
      <c r="AA418" s="152">
        <v>1</v>
      </c>
      <c r="AB418" s="152"/>
      <c r="AC418" s="152"/>
      <c r="AD418" s="152"/>
      <c r="AE418" s="152"/>
      <c r="AF418" s="152">
        <v>0</v>
      </c>
      <c r="AG418" s="152">
        <v>1</v>
      </c>
      <c r="AH418" s="152"/>
      <c r="AI418" s="152"/>
      <c r="AJ418" s="152"/>
      <c r="AK418" s="152">
        <v>0</v>
      </c>
      <c r="AL418" s="152">
        <v>1</v>
      </c>
      <c r="AM418" s="152"/>
      <c r="AN418" s="152"/>
      <c r="AO418" s="152"/>
      <c r="AP418" s="152">
        <v>1</v>
      </c>
      <c r="AQ418" s="152">
        <v>1</v>
      </c>
      <c r="AR418" s="152">
        <v>4</v>
      </c>
      <c r="AS418" s="152"/>
      <c r="AT418" s="152"/>
      <c r="AU418" s="152">
        <v>4</v>
      </c>
      <c r="AV418" s="152">
        <v>4</v>
      </c>
      <c r="AW418" s="152"/>
      <c r="AX418" s="152"/>
      <c r="AY418" s="152"/>
      <c r="AZ418" s="152">
        <v>4</v>
      </c>
      <c r="BA418" s="152">
        <v>8</v>
      </c>
      <c r="BB418" s="152"/>
      <c r="BC418" s="152"/>
      <c r="BD418" s="152">
        <v>0</v>
      </c>
      <c r="BE418" s="152"/>
      <c r="BF418" s="152"/>
      <c r="BG418" s="152"/>
      <c r="BH418" s="152"/>
      <c r="BI418" s="152">
        <v>0</v>
      </c>
      <c r="BJ418" s="152">
        <v>0</v>
      </c>
      <c r="BK418" s="152"/>
      <c r="BL418" s="152"/>
      <c r="BM418" s="152"/>
      <c r="BN418" s="152">
        <v>0</v>
      </c>
      <c r="BO418" s="152">
        <v>0</v>
      </c>
      <c r="BP418" s="152">
        <v>56</v>
      </c>
    </row>
    <row r="419" spans="1:68" x14ac:dyDescent="0.35">
      <c r="A419" s="146" t="s">
        <v>1053</v>
      </c>
      <c r="B419" s="146" t="s">
        <v>1054</v>
      </c>
      <c r="C419" s="152">
        <v>1</v>
      </c>
      <c r="D419" s="152"/>
      <c r="E419" s="152"/>
      <c r="F419" s="152"/>
      <c r="G419" s="152">
        <v>1</v>
      </c>
      <c r="H419" s="152">
        <v>7</v>
      </c>
      <c r="I419" s="152">
        <v>1</v>
      </c>
      <c r="J419" s="152"/>
      <c r="K419" s="152"/>
      <c r="L419" s="152">
        <v>8</v>
      </c>
      <c r="M419" s="152">
        <v>9</v>
      </c>
      <c r="N419" s="152"/>
      <c r="O419" s="152"/>
      <c r="P419" s="152"/>
      <c r="Q419" s="152">
        <v>0</v>
      </c>
      <c r="R419" s="152"/>
      <c r="S419" s="152"/>
      <c r="T419" s="152"/>
      <c r="U419" s="152"/>
      <c r="V419" s="152">
        <v>0</v>
      </c>
      <c r="W419" s="152">
        <v>0</v>
      </c>
      <c r="X419" s="152"/>
      <c r="Y419" s="152"/>
      <c r="Z419" s="152"/>
      <c r="AA419" s="152">
        <v>0</v>
      </c>
      <c r="AB419" s="152"/>
      <c r="AC419" s="152"/>
      <c r="AD419" s="152"/>
      <c r="AE419" s="152"/>
      <c r="AF419" s="152">
        <v>0</v>
      </c>
      <c r="AG419" s="152">
        <v>0</v>
      </c>
      <c r="AH419" s="152"/>
      <c r="AI419" s="152"/>
      <c r="AJ419" s="152"/>
      <c r="AK419" s="152">
        <v>0</v>
      </c>
      <c r="AL419" s="152"/>
      <c r="AM419" s="152"/>
      <c r="AN419" s="152"/>
      <c r="AO419" s="152"/>
      <c r="AP419" s="152">
        <v>0</v>
      </c>
      <c r="AQ419" s="152">
        <v>0</v>
      </c>
      <c r="AR419" s="152">
        <v>1</v>
      </c>
      <c r="AS419" s="152"/>
      <c r="AT419" s="152"/>
      <c r="AU419" s="152">
        <v>1</v>
      </c>
      <c r="AV419" s="152">
        <v>1</v>
      </c>
      <c r="AW419" s="152">
        <v>1</v>
      </c>
      <c r="AX419" s="152"/>
      <c r="AY419" s="152"/>
      <c r="AZ419" s="152">
        <v>2</v>
      </c>
      <c r="BA419" s="152">
        <v>3</v>
      </c>
      <c r="BB419" s="152"/>
      <c r="BC419" s="152"/>
      <c r="BD419" s="152">
        <v>0</v>
      </c>
      <c r="BE419" s="152"/>
      <c r="BF419" s="152"/>
      <c r="BG419" s="152"/>
      <c r="BH419" s="152"/>
      <c r="BI419" s="152">
        <v>0</v>
      </c>
      <c r="BJ419" s="152">
        <v>0</v>
      </c>
      <c r="BK419" s="152"/>
      <c r="BL419" s="152"/>
      <c r="BM419" s="152"/>
      <c r="BN419" s="152">
        <v>0</v>
      </c>
      <c r="BO419" s="152">
        <v>0</v>
      </c>
      <c r="BP419" s="152">
        <v>12</v>
      </c>
    </row>
    <row r="420" spans="1:68" x14ac:dyDescent="0.35">
      <c r="A420" s="146" t="s">
        <v>1326</v>
      </c>
      <c r="B420" s="146" t="s">
        <v>1327</v>
      </c>
      <c r="C420" s="152"/>
      <c r="D420" s="152"/>
      <c r="E420" s="152"/>
      <c r="F420" s="152"/>
      <c r="G420" s="152">
        <v>0</v>
      </c>
      <c r="H420" s="152">
        <v>2</v>
      </c>
      <c r="I420" s="152"/>
      <c r="J420" s="152"/>
      <c r="K420" s="152"/>
      <c r="L420" s="152">
        <v>2</v>
      </c>
      <c r="M420" s="152">
        <v>2</v>
      </c>
      <c r="N420" s="152"/>
      <c r="O420" s="152"/>
      <c r="P420" s="152"/>
      <c r="Q420" s="152">
        <v>0</v>
      </c>
      <c r="R420" s="152"/>
      <c r="S420" s="152"/>
      <c r="T420" s="152"/>
      <c r="U420" s="152"/>
      <c r="V420" s="152">
        <v>0</v>
      </c>
      <c r="W420" s="152">
        <v>0</v>
      </c>
      <c r="X420" s="152"/>
      <c r="Y420" s="152"/>
      <c r="Z420" s="152"/>
      <c r="AA420" s="152">
        <v>0</v>
      </c>
      <c r="AB420" s="152"/>
      <c r="AC420" s="152"/>
      <c r="AD420" s="152"/>
      <c r="AE420" s="152"/>
      <c r="AF420" s="152">
        <v>0</v>
      </c>
      <c r="AG420" s="152">
        <v>0</v>
      </c>
      <c r="AH420" s="152"/>
      <c r="AI420" s="152"/>
      <c r="AJ420" s="152"/>
      <c r="AK420" s="152">
        <v>0</v>
      </c>
      <c r="AL420" s="152"/>
      <c r="AM420" s="152"/>
      <c r="AN420" s="152"/>
      <c r="AO420" s="152"/>
      <c r="AP420" s="152">
        <v>0</v>
      </c>
      <c r="AQ420" s="152">
        <v>0</v>
      </c>
      <c r="AR420" s="152"/>
      <c r="AS420" s="152"/>
      <c r="AT420" s="152"/>
      <c r="AU420" s="152">
        <v>0</v>
      </c>
      <c r="AV420" s="152"/>
      <c r="AW420" s="152"/>
      <c r="AX420" s="152"/>
      <c r="AY420" s="152"/>
      <c r="AZ420" s="152">
        <v>0</v>
      </c>
      <c r="BA420" s="152">
        <v>0</v>
      </c>
      <c r="BB420" s="152"/>
      <c r="BC420" s="152"/>
      <c r="BD420" s="152">
        <v>0</v>
      </c>
      <c r="BE420" s="152"/>
      <c r="BF420" s="152"/>
      <c r="BG420" s="152"/>
      <c r="BH420" s="152"/>
      <c r="BI420" s="152">
        <v>0</v>
      </c>
      <c r="BJ420" s="152">
        <v>0</v>
      </c>
      <c r="BK420" s="152"/>
      <c r="BL420" s="152"/>
      <c r="BM420" s="152"/>
      <c r="BN420" s="152">
        <v>0</v>
      </c>
      <c r="BO420" s="152">
        <v>0</v>
      </c>
      <c r="BP420" s="152">
        <v>2</v>
      </c>
    </row>
    <row r="421" spans="1:68" x14ac:dyDescent="0.35">
      <c r="A421" s="146" t="s">
        <v>1055</v>
      </c>
      <c r="B421" s="146" t="s">
        <v>1056</v>
      </c>
      <c r="C421" s="152">
        <v>2</v>
      </c>
      <c r="D421" s="152"/>
      <c r="E421" s="152"/>
      <c r="F421" s="152"/>
      <c r="G421" s="152">
        <v>2</v>
      </c>
      <c r="H421" s="152">
        <v>1</v>
      </c>
      <c r="I421" s="152"/>
      <c r="J421" s="152"/>
      <c r="K421" s="152"/>
      <c r="L421" s="152">
        <v>1</v>
      </c>
      <c r="M421" s="152">
        <v>3</v>
      </c>
      <c r="N421" s="152"/>
      <c r="O421" s="152"/>
      <c r="P421" s="152"/>
      <c r="Q421" s="152">
        <v>0</v>
      </c>
      <c r="R421" s="152"/>
      <c r="S421" s="152"/>
      <c r="T421" s="152"/>
      <c r="U421" s="152"/>
      <c r="V421" s="152">
        <v>0</v>
      </c>
      <c r="W421" s="152">
        <v>0</v>
      </c>
      <c r="X421" s="152"/>
      <c r="Y421" s="152"/>
      <c r="Z421" s="152"/>
      <c r="AA421" s="152">
        <v>0</v>
      </c>
      <c r="AB421" s="152"/>
      <c r="AC421" s="152"/>
      <c r="AD421" s="152"/>
      <c r="AE421" s="152"/>
      <c r="AF421" s="152">
        <v>0</v>
      </c>
      <c r="AG421" s="152">
        <v>0</v>
      </c>
      <c r="AH421" s="152"/>
      <c r="AI421" s="152"/>
      <c r="AJ421" s="152"/>
      <c r="AK421" s="152">
        <v>0</v>
      </c>
      <c r="AL421" s="152"/>
      <c r="AM421" s="152"/>
      <c r="AN421" s="152"/>
      <c r="AO421" s="152"/>
      <c r="AP421" s="152">
        <v>0</v>
      </c>
      <c r="AQ421" s="152">
        <v>0</v>
      </c>
      <c r="AR421" s="152">
        <v>1</v>
      </c>
      <c r="AS421" s="152"/>
      <c r="AT421" s="152"/>
      <c r="AU421" s="152">
        <v>1</v>
      </c>
      <c r="AV421" s="152"/>
      <c r="AW421" s="152"/>
      <c r="AX421" s="152"/>
      <c r="AY421" s="152"/>
      <c r="AZ421" s="152">
        <v>0</v>
      </c>
      <c r="BA421" s="152">
        <v>1</v>
      </c>
      <c r="BB421" s="152"/>
      <c r="BC421" s="152"/>
      <c r="BD421" s="152">
        <v>0</v>
      </c>
      <c r="BE421" s="152"/>
      <c r="BF421" s="152"/>
      <c r="BG421" s="152"/>
      <c r="BH421" s="152"/>
      <c r="BI421" s="152">
        <v>0</v>
      </c>
      <c r="BJ421" s="152">
        <v>0</v>
      </c>
      <c r="BK421" s="152"/>
      <c r="BL421" s="152"/>
      <c r="BM421" s="152"/>
      <c r="BN421" s="152">
        <v>0</v>
      </c>
      <c r="BO421" s="152">
        <v>0</v>
      </c>
      <c r="BP421" s="152">
        <v>4</v>
      </c>
    </row>
    <row r="422" spans="1:68" x14ac:dyDescent="0.35">
      <c r="A422" s="146" t="s">
        <v>1057</v>
      </c>
      <c r="B422" s="146" t="s">
        <v>1058</v>
      </c>
      <c r="C422" s="152">
        <v>3</v>
      </c>
      <c r="D422" s="152"/>
      <c r="E422" s="152"/>
      <c r="F422" s="152"/>
      <c r="G422" s="152">
        <v>3</v>
      </c>
      <c r="H422" s="152"/>
      <c r="I422" s="152"/>
      <c r="J422" s="152"/>
      <c r="K422" s="152"/>
      <c r="L422" s="152">
        <v>0</v>
      </c>
      <c r="M422" s="152">
        <v>3</v>
      </c>
      <c r="N422" s="152"/>
      <c r="O422" s="152"/>
      <c r="P422" s="152"/>
      <c r="Q422" s="152">
        <v>0</v>
      </c>
      <c r="R422" s="152"/>
      <c r="S422" s="152"/>
      <c r="T422" s="152"/>
      <c r="U422" s="152"/>
      <c r="V422" s="152">
        <v>0</v>
      </c>
      <c r="W422" s="152">
        <v>0</v>
      </c>
      <c r="X422" s="152"/>
      <c r="Y422" s="152"/>
      <c r="Z422" s="152"/>
      <c r="AA422" s="152">
        <v>0</v>
      </c>
      <c r="AB422" s="152"/>
      <c r="AC422" s="152"/>
      <c r="AD422" s="152"/>
      <c r="AE422" s="152"/>
      <c r="AF422" s="152">
        <v>0</v>
      </c>
      <c r="AG422" s="152">
        <v>0</v>
      </c>
      <c r="AH422" s="152"/>
      <c r="AI422" s="152"/>
      <c r="AJ422" s="152"/>
      <c r="AK422" s="152">
        <v>0</v>
      </c>
      <c r="AL422" s="152"/>
      <c r="AM422" s="152"/>
      <c r="AN422" s="152"/>
      <c r="AO422" s="152"/>
      <c r="AP422" s="152">
        <v>0</v>
      </c>
      <c r="AQ422" s="152">
        <v>0</v>
      </c>
      <c r="AR422" s="152">
        <v>1</v>
      </c>
      <c r="AS422" s="152"/>
      <c r="AT422" s="152"/>
      <c r="AU422" s="152">
        <v>1</v>
      </c>
      <c r="AV422" s="152"/>
      <c r="AW422" s="152"/>
      <c r="AX422" s="152"/>
      <c r="AY422" s="152"/>
      <c r="AZ422" s="152">
        <v>0</v>
      </c>
      <c r="BA422" s="152">
        <v>1</v>
      </c>
      <c r="BB422" s="152"/>
      <c r="BC422" s="152"/>
      <c r="BD422" s="152">
        <v>0</v>
      </c>
      <c r="BE422" s="152"/>
      <c r="BF422" s="152"/>
      <c r="BG422" s="152"/>
      <c r="BH422" s="152"/>
      <c r="BI422" s="152">
        <v>0</v>
      </c>
      <c r="BJ422" s="152">
        <v>0</v>
      </c>
      <c r="BK422" s="152"/>
      <c r="BL422" s="152"/>
      <c r="BM422" s="152"/>
      <c r="BN422" s="152">
        <v>0</v>
      </c>
      <c r="BO422" s="152">
        <v>0</v>
      </c>
      <c r="BP422" s="152">
        <v>4</v>
      </c>
    </row>
    <row r="423" spans="1:68" x14ac:dyDescent="0.35">
      <c r="A423" s="146" t="s">
        <v>1059</v>
      </c>
      <c r="B423" s="146" t="s">
        <v>1272</v>
      </c>
      <c r="C423" s="152">
        <v>35</v>
      </c>
      <c r="D423" s="152">
        <v>2</v>
      </c>
      <c r="E423" s="152">
        <v>1</v>
      </c>
      <c r="F423" s="152"/>
      <c r="G423" s="152">
        <v>38</v>
      </c>
      <c r="H423" s="152">
        <v>126</v>
      </c>
      <c r="I423" s="152">
        <v>19</v>
      </c>
      <c r="J423" s="152">
        <v>3</v>
      </c>
      <c r="K423" s="152">
        <v>2</v>
      </c>
      <c r="L423" s="152">
        <v>150</v>
      </c>
      <c r="M423" s="152">
        <v>188</v>
      </c>
      <c r="N423" s="152">
        <v>2</v>
      </c>
      <c r="O423" s="152"/>
      <c r="P423" s="152"/>
      <c r="Q423" s="152">
        <v>2</v>
      </c>
      <c r="R423" s="152"/>
      <c r="S423" s="152"/>
      <c r="T423" s="152"/>
      <c r="U423" s="152"/>
      <c r="V423" s="152">
        <v>0</v>
      </c>
      <c r="W423" s="152">
        <v>2</v>
      </c>
      <c r="X423" s="152"/>
      <c r="Y423" s="152"/>
      <c r="Z423" s="152"/>
      <c r="AA423" s="152">
        <v>0</v>
      </c>
      <c r="AB423" s="152">
        <v>1</v>
      </c>
      <c r="AC423" s="152"/>
      <c r="AD423" s="152"/>
      <c r="AE423" s="152"/>
      <c r="AF423" s="152">
        <v>1</v>
      </c>
      <c r="AG423" s="152">
        <v>1</v>
      </c>
      <c r="AH423" s="152"/>
      <c r="AI423" s="152"/>
      <c r="AJ423" s="152"/>
      <c r="AK423" s="152">
        <v>0</v>
      </c>
      <c r="AL423" s="152">
        <v>1</v>
      </c>
      <c r="AM423" s="152"/>
      <c r="AN423" s="152"/>
      <c r="AO423" s="152"/>
      <c r="AP423" s="152">
        <v>1</v>
      </c>
      <c r="AQ423" s="152">
        <v>1</v>
      </c>
      <c r="AR423" s="152">
        <v>8</v>
      </c>
      <c r="AS423" s="152"/>
      <c r="AT423" s="152"/>
      <c r="AU423" s="152">
        <v>8</v>
      </c>
      <c r="AV423" s="152">
        <v>14</v>
      </c>
      <c r="AW423" s="152">
        <v>1</v>
      </c>
      <c r="AX423" s="152"/>
      <c r="AY423" s="152"/>
      <c r="AZ423" s="152">
        <v>15</v>
      </c>
      <c r="BA423" s="152">
        <v>23</v>
      </c>
      <c r="BB423" s="152">
        <v>1</v>
      </c>
      <c r="BC423" s="152"/>
      <c r="BD423" s="152">
        <v>1</v>
      </c>
      <c r="BE423" s="152"/>
      <c r="BF423" s="152"/>
      <c r="BG423" s="152"/>
      <c r="BH423" s="152"/>
      <c r="BI423" s="152">
        <v>0</v>
      </c>
      <c r="BJ423" s="152">
        <v>1</v>
      </c>
      <c r="BK423" s="152"/>
      <c r="BL423" s="152"/>
      <c r="BM423" s="152"/>
      <c r="BN423" s="152">
        <v>0</v>
      </c>
      <c r="BO423" s="152">
        <v>0</v>
      </c>
      <c r="BP423" s="152">
        <v>216</v>
      </c>
    </row>
    <row r="424" spans="1:68" x14ac:dyDescent="0.35">
      <c r="A424" s="146" t="s">
        <v>1060</v>
      </c>
      <c r="B424" s="146" t="s">
        <v>1061</v>
      </c>
      <c r="C424" s="152">
        <v>74</v>
      </c>
      <c r="D424" s="152"/>
      <c r="E424" s="152"/>
      <c r="F424" s="152"/>
      <c r="G424" s="152">
        <v>74</v>
      </c>
      <c r="H424" s="152">
        <v>58</v>
      </c>
      <c r="I424" s="152">
        <v>4</v>
      </c>
      <c r="J424" s="152"/>
      <c r="K424" s="152"/>
      <c r="L424" s="152">
        <v>62</v>
      </c>
      <c r="M424" s="152">
        <v>136</v>
      </c>
      <c r="N424" s="152">
        <v>4</v>
      </c>
      <c r="O424" s="152"/>
      <c r="P424" s="152"/>
      <c r="Q424" s="152">
        <v>4</v>
      </c>
      <c r="R424" s="152"/>
      <c r="S424" s="152"/>
      <c r="T424" s="152"/>
      <c r="U424" s="152"/>
      <c r="V424" s="152">
        <v>0</v>
      </c>
      <c r="W424" s="152">
        <v>4</v>
      </c>
      <c r="X424" s="152">
        <v>6</v>
      </c>
      <c r="Y424" s="152"/>
      <c r="Z424" s="152"/>
      <c r="AA424" s="152">
        <v>6</v>
      </c>
      <c r="AB424" s="152"/>
      <c r="AC424" s="152"/>
      <c r="AD424" s="152"/>
      <c r="AE424" s="152"/>
      <c r="AF424" s="152">
        <v>0</v>
      </c>
      <c r="AG424" s="152">
        <v>6</v>
      </c>
      <c r="AH424" s="152">
        <v>6</v>
      </c>
      <c r="AI424" s="152"/>
      <c r="AJ424" s="152"/>
      <c r="AK424" s="152">
        <v>6</v>
      </c>
      <c r="AL424" s="152">
        <v>1</v>
      </c>
      <c r="AM424" s="152"/>
      <c r="AN424" s="152"/>
      <c r="AO424" s="152"/>
      <c r="AP424" s="152">
        <v>1</v>
      </c>
      <c r="AQ424" s="152">
        <v>7</v>
      </c>
      <c r="AR424" s="152">
        <v>19</v>
      </c>
      <c r="AS424" s="152"/>
      <c r="AT424" s="152"/>
      <c r="AU424" s="152">
        <v>19</v>
      </c>
      <c r="AV424" s="152">
        <v>6</v>
      </c>
      <c r="AW424" s="152"/>
      <c r="AX424" s="152"/>
      <c r="AY424" s="152"/>
      <c r="AZ424" s="152">
        <v>6</v>
      </c>
      <c r="BA424" s="152">
        <v>25</v>
      </c>
      <c r="BB424" s="152">
        <v>3</v>
      </c>
      <c r="BC424" s="152"/>
      <c r="BD424" s="152">
        <v>3</v>
      </c>
      <c r="BE424" s="152">
        <v>1</v>
      </c>
      <c r="BF424" s="152"/>
      <c r="BG424" s="152"/>
      <c r="BH424" s="152"/>
      <c r="BI424" s="152">
        <v>1</v>
      </c>
      <c r="BJ424" s="152">
        <v>4</v>
      </c>
      <c r="BK424" s="152"/>
      <c r="BL424" s="152"/>
      <c r="BM424" s="152"/>
      <c r="BN424" s="152">
        <v>0</v>
      </c>
      <c r="BO424" s="152">
        <v>0</v>
      </c>
      <c r="BP424" s="152">
        <v>182</v>
      </c>
    </row>
    <row r="425" spans="1:68" x14ac:dyDescent="0.35">
      <c r="A425" s="146" t="s">
        <v>1062</v>
      </c>
      <c r="B425" s="146" t="s">
        <v>1063</v>
      </c>
      <c r="C425" s="152">
        <v>47</v>
      </c>
      <c r="D425" s="152"/>
      <c r="E425" s="152"/>
      <c r="F425" s="152"/>
      <c r="G425" s="152">
        <v>47</v>
      </c>
      <c r="H425" s="152">
        <v>33</v>
      </c>
      <c r="I425" s="152"/>
      <c r="J425" s="152"/>
      <c r="K425" s="152"/>
      <c r="L425" s="152">
        <v>33</v>
      </c>
      <c r="M425" s="152">
        <v>80</v>
      </c>
      <c r="N425" s="152">
        <v>2</v>
      </c>
      <c r="O425" s="152"/>
      <c r="P425" s="152"/>
      <c r="Q425" s="152">
        <v>2</v>
      </c>
      <c r="R425" s="152"/>
      <c r="S425" s="152"/>
      <c r="T425" s="152"/>
      <c r="U425" s="152"/>
      <c r="V425" s="152">
        <v>0</v>
      </c>
      <c r="W425" s="152">
        <v>2</v>
      </c>
      <c r="X425" s="152">
        <v>1</v>
      </c>
      <c r="Y425" s="152"/>
      <c r="Z425" s="152"/>
      <c r="AA425" s="152">
        <v>1</v>
      </c>
      <c r="AB425" s="152"/>
      <c r="AC425" s="152"/>
      <c r="AD425" s="152"/>
      <c r="AE425" s="152"/>
      <c r="AF425" s="152">
        <v>0</v>
      </c>
      <c r="AG425" s="152">
        <v>1</v>
      </c>
      <c r="AH425" s="152">
        <v>2</v>
      </c>
      <c r="AI425" s="152"/>
      <c r="AJ425" s="152"/>
      <c r="AK425" s="152">
        <v>2</v>
      </c>
      <c r="AL425" s="152"/>
      <c r="AM425" s="152"/>
      <c r="AN425" s="152"/>
      <c r="AO425" s="152"/>
      <c r="AP425" s="152">
        <v>0</v>
      </c>
      <c r="AQ425" s="152">
        <v>2</v>
      </c>
      <c r="AR425" s="152">
        <v>5</v>
      </c>
      <c r="AS425" s="152"/>
      <c r="AT425" s="152"/>
      <c r="AU425" s="152">
        <v>5</v>
      </c>
      <c r="AV425" s="152">
        <v>1</v>
      </c>
      <c r="AW425" s="152"/>
      <c r="AX425" s="152"/>
      <c r="AY425" s="152"/>
      <c r="AZ425" s="152">
        <v>1</v>
      </c>
      <c r="BA425" s="152">
        <v>6</v>
      </c>
      <c r="BB425" s="152">
        <v>1</v>
      </c>
      <c r="BC425" s="152"/>
      <c r="BD425" s="152">
        <v>1</v>
      </c>
      <c r="BE425" s="152"/>
      <c r="BF425" s="152"/>
      <c r="BG425" s="152"/>
      <c r="BH425" s="152"/>
      <c r="BI425" s="152">
        <v>0</v>
      </c>
      <c r="BJ425" s="152">
        <v>1</v>
      </c>
      <c r="BK425" s="152"/>
      <c r="BL425" s="152"/>
      <c r="BM425" s="152"/>
      <c r="BN425" s="152">
        <v>0</v>
      </c>
      <c r="BO425" s="152">
        <v>0</v>
      </c>
      <c r="BP425" s="152">
        <v>92</v>
      </c>
    </row>
    <row r="426" spans="1:68" x14ac:dyDescent="0.35">
      <c r="A426" s="146" t="s">
        <v>1064</v>
      </c>
      <c r="B426" s="146" t="s">
        <v>1065</v>
      </c>
      <c r="C426" s="152">
        <v>68</v>
      </c>
      <c r="D426" s="152">
        <v>3</v>
      </c>
      <c r="E426" s="152"/>
      <c r="F426" s="152"/>
      <c r="G426" s="152">
        <v>71</v>
      </c>
      <c r="H426" s="152">
        <v>253</v>
      </c>
      <c r="I426" s="152">
        <v>23</v>
      </c>
      <c r="J426" s="152">
        <v>3</v>
      </c>
      <c r="K426" s="152"/>
      <c r="L426" s="152">
        <v>279</v>
      </c>
      <c r="M426" s="152">
        <v>350</v>
      </c>
      <c r="N426" s="152">
        <v>5</v>
      </c>
      <c r="O426" s="152"/>
      <c r="P426" s="152"/>
      <c r="Q426" s="152">
        <v>5</v>
      </c>
      <c r="R426" s="152">
        <v>8</v>
      </c>
      <c r="S426" s="152"/>
      <c r="T426" s="152"/>
      <c r="U426" s="152"/>
      <c r="V426" s="152">
        <v>8</v>
      </c>
      <c r="W426" s="152">
        <v>13</v>
      </c>
      <c r="X426" s="152">
        <v>1</v>
      </c>
      <c r="Y426" s="152"/>
      <c r="Z426" s="152"/>
      <c r="AA426" s="152">
        <v>1</v>
      </c>
      <c r="AB426" s="152">
        <v>5</v>
      </c>
      <c r="AC426" s="152"/>
      <c r="AD426" s="152"/>
      <c r="AE426" s="152"/>
      <c r="AF426" s="152">
        <v>5</v>
      </c>
      <c r="AG426" s="152">
        <v>6</v>
      </c>
      <c r="AH426" s="152">
        <v>1</v>
      </c>
      <c r="AI426" s="152"/>
      <c r="AJ426" s="152"/>
      <c r="AK426" s="152">
        <v>1</v>
      </c>
      <c r="AL426" s="152">
        <v>2</v>
      </c>
      <c r="AM426" s="152"/>
      <c r="AN426" s="152"/>
      <c r="AO426" s="152"/>
      <c r="AP426" s="152">
        <v>2</v>
      </c>
      <c r="AQ426" s="152">
        <v>3</v>
      </c>
      <c r="AR426" s="152">
        <v>7</v>
      </c>
      <c r="AS426" s="152"/>
      <c r="AT426" s="152"/>
      <c r="AU426" s="152">
        <v>7</v>
      </c>
      <c r="AV426" s="152">
        <v>32</v>
      </c>
      <c r="AW426" s="152">
        <v>3</v>
      </c>
      <c r="AX426" s="152"/>
      <c r="AY426" s="152"/>
      <c r="AZ426" s="152">
        <v>35</v>
      </c>
      <c r="BA426" s="152">
        <v>42</v>
      </c>
      <c r="BB426" s="152">
        <v>2</v>
      </c>
      <c r="BC426" s="152"/>
      <c r="BD426" s="152">
        <v>2</v>
      </c>
      <c r="BE426" s="152">
        <v>2</v>
      </c>
      <c r="BF426" s="152"/>
      <c r="BG426" s="152"/>
      <c r="BH426" s="152"/>
      <c r="BI426" s="152">
        <v>2</v>
      </c>
      <c r="BJ426" s="152">
        <v>4</v>
      </c>
      <c r="BK426" s="152"/>
      <c r="BL426" s="152"/>
      <c r="BM426" s="152"/>
      <c r="BN426" s="152">
        <v>0</v>
      </c>
      <c r="BO426" s="152">
        <v>0</v>
      </c>
      <c r="BP426" s="152">
        <v>418</v>
      </c>
    </row>
    <row r="427" spans="1:68" x14ac:dyDescent="0.35">
      <c r="A427" s="146" t="s">
        <v>1066</v>
      </c>
      <c r="B427" s="146" t="s">
        <v>1067</v>
      </c>
      <c r="C427" s="152">
        <v>25</v>
      </c>
      <c r="D427" s="152">
        <v>1</v>
      </c>
      <c r="E427" s="152"/>
      <c r="F427" s="152"/>
      <c r="G427" s="152">
        <v>26</v>
      </c>
      <c r="H427" s="152">
        <v>72</v>
      </c>
      <c r="I427" s="152">
        <v>7</v>
      </c>
      <c r="J427" s="152"/>
      <c r="K427" s="152"/>
      <c r="L427" s="152">
        <v>79</v>
      </c>
      <c r="M427" s="152">
        <v>105</v>
      </c>
      <c r="N427" s="152"/>
      <c r="O427" s="152"/>
      <c r="P427" s="152"/>
      <c r="Q427" s="152">
        <v>0</v>
      </c>
      <c r="R427" s="152">
        <v>1</v>
      </c>
      <c r="S427" s="152"/>
      <c r="T427" s="152"/>
      <c r="U427" s="152"/>
      <c r="V427" s="152">
        <v>1</v>
      </c>
      <c r="W427" s="152">
        <v>1</v>
      </c>
      <c r="X427" s="152">
        <v>1</v>
      </c>
      <c r="Y427" s="152"/>
      <c r="Z427" s="152"/>
      <c r="AA427" s="152">
        <v>1</v>
      </c>
      <c r="AB427" s="152"/>
      <c r="AC427" s="152"/>
      <c r="AD427" s="152"/>
      <c r="AE427" s="152"/>
      <c r="AF427" s="152">
        <v>0</v>
      </c>
      <c r="AG427" s="152">
        <v>1</v>
      </c>
      <c r="AH427" s="152">
        <v>1</v>
      </c>
      <c r="AI427" s="152"/>
      <c r="AJ427" s="152"/>
      <c r="AK427" s="152">
        <v>1</v>
      </c>
      <c r="AL427" s="152">
        <v>1</v>
      </c>
      <c r="AM427" s="152"/>
      <c r="AN427" s="152"/>
      <c r="AO427" s="152"/>
      <c r="AP427" s="152">
        <v>1</v>
      </c>
      <c r="AQ427" s="152">
        <v>2</v>
      </c>
      <c r="AR427" s="152">
        <v>3</v>
      </c>
      <c r="AS427" s="152"/>
      <c r="AT427" s="152"/>
      <c r="AU427" s="152">
        <v>3</v>
      </c>
      <c r="AV427" s="152">
        <v>4</v>
      </c>
      <c r="AW427" s="152"/>
      <c r="AX427" s="152"/>
      <c r="AY427" s="152"/>
      <c r="AZ427" s="152">
        <v>4</v>
      </c>
      <c r="BA427" s="152">
        <v>7</v>
      </c>
      <c r="BB427" s="152"/>
      <c r="BC427" s="152"/>
      <c r="BD427" s="152">
        <v>0</v>
      </c>
      <c r="BE427" s="152">
        <v>2</v>
      </c>
      <c r="BF427" s="152"/>
      <c r="BG427" s="152"/>
      <c r="BH427" s="152"/>
      <c r="BI427" s="152">
        <v>2</v>
      </c>
      <c r="BJ427" s="152">
        <v>2</v>
      </c>
      <c r="BK427" s="152"/>
      <c r="BL427" s="152"/>
      <c r="BM427" s="152"/>
      <c r="BN427" s="152">
        <v>0</v>
      </c>
      <c r="BO427" s="152">
        <v>0</v>
      </c>
      <c r="BP427" s="152">
        <v>118</v>
      </c>
    </row>
    <row r="428" spans="1:68" x14ac:dyDescent="0.35">
      <c r="A428" s="146" t="s">
        <v>1068</v>
      </c>
      <c r="B428" s="146" t="s">
        <v>1069</v>
      </c>
      <c r="C428" s="152">
        <v>3</v>
      </c>
      <c r="D428" s="152"/>
      <c r="E428" s="152"/>
      <c r="F428" s="152"/>
      <c r="G428" s="152">
        <v>3</v>
      </c>
      <c r="H428" s="152">
        <v>45</v>
      </c>
      <c r="I428" s="152">
        <v>13</v>
      </c>
      <c r="J428" s="152">
        <v>6</v>
      </c>
      <c r="K428" s="152">
        <v>8</v>
      </c>
      <c r="L428" s="152">
        <v>72</v>
      </c>
      <c r="M428" s="152">
        <v>75</v>
      </c>
      <c r="N428" s="152">
        <v>2</v>
      </c>
      <c r="O428" s="152"/>
      <c r="P428" s="152"/>
      <c r="Q428" s="152">
        <v>2</v>
      </c>
      <c r="R428" s="152"/>
      <c r="S428" s="152"/>
      <c r="T428" s="152"/>
      <c r="U428" s="152"/>
      <c r="V428" s="152">
        <v>0</v>
      </c>
      <c r="W428" s="152">
        <v>2</v>
      </c>
      <c r="X428" s="152"/>
      <c r="Y428" s="152"/>
      <c r="Z428" s="152"/>
      <c r="AA428" s="152">
        <v>0</v>
      </c>
      <c r="AB428" s="152"/>
      <c r="AC428" s="152"/>
      <c r="AD428" s="152"/>
      <c r="AE428" s="152"/>
      <c r="AF428" s="152">
        <v>0</v>
      </c>
      <c r="AG428" s="152">
        <v>0</v>
      </c>
      <c r="AH428" s="152"/>
      <c r="AI428" s="152"/>
      <c r="AJ428" s="152"/>
      <c r="AK428" s="152">
        <v>0</v>
      </c>
      <c r="AL428" s="152">
        <v>1</v>
      </c>
      <c r="AM428" s="152">
        <v>2</v>
      </c>
      <c r="AN428" s="152">
        <v>1</v>
      </c>
      <c r="AO428" s="152"/>
      <c r="AP428" s="152">
        <v>4</v>
      </c>
      <c r="AQ428" s="152">
        <v>4</v>
      </c>
      <c r="AR428" s="152">
        <v>2</v>
      </c>
      <c r="AS428" s="152"/>
      <c r="AT428" s="152"/>
      <c r="AU428" s="152">
        <v>2</v>
      </c>
      <c r="AV428" s="152"/>
      <c r="AW428" s="152"/>
      <c r="AX428" s="152"/>
      <c r="AY428" s="152">
        <v>1</v>
      </c>
      <c r="AZ428" s="152">
        <v>1</v>
      </c>
      <c r="BA428" s="152">
        <v>3</v>
      </c>
      <c r="BB428" s="152">
        <v>1</v>
      </c>
      <c r="BC428" s="152"/>
      <c r="BD428" s="152">
        <v>1</v>
      </c>
      <c r="BE428" s="152"/>
      <c r="BF428" s="152"/>
      <c r="BG428" s="152"/>
      <c r="BH428" s="152"/>
      <c r="BI428" s="152">
        <v>0</v>
      </c>
      <c r="BJ428" s="152">
        <v>1</v>
      </c>
      <c r="BK428" s="152"/>
      <c r="BL428" s="152"/>
      <c r="BM428" s="152"/>
      <c r="BN428" s="152">
        <v>0</v>
      </c>
      <c r="BO428" s="152">
        <v>0</v>
      </c>
      <c r="BP428" s="152">
        <v>85</v>
      </c>
    </row>
    <row r="429" spans="1:68" x14ac:dyDescent="0.35">
      <c r="A429" s="146" t="s">
        <v>1070</v>
      </c>
      <c r="B429" s="146" t="s">
        <v>1071</v>
      </c>
      <c r="C429" s="152">
        <v>55</v>
      </c>
      <c r="D429" s="152">
        <v>2</v>
      </c>
      <c r="E429" s="152"/>
      <c r="F429" s="152"/>
      <c r="G429" s="152">
        <v>57</v>
      </c>
      <c r="H429" s="152">
        <v>628</v>
      </c>
      <c r="I429" s="152">
        <v>202</v>
      </c>
      <c r="J429" s="152">
        <v>29</v>
      </c>
      <c r="K429" s="152">
        <v>10</v>
      </c>
      <c r="L429" s="152">
        <v>869</v>
      </c>
      <c r="M429" s="152">
        <v>926</v>
      </c>
      <c r="N429" s="152">
        <v>8</v>
      </c>
      <c r="O429" s="152"/>
      <c r="P429" s="152"/>
      <c r="Q429" s="152">
        <v>8</v>
      </c>
      <c r="R429" s="152">
        <v>8</v>
      </c>
      <c r="S429" s="152"/>
      <c r="T429" s="152"/>
      <c r="U429" s="152"/>
      <c r="V429" s="152">
        <v>8</v>
      </c>
      <c r="W429" s="152">
        <v>16</v>
      </c>
      <c r="X429" s="152">
        <v>2</v>
      </c>
      <c r="Y429" s="152"/>
      <c r="Z429" s="152"/>
      <c r="AA429" s="152">
        <v>2</v>
      </c>
      <c r="AB429" s="152">
        <v>3</v>
      </c>
      <c r="AC429" s="152"/>
      <c r="AD429" s="152"/>
      <c r="AE429" s="152"/>
      <c r="AF429" s="152">
        <v>3</v>
      </c>
      <c r="AG429" s="152">
        <v>5</v>
      </c>
      <c r="AH429" s="152">
        <v>4</v>
      </c>
      <c r="AI429" s="152"/>
      <c r="AJ429" s="152"/>
      <c r="AK429" s="152">
        <v>4</v>
      </c>
      <c r="AL429" s="152">
        <v>10</v>
      </c>
      <c r="AM429" s="152"/>
      <c r="AN429" s="152"/>
      <c r="AO429" s="152"/>
      <c r="AP429" s="152">
        <v>10</v>
      </c>
      <c r="AQ429" s="152">
        <v>14</v>
      </c>
      <c r="AR429" s="152">
        <v>6</v>
      </c>
      <c r="AS429" s="152"/>
      <c r="AT429" s="152"/>
      <c r="AU429" s="152">
        <v>6</v>
      </c>
      <c r="AV429" s="152">
        <v>20</v>
      </c>
      <c r="AW429" s="152">
        <v>7</v>
      </c>
      <c r="AX429" s="152"/>
      <c r="AY429" s="152"/>
      <c r="AZ429" s="152">
        <v>27</v>
      </c>
      <c r="BA429" s="152">
        <v>33</v>
      </c>
      <c r="BB429" s="152"/>
      <c r="BC429" s="152"/>
      <c r="BD429" s="152">
        <v>0</v>
      </c>
      <c r="BE429" s="152">
        <v>1</v>
      </c>
      <c r="BF429" s="152"/>
      <c r="BG429" s="152"/>
      <c r="BH429" s="152"/>
      <c r="BI429" s="152">
        <v>1</v>
      </c>
      <c r="BJ429" s="152">
        <v>1</v>
      </c>
      <c r="BK429" s="152"/>
      <c r="BL429" s="152"/>
      <c r="BM429" s="152"/>
      <c r="BN429" s="152">
        <v>0</v>
      </c>
      <c r="BO429" s="152">
        <v>0</v>
      </c>
      <c r="BP429" s="152">
        <v>995</v>
      </c>
    </row>
    <row r="430" spans="1:68" x14ac:dyDescent="0.35">
      <c r="A430" s="146" t="s">
        <v>1072</v>
      </c>
      <c r="B430" s="146" t="s">
        <v>1073</v>
      </c>
      <c r="C430" s="152">
        <v>170</v>
      </c>
      <c r="D430" s="152"/>
      <c r="E430" s="152"/>
      <c r="F430" s="152"/>
      <c r="G430" s="152">
        <v>170</v>
      </c>
      <c r="H430" s="152">
        <v>195</v>
      </c>
      <c r="I430" s="152">
        <v>36</v>
      </c>
      <c r="J430" s="152">
        <v>4</v>
      </c>
      <c r="K430" s="152"/>
      <c r="L430" s="152">
        <v>235</v>
      </c>
      <c r="M430" s="152">
        <v>405</v>
      </c>
      <c r="N430" s="152">
        <v>11</v>
      </c>
      <c r="O430" s="152"/>
      <c r="P430" s="152"/>
      <c r="Q430" s="152">
        <v>11</v>
      </c>
      <c r="R430" s="152">
        <v>2</v>
      </c>
      <c r="S430" s="152"/>
      <c r="T430" s="152"/>
      <c r="U430" s="152"/>
      <c r="V430" s="152">
        <v>2</v>
      </c>
      <c r="W430" s="152">
        <v>13</v>
      </c>
      <c r="X430" s="152">
        <v>9</v>
      </c>
      <c r="Y430" s="152"/>
      <c r="Z430" s="152"/>
      <c r="AA430" s="152">
        <v>9</v>
      </c>
      <c r="AB430" s="152">
        <v>1</v>
      </c>
      <c r="AC430" s="152"/>
      <c r="AD430" s="152"/>
      <c r="AE430" s="152"/>
      <c r="AF430" s="152">
        <v>1</v>
      </c>
      <c r="AG430" s="152">
        <v>10</v>
      </c>
      <c r="AH430" s="152">
        <v>5</v>
      </c>
      <c r="AI430" s="152"/>
      <c r="AJ430" s="152"/>
      <c r="AK430" s="152">
        <v>5</v>
      </c>
      <c r="AL430" s="152">
        <v>1</v>
      </c>
      <c r="AM430" s="152"/>
      <c r="AN430" s="152"/>
      <c r="AO430" s="152"/>
      <c r="AP430" s="152">
        <v>1</v>
      </c>
      <c r="AQ430" s="152">
        <v>6</v>
      </c>
      <c r="AR430" s="152">
        <v>46</v>
      </c>
      <c r="AS430" s="152"/>
      <c r="AT430" s="152"/>
      <c r="AU430" s="152">
        <v>46</v>
      </c>
      <c r="AV430" s="152">
        <v>22</v>
      </c>
      <c r="AW430" s="152"/>
      <c r="AX430" s="152"/>
      <c r="AY430" s="152"/>
      <c r="AZ430" s="152">
        <v>22</v>
      </c>
      <c r="BA430" s="152">
        <v>68</v>
      </c>
      <c r="BB430" s="152">
        <v>8</v>
      </c>
      <c r="BC430" s="152"/>
      <c r="BD430" s="152">
        <v>8</v>
      </c>
      <c r="BE430" s="152">
        <v>1</v>
      </c>
      <c r="BF430" s="152"/>
      <c r="BG430" s="152"/>
      <c r="BH430" s="152"/>
      <c r="BI430" s="152">
        <v>1</v>
      </c>
      <c r="BJ430" s="152">
        <v>9</v>
      </c>
      <c r="BK430" s="152"/>
      <c r="BL430" s="152"/>
      <c r="BM430" s="152"/>
      <c r="BN430" s="152">
        <v>0</v>
      </c>
      <c r="BO430" s="152">
        <v>0</v>
      </c>
      <c r="BP430" s="152">
        <v>511</v>
      </c>
    </row>
    <row r="431" spans="1:68" x14ac:dyDescent="0.35">
      <c r="A431" s="146" t="s">
        <v>1074</v>
      </c>
      <c r="B431" s="146" t="s">
        <v>1075</v>
      </c>
      <c r="C431" s="152">
        <v>19</v>
      </c>
      <c r="D431" s="152"/>
      <c r="E431" s="152"/>
      <c r="F431" s="152"/>
      <c r="G431" s="152">
        <v>19</v>
      </c>
      <c r="H431" s="152">
        <v>89</v>
      </c>
      <c r="I431" s="152">
        <v>50</v>
      </c>
      <c r="J431" s="152">
        <v>19</v>
      </c>
      <c r="K431" s="152">
        <v>2</v>
      </c>
      <c r="L431" s="152">
        <v>160</v>
      </c>
      <c r="M431" s="152">
        <v>179</v>
      </c>
      <c r="N431" s="152">
        <v>3</v>
      </c>
      <c r="O431" s="152"/>
      <c r="P431" s="152"/>
      <c r="Q431" s="152">
        <v>3</v>
      </c>
      <c r="R431" s="152"/>
      <c r="S431" s="152"/>
      <c r="T431" s="152"/>
      <c r="U431" s="152"/>
      <c r="V431" s="152">
        <v>0</v>
      </c>
      <c r="W431" s="152">
        <v>3</v>
      </c>
      <c r="X431" s="152">
        <v>7</v>
      </c>
      <c r="Y431" s="152"/>
      <c r="Z431" s="152"/>
      <c r="AA431" s="152">
        <v>7</v>
      </c>
      <c r="AB431" s="152">
        <v>2</v>
      </c>
      <c r="AC431" s="152"/>
      <c r="AD431" s="152"/>
      <c r="AE431" s="152"/>
      <c r="AF431" s="152">
        <v>2</v>
      </c>
      <c r="AG431" s="152">
        <v>9</v>
      </c>
      <c r="AH431" s="152">
        <v>3</v>
      </c>
      <c r="AI431" s="152"/>
      <c r="AJ431" s="152"/>
      <c r="AK431" s="152">
        <v>3</v>
      </c>
      <c r="AL431" s="152"/>
      <c r="AM431" s="152"/>
      <c r="AN431" s="152"/>
      <c r="AO431" s="152"/>
      <c r="AP431" s="152">
        <v>0</v>
      </c>
      <c r="AQ431" s="152">
        <v>3</v>
      </c>
      <c r="AR431" s="152">
        <v>13</v>
      </c>
      <c r="AS431" s="152"/>
      <c r="AT431" s="152"/>
      <c r="AU431" s="152">
        <v>13</v>
      </c>
      <c r="AV431" s="152">
        <v>4</v>
      </c>
      <c r="AW431" s="152"/>
      <c r="AX431" s="152"/>
      <c r="AY431" s="152"/>
      <c r="AZ431" s="152">
        <v>4</v>
      </c>
      <c r="BA431" s="152">
        <v>17</v>
      </c>
      <c r="BB431" s="152">
        <v>1</v>
      </c>
      <c r="BC431" s="152"/>
      <c r="BD431" s="152">
        <v>1</v>
      </c>
      <c r="BE431" s="152"/>
      <c r="BF431" s="152"/>
      <c r="BG431" s="152"/>
      <c r="BH431" s="152"/>
      <c r="BI431" s="152">
        <v>0</v>
      </c>
      <c r="BJ431" s="152">
        <v>1</v>
      </c>
      <c r="BK431" s="152"/>
      <c r="BL431" s="152"/>
      <c r="BM431" s="152"/>
      <c r="BN431" s="152">
        <v>0</v>
      </c>
      <c r="BO431" s="152">
        <v>0</v>
      </c>
      <c r="BP431" s="152">
        <v>212</v>
      </c>
    </row>
    <row r="432" spans="1:68" x14ac:dyDescent="0.35">
      <c r="A432" s="146" t="s">
        <v>1076</v>
      </c>
      <c r="B432" s="146" t="s">
        <v>1077</v>
      </c>
      <c r="C432" s="152">
        <v>174</v>
      </c>
      <c r="D432" s="152"/>
      <c r="E432" s="152"/>
      <c r="F432" s="152"/>
      <c r="G432" s="152">
        <v>174</v>
      </c>
      <c r="H432" s="152">
        <v>169</v>
      </c>
      <c r="I432" s="152">
        <v>20</v>
      </c>
      <c r="J432" s="152">
        <v>1</v>
      </c>
      <c r="K432" s="152">
        <v>1</v>
      </c>
      <c r="L432" s="152">
        <v>191</v>
      </c>
      <c r="M432" s="152">
        <v>365</v>
      </c>
      <c r="N432" s="152">
        <v>7</v>
      </c>
      <c r="O432" s="152"/>
      <c r="P432" s="152"/>
      <c r="Q432" s="152">
        <v>7</v>
      </c>
      <c r="R432" s="152">
        <v>1</v>
      </c>
      <c r="S432" s="152"/>
      <c r="T432" s="152"/>
      <c r="U432" s="152"/>
      <c r="V432" s="152">
        <v>1</v>
      </c>
      <c r="W432" s="152">
        <v>8</v>
      </c>
      <c r="X432" s="152">
        <v>4</v>
      </c>
      <c r="Y432" s="152"/>
      <c r="Z432" s="152"/>
      <c r="AA432" s="152">
        <v>4</v>
      </c>
      <c r="AB432" s="152">
        <v>2</v>
      </c>
      <c r="AC432" s="152"/>
      <c r="AD432" s="152"/>
      <c r="AE432" s="152"/>
      <c r="AF432" s="152">
        <v>2</v>
      </c>
      <c r="AG432" s="152">
        <v>6</v>
      </c>
      <c r="AH432" s="152">
        <v>3</v>
      </c>
      <c r="AI432" s="152"/>
      <c r="AJ432" s="152"/>
      <c r="AK432" s="152">
        <v>3</v>
      </c>
      <c r="AL432" s="152">
        <v>1</v>
      </c>
      <c r="AM432" s="152"/>
      <c r="AN432" s="152"/>
      <c r="AO432" s="152"/>
      <c r="AP432" s="152">
        <v>1</v>
      </c>
      <c r="AQ432" s="152">
        <v>4</v>
      </c>
      <c r="AR432" s="152">
        <v>24</v>
      </c>
      <c r="AS432" s="152"/>
      <c r="AT432" s="152"/>
      <c r="AU432" s="152">
        <v>24</v>
      </c>
      <c r="AV432" s="152">
        <v>13</v>
      </c>
      <c r="AW432" s="152">
        <v>2</v>
      </c>
      <c r="AX432" s="152"/>
      <c r="AY432" s="152"/>
      <c r="AZ432" s="152">
        <v>15</v>
      </c>
      <c r="BA432" s="152">
        <v>39</v>
      </c>
      <c r="BB432" s="152">
        <v>3</v>
      </c>
      <c r="BC432" s="152"/>
      <c r="BD432" s="152">
        <v>3</v>
      </c>
      <c r="BE432" s="152"/>
      <c r="BF432" s="152"/>
      <c r="BG432" s="152"/>
      <c r="BH432" s="152"/>
      <c r="BI432" s="152">
        <v>0</v>
      </c>
      <c r="BJ432" s="152">
        <v>3</v>
      </c>
      <c r="BK432" s="152"/>
      <c r="BL432" s="152"/>
      <c r="BM432" s="152"/>
      <c r="BN432" s="152">
        <v>0</v>
      </c>
      <c r="BO432" s="152">
        <v>0</v>
      </c>
      <c r="BP432" s="152">
        <v>425</v>
      </c>
    </row>
    <row r="433" spans="1:68" x14ac:dyDescent="0.35">
      <c r="A433" s="146" t="s">
        <v>1078</v>
      </c>
      <c r="B433" s="146" t="s">
        <v>1079</v>
      </c>
      <c r="C433" s="152">
        <v>96</v>
      </c>
      <c r="D433" s="152">
        <v>2</v>
      </c>
      <c r="E433" s="152"/>
      <c r="F433" s="152"/>
      <c r="G433" s="152">
        <v>98</v>
      </c>
      <c r="H433" s="152">
        <v>193</v>
      </c>
      <c r="I433" s="152">
        <v>57</v>
      </c>
      <c r="J433" s="152">
        <v>9</v>
      </c>
      <c r="K433" s="152">
        <v>4</v>
      </c>
      <c r="L433" s="152">
        <v>263</v>
      </c>
      <c r="M433" s="152">
        <v>361</v>
      </c>
      <c r="N433" s="152">
        <v>5</v>
      </c>
      <c r="O433" s="152"/>
      <c r="P433" s="152"/>
      <c r="Q433" s="152">
        <v>5</v>
      </c>
      <c r="R433" s="152">
        <v>1</v>
      </c>
      <c r="S433" s="152"/>
      <c r="T433" s="152"/>
      <c r="U433" s="152"/>
      <c r="V433" s="152">
        <v>1</v>
      </c>
      <c r="W433" s="152">
        <v>6</v>
      </c>
      <c r="X433" s="152">
        <v>3</v>
      </c>
      <c r="Y433" s="152"/>
      <c r="Z433" s="152"/>
      <c r="AA433" s="152">
        <v>3</v>
      </c>
      <c r="AB433" s="152">
        <v>1</v>
      </c>
      <c r="AC433" s="152"/>
      <c r="AD433" s="152"/>
      <c r="AE433" s="152"/>
      <c r="AF433" s="152">
        <v>1</v>
      </c>
      <c r="AG433" s="152">
        <v>4</v>
      </c>
      <c r="AH433" s="152">
        <v>2</v>
      </c>
      <c r="AI433" s="152"/>
      <c r="AJ433" s="152"/>
      <c r="AK433" s="152">
        <v>2</v>
      </c>
      <c r="AL433" s="152">
        <v>2</v>
      </c>
      <c r="AM433" s="152">
        <v>2</v>
      </c>
      <c r="AN433" s="152"/>
      <c r="AO433" s="152"/>
      <c r="AP433" s="152">
        <v>4</v>
      </c>
      <c r="AQ433" s="152">
        <v>6</v>
      </c>
      <c r="AR433" s="152">
        <v>16</v>
      </c>
      <c r="AS433" s="152">
        <v>1</v>
      </c>
      <c r="AT433" s="152"/>
      <c r="AU433" s="152">
        <v>17</v>
      </c>
      <c r="AV433" s="152">
        <v>17</v>
      </c>
      <c r="AW433" s="152">
        <v>2</v>
      </c>
      <c r="AX433" s="152"/>
      <c r="AY433" s="152"/>
      <c r="AZ433" s="152">
        <v>19</v>
      </c>
      <c r="BA433" s="152">
        <v>36</v>
      </c>
      <c r="BB433" s="152">
        <v>3</v>
      </c>
      <c r="BC433" s="152"/>
      <c r="BD433" s="152">
        <v>3</v>
      </c>
      <c r="BE433" s="152">
        <v>2</v>
      </c>
      <c r="BF433" s="152"/>
      <c r="BG433" s="152"/>
      <c r="BH433" s="152"/>
      <c r="BI433" s="152">
        <v>2</v>
      </c>
      <c r="BJ433" s="152">
        <v>5</v>
      </c>
      <c r="BK433" s="152"/>
      <c r="BL433" s="152"/>
      <c r="BM433" s="152"/>
      <c r="BN433" s="152">
        <v>0</v>
      </c>
      <c r="BO433" s="152">
        <v>0</v>
      </c>
      <c r="BP433" s="152">
        <v>418</v>
      </c>
    </row>
    <row r="434" spans="1:68" x14ac:dyDescent="0.35">
      <c r="A434" s="146" t="s">
        <v>1080</v>
      </c>
      <c r="B434" s="146" t="s">
        <v>1081</v>
      </c>
      <c r="C434" s="152">
        <v>7</v>
      </c>
      <c r="D434" s="152"/>
      <c r="E434" s="152"/>
      <c r="F434" s="152"/>
      <c r="G434" s="152">
        <v>7</v>
      </c>
      <c r="H434" s="152">
        <v>13</v>
      </c>
      <c r="I434" s="152"/>
      <c r="J434" s="152"/>
      <c r="K434" s="152"/>
      <c r="L434" s="152">
        <v>13</v>
      </c>
      <c r="M434" s="152">
        <v>20</v>
      </c>
      <c r="N434" s="152"/>
      <c r="O434" s="152"/>
      <c r="P434" s="152"/>
      <c r="Q434" s="152">
        <v>0</v>
      </c>
      <c r="R434" s="152"/>
      <c r="S434" s="152"/>
      <c r="T434" s="152"/>
      <c r="U434" s="152"/>
      <c r="V434" s="152">
        <v>0</v>
      </c>
      <c r="W434" s="152">
        <v>0</v>
      </c>
      <c r="X434" s="152"/>
      <c r="Y434" s="152"/>
      <c r="Z434" s="152"/>
      <c r="AA434" s="152">
        <v>0</v>
      </c>
      <c r="AB434" s="152"/>
      <c r="AC434" s="152"/>
      <c r="AD434" s="152"/>
      <c r="AE434" s="152"/>
      <c r="AF434" s="152">
        <v>0</v>
      </c>
      <c r="AG434" s="152">
        <v>0</v>
      </c>
      <c r="AH434" s="152"/>
      <c r="AI434" s="152"/>
      <c r="AJ434" s="152"/>
      <c r="AK434" s="152">
        <v>0</v>
      </c>
      <c r="AL434" s="152"/>
      <c r="AM434" s="152"/>
      <c r="AN434" s="152"/>
      <c r="AO434" s="152"/>
      <c r="AP434" s="152">
        <v>0</v>
      </c>
      <c r="AQ434" s="152">
        <v>0</v>
      </c>
      <c r="AR434" s="152">
        <v>2</v>
      </c>
      <c r="AS434" s="152"/>
      <c r="AT434" s="152"/>
      <c r="AU434" s="152">
        <v>2</v>
      </c>
      <c r="AV434" s="152"/>
      <c r="AW434" s="152"/>
      <c r="AX434" s="152"/>
      <c r="AY434" s="152"/>
      <c r="AZ434" s="152">
        <v>0</v>
      </c>
      <c r="BA434" s="152">
        <v>2</v>
      </c>
      <c r="BB434" s="152"/>
      <c r="BC434" s="152"/>
      <c r="BD434" s="152">
        <v>0</v>
      </c>
      <c r="BE434" s="152"/>
      <c r="BF434" s="152"/>
      <c r="BG434" s="152"/>
      <c r="BH434" s="152"/>
      <c r="BI434" s="152">
        <v>0</v>
      </c>
      <c r="BJ434" s="152">
        <v>0</v>
      </c>
      <c r="BK434" s="152"/>
      <c r="BL434" s="152"/>
      <c r="BM434" s="152"/>
      <c r="BN434" s="152">
        <v>0</v>
      </c>
      <c r="BO434" s="152">
        <v>0</v>
      </c>
      <c r="BP434" s="152">
        <v>22</v>
      </c>
    </row>
    <row r="435" spans="1:68" x14ac:dyDescent="0.35">
      <c r="A435" s="146" t="s">
        <v>1082</v>
      </c>
      <c r="B435" s="146" t="s">
        <v>1083</v>
      </c>
      <c r="C435" s="152">
        <v>1</v>
      </c>
      <c r="D435" s="152"/>
      <c r="E435" s="152"/>
      <c r="F435" s="152"/>
      <c r="G435" s="152">
        <v>1</v>
      </c>
      <c r="H435" s="152">
        <v>1</v>
      </c>
      <c r="I435" s="152"/>
      <c r="J435" s="152">
        <v>1</v>
      </c>
      <c r="K435" s="152"/>
      <c r="L435" s="152">
        <v>2</v>
      </c>
      <c r="M435" s="152">
        <v>3</v>
      </c>
      <c r="N435" s="152"/>
      <c r="O435" s="152"/>
      <c r="P435" s="152"/>
      <c r="Q435" s="152">
        <v>0</v>
      </c>
      <c r="R435" s="152"/>
      <c r="S435" s="152"/>
      <c r="T435" s="152"/>
      <c r="U435" s="152"/>
      <c r="V435" s="152">
        <v>0</v>
      </c>
      <c r="W435" s="152">
        <v>0</v>
      </c>
      <c r="X435" s="152"/>
      <c r="Y435" s="152"/>
      <c r="Z435" s="152"/>
      <c r="AA435" s="152">
        <v>0</v>
      </c>
      <c r="AB435" s="152"/>
      <c r="AC435" s="152"/>
      <c r="AD435" s="152"/>
      <c r="AE435" s="152"/>
      <c r="AF435" s="152">
        <v>0</v>
      </c>
      <c r="AG435" s="152">
        <v>0</v>
      </c>
      <c r="AH435" s="152"/>
      <c r="AI435" s="152"/>
      <c r="AJ435" s="152"/>
      <c r="AK435" s="152">
        <v>0</v>
      </c>
      <c r="AL435" s="152"/>
      <c r="AM435" s="152"/>
      <c r="AN435" s="152"/>
      <c r="AO435" s="152"/>
      <c r="AP435" s="152">
        <v>0</v>
      </c>
      <c r="AQ435" s="152">
        <v>0</v>
      </c>
      <c r="AR435" s="152">
        <v>1</v>
      </c>
      <c r="AS435" s="152"/>
      <c r="AT435" s="152"/>
      <c r="AU435" s="152">
        <v>1</v>
      </c>
      <c r="AV435" s="152"/>
      <c r="AW435" s="152"/>
      <c r="AX435" s="152"/>
      <c r="AY435" s="152"/>
      <c r="AZ435" s="152">
        <v>0</v>
      </c>
      <c r="BA435" s="152">
        <v>1</v>
      </c>
      <c r="BB435" s="152"/>
      <c r="BC435" s="152"/>
      <c r="BD435" s="152">
        <v>0</v>
      </c>
      <c r="BE435" s="152"/>
      <c r="BF435" s="152"/>
      <c r="BG435" s="152"/>
      <c r="BH435" s="152"/>
      <c r="BI435" s="152">
        <v>0</v>
      </c>
      <c r="BJ435" s="152">
        <v>0</v>
      </c>
      <c r="BK435" s="152"/>
      <c r="BL435" s="152"/>
      <c r="BM435" s="152"/>
      <c r="BN435" s="152">
        <v>0</v>
      </c>
      <c r="BO435" s="152">
        <v>0</v>
      </c>
      <c r="BP435" s="152">
        <v>4</v>
      </c>
    </row>
    <row r="436" spans="1:68" x14ac:dyDescent="0.35">
      <c r="A436" s="146" t="s">
        <v>1084</v>
      </c>
      <c r="B436" s="146" t="s">
        <v>1085</v>
      </c>
      <c r="C436" s="152">
        <v>71</v>
      </c>
      <c r="D436" s="152"/>
      <c r="E436" s="152"/>
      <c r="F436" s="152"/>
      <c r="G436" s="152">
        <v>71</v>
      </c>
      <c r="H436" s="152">
        <v>25</v>
      </c>
      <c r="I436" s="152">
        <v>3</v>
      </c>
      <c r="J436" s="152"/>
      <c r="K436" s="152"/>
      <c r="L436" s="152">
        <v>28</v>
      </c>
      <c r="M436" s="152">
        <v>99</v>
      </c>
      <c r="N436" s="152"/>
      <c r="O436" s="152"/>
      <c r="P436" s="152"/>
      <c r="Q436" s="152">
        <v>0</v>
      </c>
      <c r="R436" s="152"/>
      <c r="S436" s="152"/>
      <c r="T436" s="152"/>
      <c r="U436" s="152"/>
      <c r="V436" s="152">
        <v>0</v>
      </c>
      <c r="W436" s="152">
        <v>0</v>
      </c>
      <c r="X436" s="152"/>
      <c r="Y436" s="152"/>
      <c r="Z436" s="152"/>
      <c r="AA436" s="152">
        <v>0</v>
      </c>
      <c r="AB436" s="152"/>
      <c r="AC436" s="152"/>
      <c r="AD436" s="152"/>
      <c r="AE436" s="152"/>
      <c r="AF436" s="152">
        <v>0</v>
      </c>
      <c r="AG436" s="152">
        <v>0</v>
      </c>
      <c r="AH436" s="152"/>
      <c r="AI436" s="152"/>
      <c r="AJ436" s="152"/>
      <c r="AK436" s="152">
        <v>0</v>
      </c>
      <c r="AL436" s="152"/>
      <c r="AM436" s="152"/>
      <c r="AN436" s="152"/>
      <c r="AO436" s="152"/>
      <c r="AP436" s="152">
        <v>0</v>
      </c>
      <c r="AQ436" s="152">
        <v>0</v>
      </c>
      <c r="AR436" s="152">
        <v>8</v>
      </c>
      <c r="AS436" s="152"/>
      <c r="AT436" s="152"/>
      <c r="AU436" s="152">
        <v>8</v>
      </c>
      <c r="AV436" s="152">
        <v>1</v>
      </c>
      <c r="AW436" s="152"/>
      <c r="AX436" s="152"/>
      <c r="AY436" s="152"/>
      <c r="AZ436" s="152">
        <v>1</v>
      </c>
      <c r="BA436" s="152">
        <v>9</v>
      </c>
      <c r="BB436" s="152"/>
      <c r="BC436" s="152"/>
      <c r="BD436" s="152">
        <v>0</v>
      </c>
      <c r="BE436" s="152"/>
      <c r="BF436" s="152"/>
      <c r="BG436" s="152"/>
      <c r="BH436" s="152"/>
      <c r="BI436" s="152">
        <v>0</v>
      </c>
      <c r="BJ436" s="152">
        <v>0</v>
      </c>
      <c r="BK436" s="152"/>
      <c r="BL436" s="152"/>
      <c r="BM436" s="152"/>
      <c r="BN436" s="152">
        <v>0</v>
      </c>
      <c r="BO436" s="152">
        <v>0</v>
      </c>
      <c r="BP436" s="152">
        <v>108</v>
      </c>
    </row>
    <row r="437" spans="1:68" x14ac:dyDescent="0.35">
      <c r="A437" s="146" t="s">
        <v>1086</v>
      </c>
      <c r="B437" s="146" t="s">
        <v>1087</v>
      </c>
      <c r="C437" s="152">
        <v>2</v>
      </c>
      <c r="D437" s="152"/>
      <c r="E437" s="152"/>
      <c r="F437" s="152"/>
      <c r="G437" s="152">
        <v>2</v>
      </c>
      <c r="H437" s="152">
        <v>4</v>
      </c>
      <c r="I437" s="152">
        <v>1</v>
      </c>
      <c r="J437" s="152"/>
      <c r="K437" s="152"/>
      <c r="L437" s="152">
        <v>5</v>
      </c>
      <c r="M437" s="152">
        <v>7</v>
      </c>
      <c r="N437" s="152"/>
      <c r="O437" s="152"/>
      <c r="P437" s="152"/>
      <c r="Q437" s="152">
        <v>0</v>
      </c>
      <c r="R437" s="152"/>
      <c r="S437" s="152"/>
      <c r="T437" s="152"/>
      <c r="U437" s="152"/>
      <c r="V437" s="152">
        <v>0</v>
      </c>
      <c r="W437" s="152">
        <v>0</v>
      </c>
      <c r="X437" s="152"/>
      <c r="Y437" s="152"/>
      <c r="Z437" s="152"/>
      <c r="AA437" s="152">
        <v>0</v>
      </c>
      <c r="AB437" s="152"/>
      <c r="AC437" s="152"/>
      <c r="AD437" s="152"/>
      <c r="AE437" s="152"/>
      <c r="AF437" s="152">
        <v>0</v>
      </c>
      <c r="AG437" s="152">
        <v>0</v>
      </c>
      <c r="AH437" s="152"/>
      <c r="AI437" s="152"/>
      <c r="AJ437" s="152"/>
      <c r="AK437" s="152">
        <v>0</v>
      </c>
      <c r="AL437" s="152"/>
      <c r="AM437" s="152"/>
      <c r="AN437" s="152"/>
      <c r="AO437" s="152"/>
      <c r="AP437" s="152">
        <v>0</v>
      </c>
      <c r="AQ437" s="152">
        <v>0</v>
      </c>
      <c r="AR437" s="152">
        <v>1</v>
      </c>
      <c r="AS437" s="152"/>
      <c r="AT437" s="152"/>
      <c r="AU437" s="152">
        <v>1</v>
      </c>
      <c r="AV437" s="152">
        <v>1</v>
      </c>
      <c r="AW437" s="152"/>
      <c r="AX437" s="152"/>
      <c r="AY437" s="152"/>
      <c r="AZ437" s="152">
        <v>1</v>
      </c>
      <c r="BA437" s="152">
        <v>2</v>
      </c>
      <c r="BB437" s="152"/>
      <c r="BC437" s="152"/>
      <c r="BD437" s="152">
        <v>0</v>
      </c>
      <c r="BE437" s="152"/>
      <c r="BF437" s="152"/>
      <c r="BG437" s="152"/>
      <c r="BH437" s="152"/>
      <c r="BI437" s="152">
        <v>0</v>
      </c>
      <c r="BJ437" s="152">
        <v>0</v>
      </c>
      <c r="BK437" s="152"/>
      <c r="BL437" s="152"/>
      <c r="BM437" s="152"/>
      <c r="BN437" s="152">
        <v>0</v>
      </c>
      <c r="BO437" s="152">
        <v>0</v>
      </c>
      <c r="BP437" s="152">
        <v>9</v>
      </c>
    </row>
    <row r="438" spans="1:68" x14ac:dyDescent="0.35">
      <c r="A438" s="146" t="s">
        <v>1088</v>
      </c>
      <c r="B438" s="146" t="s">
        <v>1089</v>
      </c>
      <c r="C438" s="152">
        <v>3</v>
      </c>
      <c r="D438" s="152"/>
      <c r="E438" s="152"/>
      <c r="F438" s="152"/>
      <c r="G438" s="152">
        <v>3</v>
      </c>
      <c r="H438" s="152">
        <v>6</v>
      </c>
      <c r="I438" s="152"/>
      <c r="J438" s="152"/>
      <c r="K438" s="152"/>
      <c r="L438" s="152">
        <v>6</v>
      </c>
      <c r="M438" s="152">
        <v>9</v>
      </c>
      <c r="N438" s="152"/>
      <c r="O438" s="152"/>
      <c r="P438" s="152"/>
      <c r="Q438" s="152">
        <v>0</v>
      </c>
      <c r="R438" s="152"/>
      <c r="S438" s="152"/>
      <c r="T438" s="152"/>
      <c r="U438" s="152"/>
      <c r="V438" s="152">
        <v>0</v>
      </c>
      <c r="W438" s="152">
        <v>0</v>
      </c>
      <c r="X438" s="152"/>
      <c r="Y438" s="152"/>
      <c r="Z438" s="152"/>
      <c r="AA438" s="152">
        <v>0</v>
      </c>
      <c r="AB438" s="152"/>
      <c r="AC438" s="152"/>
      <c r="AD438" s="152"/>
      <c r="AE438" s="152"/>
      <c r="AF438" s="152">
        <v>0</v>
      </c>
      <c r="AG438" s="152">
        <v>0</v>
      </c>
      <c r="AH438" s="152"/>
      <c r="AI438" s="152"/>
      <c r="AJ438" s="152"/>
      <c r="AK438" s="152">
        <v>0</v>
      </c>
      <c r="AL438" s="152"/>
      <c r="AM438" s="152"/>
      <c r="AN438" s="152"/>
      <c r="AO438" s="152"/>
      <c r="AP438" s="152">
        <v>0</v>
      </c>
      <c r="AQ438" s="152">
        <v>0</v>
      </c>
      <c r="AR438" s="152"/>
      <c r="AS438" s="152"/>
      <c r="AT438" s="152"/>
      <c r="AU438" s="152">
        <v>0</v>
      </c>
      <c r="AV438" s="152"/>
      <c r="AW438" s="152"/>
      <c r="AX438" s="152"/>
      <c r="AY438" s="152"/>
      <c r="AZ438" s="152">
        <v>0</v>
      </c>
      <c r="BA438" s="152">
        <v>0</v>
      </c>
      <c r="BB438" s="152"/>
      <c r="BC438" s="152"/>
      <c r="BD438" s="152">
        <v>0</v>
      </c>
      <c r="BE438" s="152"/>
      <c r="BF438" s="152"/>
      <c r="BG438" s="152"/>
      <c r="BH438" s="152"/>
      <c r="BI438" s="152">
        <v>0</v>
      </c>
      <c r="BJ438" s="152">
        <v>0</v>
      </c>
      <c r="BK438" s="152"/>
      <c r="BL438" s="152"/>
      <c r="BM438" s="152"/>
      <c r="BN438" s="152">
        <v>0</v>
      </c>
      <c r="BO438" s="152">
        <v>0</v>
      </c>
      <c r="BP438" s="152">
        <v>9</v>
      </c>
    </row>
    <row r="439" spans="1:68" x14ac:dyDescent="0.35">
      <c r="A439" s="146" t="s">
        <v>1202</v>
      </c>
      <c r="B439" s="146" t="s">
        <v>1273</v>
      </c>
      <c r="C439" s="152">
        <v>4</v>
      </c>
      <c r="D439" s="152"/>
      <c r="E439" s="152"/>
      <c r="F439" s="152"/>
      <c r="G439" s="152">
        <v>4</v>
      </c>
      <c r="H439" s="152">
        <v>1</v>
      </c>
      <c r="I439" s="152"/>
      <c r="J439" s="152"/>
      <c r="K439" s="152"/>
      <c r="L439" s="152">
        <v>1</v>
      </c>
      <c r="M439" s="152">
        <v>5</v>
      </c>
      <c r="N439" s="152"/>
      <c r="O439" s="152"/>
      <c r="P439" s="152"/>
      <c r="Q439" s="152">
        <v>0</v>
      </c>
      <c r="R439" s="152"/>
      <c r="S439" s="152"/>
      <c r="T439" s="152"/>
      <c r="U439" s="152"/>
      <c r="V439" s="152">
        <v>0</v>
      </c>
      <c r="W439" s="152">
        <v>0</v>
      </c>
      <c r="X439" s="152"/>
      <c r="Y439" s="152"/>
      <c r="Z439" s="152"/>
      <c r="AA439" s="152">
        <v>0</v>
      </c>
      <c r="AB439" s="152"/>
      <c r="AC439" s="152"/>
      <c r="AD439" s="152"/>
      <c r="AE439" s="152"/>
      <c r="AF439" s="152">
        <v>0</v>
      </c>
      <c r="AG439" s="152">
        <v>0</v>
      </c>
      <c r="AH439" s="152">
        <v>1</v>
      </c>
      <c r="AI439" s="152"/>
      <c r="AJ439" s="152"/>
      <c r="AK439" s="152">
        <v>1</v>
      </c>
      <c r="AL439" s="152"/>
      <c r="AM439" s="152"/>
      <c r="AN439" s="152"/>
      <c r="AO439" s="152"/>
      <c r="AP439" s="152">
        <v>0</v>
      </c>
      <c r="AQ439" s="152">
        <v>1</v>
      </c>
      <c r="AR439" s="152"/>
      <c r="AS439" s="152"/>
      <c r="AT439" s="152"/>
      <c r="AU439" s="152">
        <v>0</v>
      </c>
      <c r="AV439" s="152">
        <v>1</v>
      </c>
      <c r="AW439" s="152"/>
      <c r="AX439" s="152"/>
      <c r="AY439" s="152"/>
      <c r="AZ439" s="152">
        <v>1</v>
      </c>
      <c r="BA439" s="152">
        <v>1</v>
      </c>
      <c r="BB439" s="152"/>
      <c r="BC439" s="152"/>
      <c r="BD439" s="152">
        <v>0</v>
      </c>
      <c r="BE439" s="152"/>
      <c r="BF439" s="152"/>
      <c r="BG439" s="152"/>
      <c r="BH439" s="152"/>
      <c r="BI439" s="152">
        <v>0</v>
      </c>
      <c r="BJ439" s="152">
        <v>0</v>
      </c>
      <c r="BK439" s="152"/>
      <c r="BL439" s="152"/>
      <c r="BM439" s="152"/>
      <c r="BN439" s="152">
        <v>0</v>
      </c>
      <c r="BO439" s="152">
        <v>0</v>
      </c>
      <c r="BP439" s="152">
        <v>7</v>
      </c>
    </row>
    <row r="440" spans="1:68" x14ac:dyDescent="0.35">
      <c r="A440" s="146" t="s">
        <v>1203</v>
      </c>
      <c r="B440" s="146" t="s">
        <v>1274</v>
      </c>
      <c r="C440" s="152">
        <v>1</v>
      </c>
      <c r="D440" s="152"/>
      <c r="E440" s="152"/>
      <c r="F440" s="152"/>
      <c r="G440" s="152">
        <v>1</v>
      </c>
      <c r="H440" s="152">
        <v>5</v>
      </c>
      <c r="I440" s="152">
        <v>1</v>
      </c>
      <c r="J440" s="152"/>
      <c r="K440" s="152"/>
      <c r="L440" s="152">
        <v>6</v>
      </c>
      <c r="M440" s="152">
        <v>7</v>
      </c>
      <c r="N440" s="152"/>
      <c r="O440" s="152"/>
      <c r="P440" s="152"/>
      <c r="Q440" s="152">
        <v>0</v>
      </c>
      <c r="R440" s="152"/>
      <c r="S440" s="152"/>
      <c r="T440" s="152"/>
      <c r="U440" s="152"/>
      <c r="V440" s="152">
        <v>0</v>
      </c>
      <c r="W440" s="152">
        <v>0</v>
      </c>
      <c r="X440" s="152"/>
      <c r="Y440" s="152"/>
      <c r="Z440" s="152"/>
      <c r="AA440" s="152">
        <v>0</v>
      </c>
      <c r="AB440" s="152"/>
      <c r="AC440" s="152"/>
      <c r="AD440" s="152"/>
      <c r="AE440" s="152"/>
      <c r="AF440" s="152">
        <v>0</v>
      </c>
      <c r="AG440" s="152">
        <v>0</v>
      </c>
      <c r="AH440" s="152"/>
      <c r="AI440" s="152"/>
      <c r="AJ440" s="152"/>
      <c r="AK440" s="152">
        <v>0</v>
      </c>
      <c r="AL440" s="152"/>
      <c r="AM440" s="152"/>
      <c r="AN440" s="152"/>
      <c r="AO440" s="152"/>
      <c r="AP440" s="152">
        <v>0</v>
      </c>
      <c r="AQ440" s="152">
        <v>0</v>
      </c>
      <c r="AR440" s="152">
        <v>1</v>
      </c>
      <c r="AS440" s="152"/>
      <c r="AT440" s="152"/>
      <c r="AU440" s="152">
        <v>1</v>
      </c>
      <c r="AV440" s="152"/>
      <c r="AW440" s="152"/>
      <c r="AX440" s="152"/>
      <c r="AY440" s="152"/>
      <c r="AZ440" s="152">
        <v>0</v>
      </c>
      <c r="BA440" s="152">
        <v>1</v>
      </c>
      <c r="BB440" s="152"/>
      <c r="BC440" s="152"/>
      <c r="BD440" s="152">
        <v>0</v>
      </c>
      <c r="BE440" s="152"/>
      <c r="BF440" s="152"/>
      <c r="BG440" s="152"/>
      <c r="BH440" s="152"/>
      <c r="BI440" s="152">
        <v>0</v>
      </c>
      <c r="BJ440" s="152">
        <v>0</v>
      </c>
      <c r="BK440" s="152"/>
      <c r="BL440" s="152"/>
      <c r="BM440" s="152"/>
      <c r="BN440" s="152">
        <v>0</v>
      </c>
      <c r="BO440" s="152">
        <v>0</v>
      </c>
      <c r="BP440" s="152">
        <v>8</v>
      </c>
    </row>
    <row r="441" spans="1:68" x14ac:dyDescent="0.35">
      <c r="A441" s="146" t="s">
        <v>1090</v>
      </c>
      <c r="B441" s="146" t="s">
        <v>1091</v>
      </c>
      <c r="C441" s="152">
        <v>3</v>
      </c>
      <c r="D441" s="152"/>
      <c r="E441" s="152"/>
      <c r="F441" s="152"/>
      <c r="G441" s="152">
        <v>3</v>
      </c>
      <c r="H441" s="152">
        <v>7</v>
      </c>
      <c r="I441" s="152"/>
      <c r="J441" s="152"/>
      <c r="K441" s="152"/>
      <c r="L441" s="152">
        <v>7</v>
      </c>
      <c r="M441" s="152">
        <v>10</v>
      </c>
      <c r="N441" s="152"/>
      <c r="O441" s="152"/>
      <c r="P441" s="152"/>
      <c r="Q441" s="152">
        <v>0</v>
      </c>
      <c r="R441" s="152"/>
      <c r="S441" s="152"/>
      <c r="T441" s="152"/>
      <c r="U441" s="152"/>
      <c r="V441" s="152">
        <v>0</v>
      </c>
      <c r="W441" s="152">
        <v>0</v>
      </c>
      <c r="X441" s="152"/>
      <c r="Y441" s="152"/>
      <c r="Z441" s="152"/>
      <c r="AA441" s="152">
        <v>0</v>
      </c>
      <c r="AB441" s="152"/>
      <c r="AC441" s="152"/>
      <c r="AD441" s="152"/>
      <c r="AE441" s="152"/>
      <c r="AF441" s="152">
        <v>0</v>
      </c>
      <c r="AG441" s="152">
        <v>0</v>
      </c>
      <c r="AH441" s="152"/>
      <c r="AI441" s="152"/>
      <c r="AJ441" s="152"/>
      <c r="AK441" s="152">
        <v>0</v>
      </c>
      <c r="AL441" s="152"/>
      <c r="AM441" s="152"/>
      <c r="AN441" s="152"/>
      <c r="AO441" s="152"/>
      <c r="AP441" s="152">
        <v>0</v>
      </c>
      <c r="AQ441" s="152">
        <v>0</v>
      </c>
      <c r="AR441" s="152"/>
      <c r="AS441" s="152"/>
      <c r="AT441" s="152"/>
      <c r="AU441" s="152">
        <v>0</v>
      </c>
      <c r="AV441" s="152"/>
      <c r="AW441" s="152"/>
      <c r="AX441" s="152"/>
      <c r="AY441" s="152"/>
      <c r="AZ441" s="152">
        <v>0</v>
      </c>
      <c r="BA441" s="152">
        <v>0</v>
      </c>
      <c r="BB441" s="152"/>
      <c r="BC441" s="152"/>
      <c r="BD441" s="152">
        <v>0</v>
      </c>
      <c r="BE441" s="152"/>
      <c r="BF441" s="152"/>
      <c r="BG441" s="152"/>
      <c r="BH441" s="152"/>
      <c r="BI441" s="152">
        <v>0</v>
      </c>
      <c r="BJ441" s="152">
        <v>0</v>
      </c>
      <c r="BK441" s="152"/>
      <c r="BL441" s="152"/>
      <c r="BM441" s="152"/>
      <c r="BN441" s="152">
        <v>0</v>
      </c>
      <c r="BO441" s="152">
        <v>0</v>
      </c>
      <c r="BP441" s="152">
        <v>10</v>
      </c>
    </row>
    <row r="442" spans="1:68" x14ac:dyDescent="0.35">
      <c r="A442" s="146" t="s">
        <v>1092</v>
      </c>
      <c r="B442" s="146" t="s">
        <v>1093</v>
      </c>
      <c r="C442" s="152">
        <v>43</v>
      </c>
      <c r="D442" s="152"/>
      <c r="E442" s="152"/>
      <c r="F442" s="152"/>
      <c r="G442" s="152">
        <v>43</v>
      </c>
      <c r="H442" s="152">
        <v>44</v>
      </c>
      <c r="I442" s="152">
        <v>6</v>
      </c>
      <c r="J442" s="152">
        <v>1</v>
      </c>
      <c r="K442" s="152"/>
      <c r="L442" s="152">
        <v>51</v>
      </c>
      <c r="M442" s="152">
        <v>94</v>
      </c>
      <c r="N442" s="152"/>
      <c r="O442" s="152"/>
      <c r="P442" s="152"/>
      <c r="Q442" s="152">
        <v>0</v>
      </c>
      <c r="R442" s="152">
        <v>2</v>
      </c>
      <c r="S442" s="152"/>
      <c r="T442" s="152"/>
      <c r="U442" s="152"/>
      <c r="V442" s="152">
        <v>2</v>
      </c>
      <c r="W442" s="152">
        <v>2</v>
      </c>
      <c r="X442" s="152"/>
      <c r="Y442" s="152"/>
      <c r="Z442" s="152"/>
      <c r="AA442" s="152">
        <v>0</v>
      </c>
      <c r="AB442" s="152"/>
      <c r="AC442" s="152"/>
      <c r="AD442" s="152"/>
      <c r="AE442" s="152"/>
      <c r="AF442" s="152">
        <v>0</v>
      </c>
      <c r="AG442" s="152">
        <v>0</v>
      </c>
      <c r="AH442" s="152">
        <v>1</v>
      </c>
      <c r="AI442" s="152"/>
      <c r="AJ442" s="152"/>
      <c r="AK442" s="152">
        <v>1</v>
      </c>
      <c r="AL442" s="152"/>
      <c r="AM442" s="152"/>
      <c r="AN442" s="152"/>
      <c r="AO442" s="152"/>
      <c r="AP442" s="152">
        <v>0</v>
      </c>
      <c r="AQ442" s="152">
        <v>1</v>
      </c>
      <c r="AR442" s="152">
        <v>4</v>
      </c>
      <c r="AS442" s="152"/>
      <c r="AT442" s="152"/>
      <c r="AU442" s="152">
        <v>4</v>
      </c>
      <c r="AV442" s="152">
        <v>2</v>
      </c>
      <c r="AW442" s="152">
        <v>1</v>
      </c>
      <c r="AX442" s="152"/>
      <c r="AY442" s="152"/>
      <c r="AZ442" s="152">
        <v>3</v>
      </c>
      <c r="BA442" s="152">
        <v>7</v>
      </c>
      <c r="BB442" s="152">
        <v>1</v>
      </c>
      <c r="BC442" s="152"/>
      <c r="BD442" s="152">
        <v>1</v>
      </c>
      <c r="BE442" s="152"/>
      <c r="BF442" s="152"/>
      <c r="BG442" s="152"/>
      <c r="BH442" s="152"/>
      <c r="BI442" s="152">
        <v>0</v>
      </c>
      <c r="BJ442" s="152">
        <v>1</v>
      </c>
      <c r="BK442" s="152"/>
      <c r="BL442" s="152"/>
      <c r="BM442" s="152"/>
      <c r="BN442" s="152">
        <v>0</v>
      </c>
      <c r="BO442" s="152">
        <v>0</v>
      </c>
      <c r="BP442" s="152">
        <v>105</v>
      </c>
    </row>
    <row r="443" spans="1:68" x14ac:dyDescent="0.35">
      <c r="A443" s="146" t="s">
        <v>1094</v>
      </c>
      <c r="B443" s="146" t="s">
        <v>1095</v>
      </c>
      <c r="C443" s="152">
        <v>1</v>
      </c>
      <c r="D443" s="152"/>
      <c r="E443" s="152"/>
      <c r="F443" s="152"/>
      <c r="G443" s="152">
        <v>1</v>
      </c>
      <c r="H443" s="152">
        <v>5</v>
      </c>
      <c r="I443" s="152">
        <v>1</v>
      </c>
      <c r="J443" s="152"/>
      <c r="K443" s="152"/>
      <c r="L443" s="152">
        <v>6</v>
      </c>
      <c r="M443" s="152">
        <v>7</v>
      </c>
      <c r="N443" s="152"/>
      <c r="O443" s="152"/>
      <c r="P443" s="152"/>
      <c r="Q443" s="152">
        <v>0</v>
      </c>
      <c r="R443" s="152">
        <v>1</v>
      </c>
      <c r="S443" s="152"/>
      <c r="T443" s="152"/>
      <c r="U443" s="152"/>
      <c r="V443" s="152">
        <v>1</v>
      </c>
      <c r="W443" s="152">
        <v>1</v>
      </c>
      <c r="X443" s="152"/>
      <c r="Y443" s="152"/>
      <c r="Z443" s="152"/>
      <c r="AA443" s="152">
        <v>0</v>
      </c>
      <c r="AB443" s="152"/>
      <c r="AC443" s="152"/>
      <c r="AD443" s="152"/>
      <c r="AE443" s="152"/>
      <c r="AF443" s="152">
        <v>0</v>
      </c>
      <c r="AG443" s="152">
        <v>0</v>
      </c>
      <c r="AH443" s="152"/>
      <c r="AI443" s="152"/>
      <c r="AJ443" s="152"/>
      <c r="AK443" s="152">
        <v>0</v>
      </c>
      <c r="AL443" s="152"/>
      <c r="AM443" s="152"/>
      <c r="AN443" s="152"/>
      <c r="AO443" s="152"/>
      <c r="AP443" s="152">
        <v>0</v>
      </c>
      <c r="AQ443" s="152">
        <v>0</v>
      </c>
      <c r="AR443" s="152"/>
      <c r="AS443" s="152"/>
      <c r="AT443" s="152"/>
      <c r="AU443" s="152">
        <v>0</v>
      </c>
      <c r="AV443" s="152"/>
      <c r="AW443" s="152"/>
      <c r="AX443" s="152"/>
      <c r="AY443" s="152"/>
      <c r="AZ443" s="152">
        <v>0</v>
      </c>
      <c r="BA443" s="152">
        <v>0</v>
      </c>
      <c r="BB443" s="152"/>
      <c r="BC443" s="152"/>
      <c r="BD443" s="152">
        <v>0</v>
      </c>
      <c r="BE443" s="152"/>
      <c r="BF443" s="152"/>
      <c r="BG443" s="152"/>
      <c r="BH443" s="152"/>
      <c r="BI443" s="152">
        <v>0</v>
      </c>
      <c r="BJ443" s="152">
        <v>0</v>
      </c>
      <c r="BK443" s="152"/>
      <c r="BL443" s="152"/>
      <c r="BM443" s="152"/>
      <c r="BN443" s="152">
        <v>0</v>
      </c>
      <c r="BO443" s="152">
        <v>0</v>
      </c>
      <c r="BP443" s="152">
        <v>8</v>
      </c>
    </row>
    <row r="444" spans="1:68" x14ac:dyDescent="0.35">
      <c r="A444" s="146" t="s">
        <v>1096</v>
      </c>
      <c r="B444" s="146" t="s">
        <v>1097</v>
      </c>
      <c r="C444" s="152">
        <v>41</v>
      </c>
      <c r="D444" s="152">
        <v>1</v>
      </c>
      <c r="E444" s="152"/>
      <c r="F444" s="152"/>
      <c r="G444" s="152">
        <v>42</v>
      </c>
      <c r="H444" s="152">
        <v>218</v>
      </c>
      <c r="I444" s="152">
        <v>17</v>
      </c>
      <c r="J444" s="152"/>
      <c r="K444" s="152"/>
      <c r="L444" s="152">
        <v>235</v>
      </c>
      <c r="M444" s="152">
        <v>277</v>
      </c>
      <c r="N444" s="152">
        <v>3</v>
      </c>
      <c r="O444" s="152"/>
      <c r="P444" s="152"/>
      <c r="Q444" s="152">
        <v>3</v>
      </c>
      <c r="R444" s="152">
        <v>3</v>
      </c>
      <c r="S444" s="152"/>
      <c r="T444" s="152"/>
      <c r="U444" s="152"/>
      <c r="V444" s="152">
        <v>3</v>
      </c>
      <c r="W444" s="152">
        <v>6</v>
      </c>
      <c r="X444" s="152">
        <v>2</v>
      </c>
      <c r="Y444" s="152"/>
      <c r="Z444" s="152"/>
      <c r="AA444" s="152">
        <v>2</v>
      </c>
      <c r="AB444" s="152"/>
      <c r="AC444" s="152"/>
      <c r="AD444" s="152"/>
      <c r="AE444" s="152"/>
      <c r="AF444" s="152">
        <v>0</v>
      </c>
      <c r="AG444" s="152">
        <v>2</v>
      </c>
      <c r="AH444" s="152">
        <v>1</v>
      </c>
      <c r="AI444" s="152"/>
      <c r="AJ444" s="152"/>
      <c r="AK444" s="152">
        <v>1</v>
      </c>
      <c r="AL444" s="152"/>
      <c r="AM444" s="152"/>
      <c r="AN444" s="152"/>
      <c r="AO444" s="152"/>
      <c r="AP444" s="152">
        <v>0</v>
      </c>
      <c r="AQ444" s="152">
        <v>1</v>
      </c>
      <c r="AR444" s="152">
        <v>11</v>
      </c>
      <c r="AS444" s="152"/>
      <c r="AT444" s="152"/>
      <c r="AU444" s="152">
        <v>11</v>
      </c>
      <c r="AV444" s="152">
        <v>13</v>
      </c>
      <c r="AW444" s="152"/>
      <c r="AX444" s="152"/>
      <c r="AY444" s="152"/>
      <c r="AZ444" s="152">
        <v>13</v>
      </c>
      <c r="BA444" s="152">
        <v>24</v>
      </c>
      <c r="BB444" s="152">
        <v>1</v>
      </c>
      <c r="BC444" s="152"/>
      <c r="BD444" s="152">
        <v>1</v>
      </c>
      <c r="BE444" s="152">
        <v>1</v>
      </c>
      <c r="BF444" s="152"/>
      <c r="BG444" s="152"/>
      <c r="BH444" s="152"/>
      <c r="BI444" s="152">
        <v>1</v>
      </c>
      <c r="BJ444" s="152">
        <v>2</v>
      </c>
      <c r="BK444" s="152"/>
      <c r="BL444" s="152"/>
      <c r="BM444" s="152"/>
      <c r="BN444" s="152">
        <v>0</v>
      </c>
      <c r="BO444" s="152">
        <v>0</v>
      </c>
      <c r="BP444" s="152">
        <v>312</v>
      </c>
    </row>
    <row r="445" spans="1:68" x14ac:dyDescent="0.35">
      <c r="A445" s="146" t="s">
        <v>1098</v>
      </c>
      <c r="B445" s="146" t="s">
        <v>1099</v>
      </c>
      <c r="C445" s="152">
        <v>27</v>
      </c>
      <c r="D445" s="152"/>
      <c r="E445" s="152"/>
      <c r="F445" s="152"/>
      <c r="G445" s="152">
        <v>27</v>
      </c>
      <c r="H445" s="152">
        <v>18</v>
      </c>
      <c r="I445" s="152">
        <v>2</v>
      </c>
      <c r="J445" s="152"/>
      <c r="K445" s="152"/>
      <c r="L445" s="152">
        <v>20</v>
      </c>
      <c r="M445" s="152">
        <v>47</v>
      </c>
      <c r="N445" s="152"/>
      <c r="O445" s="152"/>
      <c r="P445" s="152"/>
      <c r="Q445" s="152">
        <v>0</v>
      </c>
      <c r="R445" s="152"/>
      <c r="S445" s="152"/>
      <c r="T445" s="152"/>
      <c r="U445" s="152"/>
      <c r="V445" s="152">
        <v>0</v>
      </c>
      <c r="W445" s="152">
        <v>0</v>
      </c>
      <c r="X445" s="152">
        <v>2</v>
      </c>
      <c r="Y445" s="152"/>
      <c r="Z445" s="152"/>
      <c r="AA445" s="152">
        <v>2</v>
      </c>
      <c r="AB445" s="152"/>
      <c r="AC445" s="152"/>
      <c r="AD445" s="152"/>
      <c r="AE445" s="152"/>
      <c r="AF445" s="152">
        <v>0</v>
      </c>
      <c r="AG445" s="152">
        <v>2</v>
      </c>
      <c r="AH445" s="152">
        <v>1</v>
      </c>
      <c r="AI445" s="152"/>
      <c r="AJ445" s="152"/>
      <c r="AK445" s="152">
        <v>1</v>
      </c>
      <c r="AL445" s="152"/>
      <c r="AM445" s="152"/>
      <c r="AN445" s="152"/>
      <c r="AO445" s="152"/>
      <c r="AP445" s="152">
        <v>0</v>
      </c>
      <c r="AQ445" s="152">
        <v>1</v>
      </c>
      <c r="AR445" s="152">
        <v>5</v>
      </c>
      <c r="AS445" s="152"/>
      <c r="AT445" s="152"/>
      <c r="AU445" s="152">
        <v>5</v>
      </c>
      <c r="AV445" s="152">
        <v>2</v>
      </c>
      <c r="AW445" s="152"/>
      <c r="AX445" s="152"/>
      <c r="AY445" s="152"/>
      <c r="AZ445" s="152">
        <v>2</v>
      </c>
      <c r="BA445" s="152">
        <v>7</v>
      </c>
      <c r="BB445" s="152"/>
      <c r="BC445" s="152"/>
      <c r="BD445" s="152">
        <v>0</v>
      </c>
      <c r="BE445" s="152"/>
      <c r="BF445" s="152"/>
      <c r="BG445" s="152"/>
      <c r="BH445" s="152"/>
      <c r="BI445" s="152">
        <v>0</v>
      </c>
      <c r="BJ445" s="152">
        <v>0</v>
      </c>
      <c r="BK445" s="152"/>
      <c r="BL445" s="152"/>
      <c r="BM445" s="152"/>
      <c r="BN445" s="152">
        <v>0</v>
      </c>
      <c r="BO445" s="152">
        <v>0</v>
      </c>
      <c r="BP445" s="152">
        <v>57</v>
      </c>
    </row>
    <row r="446" spans="1:68" x14ac:dyDescent="0.35">
      <c r="A446" s="146" t="s">
        <v>1100</v>
      </c>
      <c r="B446" s="146" t="s">
        <v>1101</v>
      </c>
      <c r="C446" s="152">
        <v>6</v>
      </c>
      <c r="D446" s="152"/>
      <c r="E446" s="152"/>
      <c r="F446" s="152"/>
      <c r="G446" s="152">
        <v>6</v>
      </c>
      <c r="H446" s="152">
        <v>12</v>
      </c>
      <c r="I446" s="152">
        <v>2</v>
      </c>
      <c r="J446" s="152">
        <v>1</v>
      </c>
      <c r="K446" s="152"/>
      <c r="L446" s="152">
        <v>15</v>
      </c>
      <c r="M446" s="152">
        <v>21</v>
      </c>
      <c r="N446" s="152"/>
      <c r="O446" s="152"/>
      <c r="P446" s="152"/>
      <c r="Q446" s="152">
        <v>0</v>
      </c>
      <c r="R446" s="152"/>
      <c r="S446" s="152"/>
      <c r="T446" s="152"/>
      <c r="U446" s="152"/>
      <c r="V446" s="152">
        <v>0</v>
      </c>
      <c r="W446" s="152">
        <v>0</v>
      </c>
      <c r="X446" s="152"/>
      <c r="Y446" s="152"/>
      <c r="Z446" s="152"/>
      <c r="AA446" s="152">
        <v>0</v>
      </c>
      <c r="AB446" s="152"/>
      <c r="AC446" s="152"/>
      <c r="AD446" s="152"/>
      <c r="AE446" s="152"/>
      <c r="AF446" s="152">
        <v>0</v>
      </c>
      <c r="AG446" s="152">
        <v>0</v>
      </c>
      <c r="AH446" s="152"/>
      <c r="AI446" s="152"/>
      <c r="AJ446" s="152"/>
      <c r="AK446" s="152">
        <v>0</v>
      </c>
      <c r="AL446" s="152"/>
      <c r="AM446" s="152"/>
      <c r="AN446" s="152"/>
      <c r="AO446" s="152"/>
      <c r="AP446" s="152">
        <v>0</v>
      </c>
      <c r="AQ446" s="152">
        <v>0</v>
      </c>
      <c r="AR446" s="152">
        <v>2</v>
      </c>
      <c r="AS446" s="152"/>
      <c r="AT446" s="152"/>
      <c r="AU446" s="152">
        <v>2</v>
      </c>
      <c r="AV446" s="152"/>
      <c r="AW446" s="152"/>
      <c r="AX446" s="152"/>
      <c r="AY446" s="152"/>
      <c r="AZ446" s="152">
        <v>0</v>
      </c>
      <c r="BA446" s="152">
        <v>2</v>
      </c>
      <c r="BB446" s="152"/>
      <c r="BC446" s="152"/>
      <c r="BD446" s="152">
        <v>0</v>
      </c>
      <c r="BE446" s="152"/>
      <c r="BF446" s="152"/>
      <c r="BG446" s="152"/>
      <c r="BH446" s="152"/>
      <c r="BI446" s="152">
        <v>0</v>
      </c>
      <c r="BJ446" s="152">
        <v>0</v>
      </c>
      <c r="BK446" s="152"/>
      <c r="BL446" s="152"/>
      <c r="BM446" s="152"/>
      <c r="BN446" s="152">
        <v>0</v>
      </c>
      <c r="BO446" s="152">
        <v>0</v>
      </c>
      <c r="BP446" s="152">
        <v>23</v>
      </c>
    </row>
    <row r="447" spans="1:68" x14ac:dyDescent="0.35">
      <c r="A447" s="146" t="s">
        <v>1102</v>
      </c>
      <c r="B447" s="146" t="s">
        <v>1103</v>
      </c>
      <c r="C447" s="152">
        <v>108</v>
      </c>
      <c r="D447" s="152">
        <v>1</v>
      </c>
      <c r="E447" s="152">
        <v>1</v>
      </c>
      <c r="F447" s="152"/>
      <c r="G447" s="152">
        <v>110</v>
      </c>
      <c r="H447" s="152">
        <v>202</v>
      </c>
      <c r="I447" s="152">
        <v>34</v>
      </c>
      <c r="J447" s="152">
        <v>7</v>
      </c>
      <c r="K447" s="152">
        <v>1</v>
      </c>
      <c r="L447" s="152">
        <v>244</v>
      </c>
      <c r="M447" s="152">
        <v>354</v>
      </c>
      <c r="N447" s="152">
        <v>1</v>
      </c>
      <c r="O447" s="152"/>
      <c r="P447" s="152"/>
      <c r="Q447" s="152">
        <v>1</v>
      </c>
      <c r="R447" s="152"/>
      <c r="S447" s="152"/>
      <c r="T447" s="152"/>
      <c r="U447" s="152"/>
      <c r="V447" s="152">
        <v>0</v>
      </c>
      <c r="W447" s="152">
        <v>1</v>
      </c>
      <c r="X447" s="152">
        <v>4</v>
      </c>
      <c r="Y447" s="152"/>
      <c r="Z447" s="152"/>
      <c r="AA447" s="152">
        <v>4</v>
      </c>
      <c r="AB447" s="152"/>
      <c r="AC447" s="152"/>
      <c r="AD447" s="152"/>
      <c r="AE447" s="152"/>
      <c r="AF447" s="152">
        <v>0</v>
      </c>
      <c r="AG447" s="152">
        <v>4</v>
      </c>
      <c r="AH447" s="152">
        <v>3</v>
      </c>
      <c r="AI447" s="152"/>
      <c r="AJ447" s="152"/>
      <c r="AK447" s="152">
        <v>3</v>
      </c>
      <c r="AL447" s="152">
        <v>2</v>
      </c>
      <c r="AM447" s="152"/>
      <c r="AN447" s="152"/>
      <c r="AO447" s="152"/>
      <c r="AP447" s="152">
        <v>2</v>
      </c>
      <c r="AQ447" s="152">
        <v>5</v>
      </c>
      <c r="AR447" s="152">
        <v>18</v>
      </c>
      <c r="AS447" s="152"/>
      <c r="AT447" s="152"/>
      <c r="AU447" s="152">
        <v>18</v>
      </c>
      <c r="AV447" s="152">
        <v>16</v>
      </c>
      <c r="AW447" s="152">
        <v>2</v>
      </c>
      <c r="AX447" s="152"/>
      <c r="AY447" s="152"/>
      <c r="AZ447" s="152">
        <v>18</v>
      </c>
      <c r="BA447" s="152">
        <v>36</v>
      </c>
      <c r="BB447" s="152">
        <v>1</v>
      </c>
      <c r="BC447" s="152"/>
      <c r="BD447" s="152">
        <v>1</v>
      </c>
      <c r="BE447" s="152">
        <v>1</v>
      </c>
      <c r="BF447" s="152"/>
      <c r="BG447" s="152"/>
      <c r="BH447" s="152"/>
      <c r="BI447" s="152">
        <v>1</v>
      </c>
      <c r="BJ447" s="152">
        <v>2</v>
      </c>
      <c r="BK447" s="152"/>
      <c r="BL447" s="152"/>
      <c r="BM447" s="152"/>
      <c r="BN447" s="152">
        <v>0</v>
      </c>
      <c r="BO447" s="152">
        <v>0</v>
      </c>
      <c r="BP447" s="152">
        <v>402</v>
      </c>
    </row>
    <row r="448" spans="1:68" x14ac:dyDescent="0.35">
      <c r="A448" s="146" t="s">
        <v>1104</v>
      </c>
      <c r="B448" s="146" t="s">
        <v>1275</v>
      </c>
      <c r="C448" s="152">
        <v>20</v>
      </c>
      <c r="D448" s="152"/>
      <c r="E448" s="152"/>
      <c r="F448" s="152"/>
      <c r="G448" s="152">
        <v>20</v>
      </c>
      <c r="H448" s="152">
        <v>29</v>
      </c>
      <c r="I448" s="152">
        <v>6</v>
      </c>
      <c r="J448" s="152">
        <v>1</v>
      </c>
      <c r="K448" s="152"/>
      <c r="L448" s="152">
        <v>36</v>
      </c>
      <c r="M448" s="152">
        <v>56</v>
      </c>
      <c r="N448" s="152">
        <v>1</v>
      </c>
      <c r="O448" s="152"/>
      <c r="P448" s="152"/>
      <c r="Q448" s="152">
        <v>1</v>
      </c>
      <c r="R448" s="152"/>
      <c r="S448" s="152"/>
      <c r="T448" s="152"/>
      <c r="U448" s="152"/>
      <c r="V448" s="152">
        <v>0</v>
      </c>
      <c r="W448" s="152">
        <v>1</v>
      </c>
      <c r="X448" s="152"/>
      <c r="Y448" s="152"/>
      <c r="Z448" s="152"/>
      <c r="AA448" s="152">
        <v>0</v>
      </c>
      <c r="AB448" s="152">
        <v>1</v>
      </c>
      <c r="AC448" s="152"/>
      <c r="AD448" s="152"/>
      <c r="AE448" s="152"/>
      <c r="AF448" s="152">
        <v>1</v>
      </c>
      <c r="AG448" s="152">
        <v>1</v>
      </c>
      <c r="AH448" s="152"/>
      <c r="AI448" s="152"/>
      <c r="AJ448" s="152"/>
      <c r="AK448" s="152">
        <v>0</v>
      </c>
      <c r="AL448" s="152"/>
      <c r="AM448" s="152"/>
      <c r="AN448" s="152"/>
      <c r="AO448" s="152"/>
      <c r="AP448" s="152">
        <v>0</v>
      </c>
      <c r="AQ448" s="152">
        <v>0</v>
      </c>
      <c r="AR448" s="152">
        <v>4</v>
      </c>
      <c r="AS448" s="152"/>
      <c r="AT448" s="152"/>
      <c r="AU448" s="152">
        <v>4</v>
      </c>
      <c r="AV448" s="152">
        <v>5</v>
      </c>
      <c r="AW448" s="152"/>
      <c r="AX448" s="152"/>
      <c r="AY448" s="152"/>
      <c r="AZ448" s="152">
        <v>5</v>
      </c>
      <c r="BA448" s="152">
        <v>9</v>
      </c>
      <c r="BB448" s="152"/>
      <c r="BC448" s="152"/>
      <c r="BD448" s="152">
        <v>0</v>
      </c>
      <c r="BE448" s="152"/>
      <c r="BF448" s="152"/>
      <c r="BG448" s="152"/>
      <c r="BH448" s="152"/>
      <c r="BI448" s="152">
        <v>0</v>
      </c>
      <c r="BJ448" s="152">
        <v>0</v>
      </c>
      <c r="BK448" s="152"/>
      <c r="BL448" s="152"/>
      <c r="BM448" s="152"/>
      <c r="BN448" s="152">
        <v>0</v>
      </c>
      <c r="BO448" s="152">
        <v>0</v>
      </c>
      <c r="BP448" s="152">
        <v>67</v>
      </c>
    </row>
    <row r="449" spans="1:68" x14ac:dyDescent="0.35">
      <c r="A449" s="146" t="s">
        <v>1105</v>
      </c>
      <c r="B449" s="146" t="s">
        <v>1106</v>
      </c>
      <c r="C449" s="152">
        <v>1</v>
      </c>
      <c r="D449" s="152"/>
      <c r="E449" s="152"/>
      <c r="F449" s="152"/>
      <c r="G449" s="152">
        <v>1</v>
      </c>
      <c r="H449" s="152">
        <v>7</v>
      </c>
      <c r="I449" s="152">
        <v>1</v>
      </c>
      <c r="J449" s="152"/>
      <c r="K449" s="152"/>
      <c r="L449" s="152">
        <v>8</v>
      </c>
      <c r="M449" s="152">
        <v>9</v>
      </c>
      <c r="N449" s="152"/>
      <c r="O449" s="152"/>
      <c r="P449" s="152"/>
      <c r="Q449" s="152">
        <v>0</v>
      </c>
      <c r="R449" s="152"/>
      <c r="S449" s="152"/>
      <c r="T449" s="152"/>
      <c r="U449" s="152"/>
      <c r="V449" s="152">
        <v>0</v>
      </c>
      <c r="W449" s="152">
        <v>0</v>
      </c>
      <c r="X449" s="152"/>
      <c r="Y449" s="152"/>
      <c r="Z449" s="152"/>
      <c r="AA449" s="152">
        <v>0</v>
      </c>
      <c r="AB449" s="152">
        <v>1</v>
      </c>
      <c r="AC449" s="152"/>
      <c r="AD449" s="152"/>
      <c r="AE449" s="152"/>
      <c r="AF449" s="152">
        <v>1</v>
      </c>
      <c r="AG449" s="152">
        <v>1</v>
      </c>
      <c r="AH449" s="152"/>
      <c r="AI449" s="152"/>
      <c r="AJ449" s="152"/>
      <c r="AK449" s="152">
        <v>0</v>
      </c>
      <c r="AL449" s="152"/>
      <c r="AM449" s="152"/>
      <c r="AN449" s="152"/>
      <c r="AO449" s="152"/>
      <c r="AP449" s="152">
        <v>0</v>
      </c>
      <c r="AQ449" s="152">
        <v>0</v>
      </c>
      <c r="AR449" s="152"/>
      <c r="AS449" s="152"/>
      <c r="AT449" s="152"/>
      <c r="AU449" s="152">
        <v>0</v>
      </c>
      <c r="AV449" s="152">
        <v>2</v>
      </c>
      <c r="AW449" s="152"/>
      <c r="AX449" s="152"/>
      <c r="AY449" s="152"/>
      <c r="AZ449" s="152">
        <v>2</v>
      </c>
      <c r="BA449" s="152">
        <v>2</v>
      </c>
      <c r="BB449" s="152"/>
      <c r="BC449" s="152"/>
      <c r="BD449" s="152">
        <v>0</v>
      </c>
      <c r="BE449" s="152"/>
      <c r="BF449" s="152"/>
      <c r="BG449" s="152"/>
      <c r="BH449" s="152"/>
      <c r="BI449" s="152">
        <v>0</v>
      </c>
      <c r="BJ449" s="152">
        <v>0</v>
      </c>
      <c r="BK449" s="152"/>
      <c r="BL449" s="152"/>
      <c r="BM449" s="152"/>
      <c r="BN449" s="152">
        <v>0</v>
      </c>
      <c r="BO449" s="152">
        <v>0</v>
      </c>
      <c r="BP449" s="152">
        <v>12</v>
      </c>
    </row>
    <row r="450" spans="1:68" x14ac:dyDescent="0.35">
      <c r="A450" s="146" t="s">
        <v>1107</v>
      </c>
      <c r="B450" s="146" t="s">
        <v>1108</v>
      </c>
      <c r="C450" s="152">
        <v>2</v>
      </c>
      <c r="D450" s="152"/>
      <c r="E450" s="152"/>
      <c r="F450" s="152"/>
      <c r="G450" s="152">
        <v>2</v>
      </c>
      <c r="H450" s="152">
        <v>3</v>
      </c>
      <c r="I450" s="152"/>
      <c r="J450" s="152"/>
      <c r="K450" s="152"/>
      <c r="L450" s="152">
        <v>3</v>
      </c>
      <c r="M450" s="152">
        <v>5</v>
      </c>
      <c r="N450" s="152"/>
      <c r="O450" s="152"/>
      <c r="P450" s="152"/>
      <c r="Q450" s="152">
        <v>0</v>
      </c>
      <c r="R450" s="152"/>
      <c r="S450" s="152"/>
      <c r="T450" s="152"/>
      <c r="U450" s="152"/>
      <c r="V450" s="152">
        <v>0</v>
      </c>
      <c r="W450" s="152">
        <v>0</v>
      </c>
      <c r="X450" s="152"/>
      <c r="Y450" s="152"/>
      <c r="Z450" s="152"/>
      <c r="AA450" s="152">
        <v>0</v>
      </c>
      <c r="AB450" s="152"/>
      <c r="AC450" s="152"/>
      <c r="AD450" s="152"/>
      <c r="AE450" s="152"/>
      <c r="AF450" s="152">
        <v>0</v>
      </c>
      <c r="AG450" s="152">
        <v>0</v>
      </c>
      <c r="AH450" s="152"/>
      <c r="AI450" s="152"/>
      <c r="AJ450" s="152"/>
      <c r="AK450" s="152">
        <v>0</v>
      </c>
      <c r="AL450" s="152"/>
      <c r="AM450" s="152"/>
      <c r="AN450" s="152"/>
      <c r="AO450" s="152"/>
      <c r="AP450" s="152">
        <v>0</v>
      </c>
      <c r="AQ450" s="152">
        <v>0</v>
      </c>
      <c r="AR450" s="152"/>
      <c r="AS450" s="152"/>
      <c r="AT450" s="152"/>
      <c r="AU450" s="152">
        <v>0</v>
      </c>
      <c r="AV450" s="152"/>
      <c r="AW450" s="152"/>
      <c r="AX450" s="152"/>
      <c r="AY450" s="152"/>
      <c r="AZ450" s="152">
        <v>0</v>
      </c>
      <c r="BA450" s="152">
        <v>0</v>
      </c>
      <c r="BB450" s="152"/>
      <c r="BC450" s="152"/>
      <c r="BD450" s="152">
        <v>0</v>
      </c>
      <c r="BE450" s="152"/>
      <c r="BF450" s="152"/>
      <c r="BG450" s="152"/>
      <c r="BH450" s="152"/>
      <c r="BI450" s="152">
        <v>0</v>
      </c>
      <c r="BJ450" s="152">
        <v>0</v>
      </c>
      <c r="BK450" s="152"/>
      <c r="BL450" s="152"/>
      <c r="BM450" s="152"/>
      <c r="BN450" s="152">
        <v>0</v>
      </c>
      <c r="BO450" s="152">
        <v>0</v>
      </c>
      <c r="BP450" s="152">
        <v>5</v>
      </c>
    </row>
    <row r="451" spans="1:68" x14ac:dyDescent="0.35">
      <c r="A451" s="146" t="s">
        <v>1109</v>
      </c>
      <c r="B451" s="146" t="s">
        <v>1110</v>
      </c>
      <c r="C451" s="152"/>
      <c r="D451" s="152"/>
      <c r="E451" s="152"/>
      <c r="F451" s="152"/>
      <c r="G451" s="152">
        <v>0</v>
      </c>
      <c r="H451" s="152">
        <v>5</v>
      </c>
      <c r="I451" s="152"/>
      <c r="J451" s="152"/>
      <c r="K451" s="152">
        <v>1</v>
      </c>
      <c r="L451" s="152">
        <v>6</v>
      </c>
      <c r="M451" s="152">
        <v>6</v>
      </c>
      <c r="N451" s="152"/>
      <c r="O451" s="152"/>
      <c r="P451" s="152"/>
      <c r="Q451" s="152">
        <v>0</v>
      </c>
      <c r="R451" s="152"/>
      <c r="S451" s="152"/>
      <c r="T451" s="152"/>
      <c r="U451" s="152"/>
      <c r="V451" s="152">
        <v>0</v>
      </c>
      <c r="W451" s="152">
        <v>0</v>
      </c>
      <c r="X451" s="152"/>
      <c r="Y451" s="152"/>
      <c r="Z451" s="152"/>
      <c r="AA451" s="152">
        <v>0</v>
      </c>
      <c r="AB451" s="152">
        <v>1</v>
      </c>
      <c r="AC451" s="152"/>
      <c r="AD451" s="152"/>
      <c r="AE451" s="152"/>
      <c r="AF451" s="152">
        <v>1</v>
      </c>
      <c r="AG451" s="152">
        <v>1</v>
      </c>
      <c r="AH451" s="152"/>
      <c r="AI451" s="152"/>
      <c r="AJ451" s="152"/>
      <c r="AK451" s="152">
        <v>0</v>
      </c>
      <c r="AL451" s="152"/>
      <c r="AM451" s="152"/>
      <c r="AN451" s="152"/>
      <c r="AO451" s="152"/>
      <c r="AP451" s="152">
        <v>0</v>
      </c>
      <c r="AQ451" s="152">
        <v>0</v>
      </c>
      <c r="AR451" s="152"/>
      <c r="AS451" s="152"/>
      <c r="AT451" s="152"/>
      <c r="AU451" s="152">
        <v>0</v>
      </c>
      <c r="AV451" s="152"/>
      <c r="AW451" s="152"/>
      <c r="AX451" s="152"/>
      <c r="AY451" s="152"/>
      <c r="AZ451" s="152">
        <v>0</v>
      </c>
      <c r="BA451" s="152">
        <v>0</v>
      </c>
      <c r="BB451" s="152"/>
      <c r="BC451" s="152"/>
      <c r="BD451" s="152">
        <v>0</v>
      </c>
      <c r="BE451" s="152"/>
      <c r="BF451" s="152"/>
      <c r="BG451" s="152"/>
      <c r="BH451" s="152"/>
      <c r="BI451" s="152">
        <v>0</v>
      </c>
      <c r="BJ451" s="152">
        <v>0</v>
      </c>
      <c r="BK451" s="152"/>
      <c r="BL451" s="152"/>
      <c r="BM451" s="152"/>
      <c r="BN451" s="152">
        <v>0</v>
      </c>
      <c r="BO451" s="152">
        <v>0</v>
      </c>
      <c r="BP451" s="152">
        <v>7</v>
      </c>
    </row>
    <row r="452" spans="1:68" x14ac:dyDescent="0.35">
      <c r="A452" s="146" t="s">
        <v>1111</v>
      </c>
      <c r="B452" s="146" t="s">
        <v>245</v>
      </c>
      <c r="C452" s="152">
        <v>400</v>
      </c>
      <c r="D452" s="152"/>
      <c r="E452" s="152"/>
      <c r="F452" s="152"/>
      <c r="G452" s="152">
        <v>400</v>
      </c>
      <c r="H452" s="152">
        <v>31</v>
      </c>
      <c r="I452" s="152">
        <v>45</v>
      </c>
      <c r="J452" s="152">
        <v>13</v>
      </c>
      <c r="K452" s="152">
        <v>2</v>
      </c>
      <c r="L452" s="152">
        <v>91</v>
      </c>
      <c r="M452" s="152">
        <v>491</v>
      </c>
      <c r="N452" s="152">
        <v>76</v>
      </c>
      <c r="O452" s="152"/>
      <c r="P452" s="152"/>
      <c r="Q452" s="152">
        <v>76</v>
      </c>
      <c r="R452" s="152">
        <v>1</v>
      </c>
      <c r="S452" s="152"/>
      <c r="T452" s="152"/>
      <c r="U452" s="152"/>
      <c r="V452" s="152">
        <v>1</v>
      </c>
      <c r="W452" s="152">
        <v>77</v>
      </c>
      <c r="X452" s="152">
        <v>58</v>
      </c>
      <c r="Y452" s="152"/>
      <c r="Z452" s="152"/>
      <c r="AA452" s="152">
        <v>58</v>
      </c>
      <c r="AB452" s="152">
        <v>2</v>
      </c>
      <c r="AC452" s="152"/>
      <c r="AD452" s="152"/>
      <c r="AE452" s="152"/>
      <c r="AF452" s="152">
        <v>2</v>
      </c>
      <c r="AG452" s="152">
        <v>60</v>
      </c>
      <c r="AH452" s="152">
        <v>16</v>
      </c>
      <c r="AI452" s="152"/>
      <c r="AJ452" s="152"/>
      <c r="AK452" s="152">
        <v>16</v>
      </c>
      <c r="AL452" s="152">
        <v>1</v>
      </c>
      <c r="AM452" s="152"/>
      <c r="AN452" s="152"/>
      <c r="AO452" s="152"/>
      <c r="AP452" s="152">
        <v>1</v>
      </c>
      <c r="AQ452" s="152">
        <v>17</v>
      </c>
      <c r="AR452" s="152">
        <v>104</v>
      </c>
      <c r="AS452" s="152"/>
      <c r="AT452" s="152"/>
      <c r="AU452" s="152">
        <v>104</v>
      </c>
      <c r="AV452" s="152">
        <v>7</v>
      </c>
      <c r="AW452" s="152">
        <v>9</v>
      </c>
      <c r="AX452" s="152"/>
      <c r="AY452" s="152"/>
      <c r="AZ452" s="152">
        <v>16</v>
      </c>
      <c r="BA452" s="152">
        <v>120</v>
      </c>
      <c r="BB452" s="152">
        <v>51</v>
      </c>
      <c r="BC452" s="152"/>
      <c r="BD452" s="152">
        <v>51</v>
      </c>
      <c r="BE452" s="152"/>
      <c r="BF452" s="152"/>
      <c r="BG452" s="152">
        <v>1</v>
      </c>
      <c r="BH452" s="152"/>
      <c r="BI452" s="152">
        <v>1</v>
      </c>
      <c r="BJ452" s="152">
        <v>52</v>
      </c>
      <c r="BK452" s="152"/>
      <c r="BL452" s="152"/>
      <c r="BM452" s="152"/>
      <c r="BN452" s="152">
        <v>0</v>
      </c>
      <c r="BO452" s="152">
        <v>0</v>
      </c>
      <c r="BP452" s="152">
        <v>817</v>
      </c>
    </row>
    <row r="453" spans="1:68" x14ac:dyDescent="0.35">
      <c r="A453" s="146" t="s">
        <v>1112</v>
      </c>
      <c r="B453" s="146" t="s">
        <v>1113</v>
      </c>
      <c r="C453" s="152">
        <v>86</v>
      </c>
      <c r="D453" s="152"/>
      <c r="E453" s="152"/>
      <c r="F453" s="152"/>
      <c r="G453" s="152">
        <v>86</v>
      </c>
      <c r="H453" s="152">
        <v>58</v>
      </c>
      <c r="I453" s="152">
        <v>6</v>
      </c>
      <c r="J453" s="152"/>
      <c r="K453" s="152">
        <v>1</v>
      </c>
      <c r="L453" s="152">
        <v>65</v>
      </c>
      <c r="M453" s="152">
        <v>151</v>
      </c>
      <c r="N453" s="152">
        <v>8</v>
      </c>
      <c r="O453" s="152"/>
      <c r="P453" s="152"/>
      <c r="Q453" s="152">
        <v>8</v>
      </c>
      <c r="R453" s="152">
        <v>1</v>
      </c>
      <c r="S453" s="152"/>
      <c r="T453" s="152"/>
      <c r="U453" s="152"/>
      <c r="V453" s="152">
        <v>1</v>
      </c>
      <c r="W453" s="152">
        <v>9</v>
      </c>
      <c r="X453" s="152">
        <v>8</v>
      </c>
      <c r="Y453" s="152"/>
      <c r="Z453" s="152"/>
      <c r="AA453" s="152">
        <v>8</v>
      </c>
      <c r="AB453" s="152"/>
      <c r="AC453" s="152"/>
      <c r="AD453" s="152"/>
      <c r="AE453" s="152"/>
      <c r="AF453" s="152">
        <v>0</v>
      </c>
      <c r="AG453" s="152">
        <v>8</v>
      </c>
      <c r="AH453" s="152">
        <v>8</v>
      </c>
      <c r="AI453" s="152"/>
      <c r="AJ453" s="152"/>
      <c r="AK453" s="152">
        <v>8</v>
      </c>
      <c r="AL453" s="152">
        <v>1</v>
      </c>
      <c r="AM453" s="152"/>
      <c r="AN453" s="152"/>
      <c r="AO453" s="152"/>
      <c r="AP453" s="152">
        <v>1</v>
      </c>
      <c r="AQ453" s="152">
        <v>9</v>
      </c>
      <c r="AR453" s="152">
        <v>34</v>
      </c>
      <c r="AS453" s="152"/>
      <c r="AT453" s="152"/>
      <c r="AU453" s="152">
        <v>34</v>
      </c>
      <c r="AV453" s="152">
        <v>8</v>
      </c>
      <c r="AW453" s="152"/>
      <c r="AX453" s="152"/>
      <c r="AY453" s="152"/>
      <c r="AZ453" s="152">
        <v>8</v>
      </c>
      <c r="BA453" s="152">
        <v>42</v>
      </c>
      <c r="BB453" s="152">
        <v>4</v>
      </c>
      <c r="BC453" s="152"/>
      <c r="BD453" s="152">
        <v>4</v>
      </c>
      <c r="BE453" s="152">
        <v>1</v>
      </c>
      <c r="BF453" s="152"/>
      <c r="BG453" s="152"/>
      <c r="BH453" s="152"/>
      <c r="BI453" s="152">
        <v>1</v>
      </c>
      <c r="BJ453" s="152">
        <v>5</v>
      </c>
      <c r="BK453" s="152"/>
      <c r="BL453" s="152"/>
      <c r="BM453" s="152"/>
      <c r="BN453" s="152">
        <v>0</v>
      </c>
      <c r="BO453" s="152">
        <v>0</v>
      </c>
      <c r="BP453" s="152">
        <v>224</v>
      </c>
    </row>
    <row r="454" spans="1:68" x14ac:dyDescent="0.35">
      <c r="A454" s="146" t="s">
        <v>1114</v>
      </c>
      <c r="B454" s="146" t="s">
        <v>1115</v>
      </c>
      <c r="C454" s="152">
        <v>7</v>
      </c>
      <c r="D454" s="152"/>
      <c r="E454" s="152"/>
      <c r="F454" s="152"/>
      <c r="G454" s="152">
        <v>7</v>
      </c>
      <c r="H454" s="152">
        <v>15</v>
      </c>
      <c r="I454" s="152">
        <v>1</v>
      </c>
      <c r="J454" s="152">
        <v>1</v>
      </c>
      <c r="K454" s="152">
        <v>2</v>
      </c>
      <c r="L454" s="152">
        <v>19</v>
      </c>
      <c r="M454" s="152">
        <v>26</v>
      </c>
      <c r="N454" s="152"/>
      <c r="O454" s="152"/>
      <c r="P454" s="152"/>
      <c r="Q454" s="152">
        <v>0</v>
      </c>
      <c r="R454" s="152"/>
      <c r="S454" s="152"/>
      <c r="T454" s="152"/>
      <c r="U454" s="152"/>
      <c r="V454" s="152">
        <v>0</v>
      </c>
      <c r="W454" s="152">
        <v>0</v>
      </c>
      <c r="X454" s="152">
        <v>1</v>
      </c>
      <c r="Y454" s="152"/>
      <c r="Z454" s="152"/>
      <c r="AA454" s="152">
        <v>1</v>
      </c>
      <c r="AB454" s="152"/>
      <c r="AC454" s="152"/>
      <c r="AD454" s="152"/>
      <c r="AE454" s="152"/>
      <c r="AF454" s="152">
        <v>0</v>
      </c>
      <c r="AG454" s="152">
        <v>1</v>
      </c>
      <c r="AH454" s="152">
        <v>2</v>
      </c>
      <c r="AI454" s="152"/>
      <c r="AJ454" s="152"/>
      <c r="AK454" s="152">
        <v>2</v>
      </c>
      <c r="AL454" s="152"/>
      <c r="AM454" s="152"/>
      <c r="AN454" s="152"/>
      <c r="AO454" s="152"/>
      <c r="AP454" s="152">
        <v>0</v>
      </c>
      <c r="AQ454" s="152">
        <v>2</v>
      </c>
      <c r="AR454" s="152">
        <v>4</v>
      </c>
      <c r="AS454" s="152"/>
      <c r="AT454" s="152"/>
      <c r="AU454" s="152">
        <v>4</v>
      </c>
      <c r="AV454" s="152">
        <v>1</v>
      </c>
      <c r="AW454" s="152"/>
      <c r="AX454" s="152"/>
      <c r="AY454" s="152"/>
      <c r="AZ454" s="152">
        <v>1</v>
      </c>
      <c r="BA454" s="152">
        <v>5</v>
      </c>
      <c r="BB454" s="152"/>
      <c r="BC454" s="152"/>
      <c r="BD454" s="152">
        <v>0</v>
      </c>
      <c r="BE454" s="152"/>
      <c r="BF454" s="152"/>
      <c r="BG454" s="152"/>
      <c r="BH454" s="152"/>
      <c r="BI454" s="152">
        <v>0</v>
      </c>
      <c r="BJ454" s="152">
        <v>0</v>
      </c>
      <c r="BK454" s="152"/>
      <c r="BL454" s="152"/>
      <c r="BM454" s="152"/>
      <c r="BN454" s="152">
        <v>0</v>
      </c>
      <c r="BO454" s="152">
        <v>0</v>
      </c>
      <c r="BP454" s="152">
        <v>34</v>
      </c>
    </row>
    <row r="455" spans="1:68" x14ac:dyDescent="0.35">
      <c r="A455" s="146" t="s">
        <v>1116</v>
      </c>
      <c r="B455" s="146" t="s">
        <v>1117</v>
      </c>
      <c r="C455" s="152">
        <v>55</v>
      </c>
      <c r="D455" s="152"/>
      <c r="E455" s="152"/>
      <c r="F455" s="152"/>
      <c r="G455" s="152">
        <v>55</v>
      </c>
      <c r="H455" s="152">
        <v>54</v>
      </c>
      <c r="I455" s="152">
        <v>3</v>
      </c>
      <c r="J455" s="152"/>
      <c r="K455" s="152"/>
      <c r="L455" s="152">
        <v>57</v>
      </c>
      <c r="M455" s="152">
        <v>112</v>
      </c>
      <c r="N455" s="152">
        <v>11</v>
      </c>
      <c r="O455" s="152"/>
      <c r="P455" s="152"/>
      <c r="Q455" s="152">
        <v>11</v>
      </c>
      <c r="R455" s="152">
        <v>1</v>
      </c>
      <c r="S455" s="152"/>
      <c r="T455" s="152"/>
      <c r="U455" s="152"/>
      <c r="V455" s="152">
        <v>1</v>
      </c>
      <c r="W455" s="152">
        <v>12</v>
      </c>
      <c r="X455" s="152">
        <v>3</v>
      </c>
      <c r="Y455" s="152"/>
      <c r="Z455" s="152"/>
      <c r="AA455" s="152">
        <v>3</v>
      </c>
      <c r="AB455" s="152">
        <v>1</v>
      </c>
      <c r="AC455" s="152"/>
      <c r="AD455" s="152"/>
      <c r="AE455" s="152"/>
      <c r="AF455" s="152">
        <v>1</v>
      </c>
      <c r="AG455" s="152">
        <v>4</v>
      </c>
      <c r="AH455" s="152">
        <v>2</v>
      </c>
      <c r="AI455" s="152"/>
      <c r="AJ455" s="152"/>
      <c r="AK455" s="152">
        <v>2</v>
      </c>
      <c r="AL455" s="152"/>
      <c r="AM455" s="152"/>
      <c r="AN455" s="152"/>
      <c r="AO455" s="152"/>
      <c r="AP455" s="152">
        <v>0</v>
      </c>
      <c r="AQ455" s="152">
        <v>2</v>
      </c>
      <c r="AR455" s="152">
        <v>12</v>
      </c>
      <c r="AS455" s="152"/>
      <c r="AT455" s="152"/>
      <c r="AU455" s="152">
        <v>12</v>
      </c>
      <c r="AV455" s="152">
        <v>6</v>
      </c>
      <c r="AW455" s="152"/>
      <c r="AX455" s="152"/>
      <c r="AY455" s="152"/>
      <c r="AZ455" s="152">
        <v>6</v>
      </c>
      <c r="BA455" s="152">
        <v>18</v>
      </c>
      <c r="BB455" s="152">
        <v>5</v>
      </c>
      <c r="BC455" s="152"/>
      <c r="BD455" s="152">
        <v>5</v>
      </c>
      <c r="BE455" s="152"/>
      <c r="BF455" s="152"/>
      <c r="BG455" s="152"/>
      <c r="BH455" s="152"/>
      <c r="BI455" s="152">
        <v>0</v>
      </c>
      <c r="BJ455" s="152">
        <v>5</v>
      </c>
      <c r="BK455" s="152"/>
      <c r="BL455" s="152"/>
      <c r="BM455" s="152"/>
      <c r="BN455" s="152">
        <v>0</v>
      </c>
      <c r="BO455" s="152">
        <v>0</v>
      </c>
      <c r="BP455" s="152">
        <v>153</v>
      </c>
    </row>
    <row r="456" spans="1:68" x14ac:dyDescent="0.35">
      <c r="A456" s="146" t="s">
        <v>1118</v>
      </c>
      <c r="B456" s="146" t="s">
        <v>1119</v>
      </c>
      <c r="C456" s="152">
        <v>3</v>
      </c>
      <c r="D456" s="152"/>
      <c r="E456" s="152"/>
      <c r="F456" s="152"/>
      <c r="G456" s="152">
        <v>3</v>
      </c>
      <c r="H456" s="152">
        <v>8</v>
      </c>
      <c r="I456" s="152">
        <v>7</v>
      </c>
      <c r="J456" s="152">
        <v>1</v>
      </c>
      <c r="K456" s="152"/>
      <c r="L456" s="152">
        <v>16</v>
      </c>
      <c r="M456" s="152">
        <v>19</v>
      </c>
      <c r="N456" s="152">
        <v>4</v>
      </c>
      <c r="O456" s="152"/>
      <c r="P456" s="152"/>
      <c r="Q456" s="152">
        <v>4</v>
      </c>
      <c r="R456" s="152">
        <v>2</v>
      </c>
      <c r="S456" s="152"/>
      <c r="T456" s="152"/>
      <c r="U456" s="152"/>
      <c r="V456" s="152">
        <v>2</v>
      </c>
      <c r="W456" s="152">
        <v>6</v>
      </c>
      <c r="X456" s="152">
        <v>2</v>
      </c>
      <c r="Y456" s="152"/>
      <c r="Z456" s="152"/>
      <c r="AA456" s="152">
        <v>2</v>
      </c>
      <c r="AB456" s="152"/>
      <c r="AC456" s="152"/>
      <c r="AD456" s="152"/>
      <c r="AE456" s="152"/>
      <c r="AF456" s="152">
        <v>0</v>
      </c>
      <c r="AG456" s="152">
        <v>2</v>
      </c>
      <c r="AH456" s="152"/>
      <c r="AI456" s="152"/>
      <c r="AJ456" s="152"/>
      <c r="AK456" s="152">
        <v>0</v>
      </c>
      <c r="AL456" s="152"/>
      <c r="AM456" s="152"/>
      <c r="AN456" s="152"/>
      <c r="AO456" s="152"/>
      <c r="AP456" s="152">
        <v>0</v>
      </c>
      <c r="AQ456" s="152">
        <v>0</v>
      </c>
      <c r="AR456" s="152">
        <v>3</v>
      </c>
      <c r="AS456" s="152"/>
      <c r="AT456" s="152"/>
      <c r="AU456" s="152">
        <v>3</v>
      </c>
      <c r="AV456" s="152"/>
      <c r="AW456" s="152"/>
      <c r="AX456" s="152"/>
      <c r="AY456" s="152"/>
      <c r="AZ456" s="152">
        <v>0</v>
      </c>
      <c r="BA456" s="152">
        <v>3</v>
      </c>
      <c r="BB456" s="152"/>
      <c r="BC456" s="152"/>
      <c r="BD456" s="152">
        <v>0</v>
      </c>
      <c r="BE456" s="152">
        <v>1</v>
      </c>
      <c r="BF456" s="152"/>
      <c r="BG456" s="152"/>
      <c r="BH456" s="152"/>
      <c r="BI456" s="152">
        <v>1</v>
      </c>
      <c r="BJ456" s="152">
        <v>1</v>
      </c>
      <c r="BK456" s="152"/>
      <c r="BL456" s="152"/>
      <c r="BM456" s="152"/>
      <c r="BN456" s="152">
        <v>0</v>
      </c>
      <c r="BO456" s="152">
        <v>0</v>
      </c>
      <c r="BP456" s="152">
        <v>31</v>
      </c>
    </row>
    <row r="457" spans="1:68" x14ac:dyDescent="0.35">
      <c r="A457" s="146" t="s">
        <v>1120</v>
      </c>
      <c r="B457" s="146" t="s">
        <v>1121</v>
      </c>
      <c r="C457" s="152">
        <v>134</v>
      </c>
      <c r="D457" s="152"/>
      <c r="E457" s="152"/>
      <c r="F457" s="152"/>
      <c r="G457" s="152">
        <v>134</v>
      </c>
      <c r="H457" s="152">
        <v>58</v>
      </c>
      <c r="I457" s="152">
        <v>6</v>
      </c>
      <c r="J457" s="152">
        <v>1</v>
      </c>
      <c r="K457" s="152">
        <v>1</v>
      </c>
      <c r="L457" s="152">
        <v>66</v>
      </c>
      <c r="M457" s="152">
        <v>200</v>
      </c>
      <c r="N457" s="152">
        <v>32</v>
      </c>
      <c r="O457" s="152"/>
      <c r="P457" s="152"/>
      <c r="Q457" s="152">
        <v>32</v>
      </c>
      <c r="R457" s="152">
        <v>1</v>
      </c>
      <c r="S457" s="152"/>
      <c r="T457" s="152"/>
      <c r="U457" s="152"/>
      <c r="V457" s="152">
        <v>1</v>
      </c>
      <c r="W457" s="152">
        <v>33</v>
      </c>
      <c r="X457" s="152">
        <v>14</v>
      </c>
      <c r="Y457" s="152"/>
      <c r="Z457" s="152"/>
      <c r="AA457" s="152">
        <v>14</v>
      </c>
      <c r="AB457" s="152">
        <v>2</v>
      </c>
      <c r="AC457" s="152"/>
      <c r="AD457" s="152"/>
      <c r="AE457" s="152"/>
      <c r="AF457" s="152">
        <v>2</v>
      </c>
      <c r="AG457" s="152">
        <v>16</v>
      </c>
      <c r="AH457" s="152">
        <v>11</v>
      </c>
      <c r="AI457" s="152"/>
      <c r="AJ457" s="152"/>
      <c r="AK457" s="152">
        <v>11</v>
      </c>
      <c r="AL457" s="152"/>
      <c r="AM457" s="152"/>
      <c r="AN457" s="152"/>
      <c r="AO457" s="152"/>
      <c r="AP457" s="152">
        <v>0</v>
      </c>
      <c r="AQ457" s="152">
        <v>11</v>
      </c>
      <c r="AR457" s="152">
        <v>41</v>
      </c>
      <c r="AS457" s="152"/>
      <c r="AT457" s="152"/>
      <c r="AU457" s="152">
        <v>41</v>
      </c>
      <c r="AV457" s="152">
        <v>4</v>
      </c>
      <c r="AW457" s="152"/>
      <c r="AX457" s="152"/>
      <c r="AY457" s="152"/>
      <c r="AZ457" s="152">
        <v>4</v>
      </c>
      <c r="BA457" s="152">
        <v>45</v>
      </c>
      <c r="BB457" s="152">
        <v>19</v>
      </c>
      <c r="BC457" s="152"/>
      <c r="BD457" s="152">
        <v>19</v>
      </c>
      <c r="BE457" s="152">
        <v>1</v>
      </c>
      <c r="BF457" s="152"/>
      <c r="BG457" s="152"/>
      <c r="BH457" s="152"/>
      <c r="BI457" s="152">
        <v>1</v>
      </c>
      <c r="BJ457" s="152">
        <v>20</v>
      </c>
      <c r="BK457" s="152"/>
      <c r="BL457" s="152"/>
      <c r="BM457" s="152"/>
      <c r="BN457" s="152">
        <v>0</v>
      </c>
      <c r="BO457" s="152">
        <v>0</v>
      </c>
      <c r="BP457" s="152">
        <v>325</v>
      </c>
    </row>
    <row r="458" spans="1:68" x14ac:dyDescent="0.35">
      <c r="A458" s="146" t="s">
        <v>1122</v>
      </c>
      <c r="B458" s="146" t="s">
        <v>1123</v>
      </c>
      <c r="C458" s="152"/>
      <c r="D458" s="152"/>
      <c r="E458" s="152"/>
      <c r="F458" s="152"/>
      <c r="G458" s="152">
        <v>0</v>
      </c>
      <c r="H458" s="152">
        <v>15</v>
      </c>
      <c r="I458" s="152">
        <v>1</v>
      </c>
      <c r="J458" s="152"/>
      <c r="K458" s="152"/>
      <c r="L458" s="152">
        <v>16</v>
      </c>
      <c r="M458" s="152">
        <v>16</v>
      </c>
      <c r="N458" s="152"/>
      <c r="O458" s="152"/>
      <c r="P458" s="152"/>
      <c r="Q458" s="152">
        <v>0</v>
      </c>
      <c r="R458" s="152"/>
      <c r="S458" s="152"/>
      <c r="T458" s="152"/>
      <c r="U458" s="152"/>
      <c r="V458" s="152">
        <v>0</v>
      </c>
      <c r="W458" s="152">
        <v>0</v>
      </c>
      <c r="X458" s="152"/>
      <c r="Y458" s="152"/>
      <c r="Z458" s="152"/>
      <c r="AA458" s="152">
        <v>0</v>
      </c>
      <c r="AB458" s="152">
        <v>1</v>
      </c>
      <c r="AC458" s="152"/>
      <c r="AD458" s="152"/>
      <c r="AE458" s="152"/>
      <c r="AF458" s="152">
        <v>1</v>
      </c>
      <c r="AG458" s="152">
        <v>1</v>
      </c>
      <c r="AH458" s="152"/>
      <c r="AI458" s="152"/>
      <c r="AJ458" s="152"/>
      <c r="AK458" s="152">
        <v>0</v>
      </c>
      <c r="AL458" s="152"/>
      <c r="AM458" s="152"/>
      <c r="AN458" s="152"/>
      <c r="AO458" s="152"/>
      <c r="AP458" s="152">
        <v>0</v>
      </c>
      <c r="AQ458" s="152">
        <v>0</v>
      </c>
      <c r="AR458" s="152"/>
      <c r="AS458" s="152"/>
      <c r="AT458" s="152"/>
      <c r="AU458" s="152">
        <v>0</v>
      </c>
      <c r="AV458" s="152"/>
      <c r="AW458" s="152"/>
      <c r="AX458" s="152"/>
      <c r="AY458" s="152"/>
      <c r="AZ458" s="152">
        <v>0</v>
      </c>
      <c r="BA458" s="152">
        <v>0</v>
      </c>
      <c r="BB458" s="152"/>
      <c r="BC458" s="152"/>
      <c r="BD458" s="152">
        <v>0</v>
      </c>
      <c r="BE458" s="152"/>
      <c r="BF458" s="152"/>
      <c r="BG458" s="152"/>
      <c r="BH458" s="152"/>
      <c r="BI458" s="152">
        <v>0</v>
      </c>
      <c r="BJ458" s="152">
        <v>0</v>
      </c>
      <c r="BK458" s="152"/>
      <c r="BL458" s="152"/>
      <c r="BM458" s="152"/>
      <c r="BN458" s="152">
        <v>0</v>
      </c>
      <c r="BO458" s="152">
        <v>0</v>
      </c>
      <c r="BP458" s="152">
        <v>17</v>
      </c>
    </row>
    <row r="459" spans="1:68" x14ac:dyDescent="0.35">
      <c r="A459" s="145" t="s">
        <v>1124</v>
      </c>
      <c r="B459" s="146" t="s">
        <v>1125</v>
      </c>
      <c r="C459" s="152"/>
      <c r="D459" s="152"/>
      <c r="E459" s="152"/>
      <c r="F459" s="152"/>
      <c r="G459" s="152">
        <v>0</v>
      </c>
      <c r="H459" s="152">
        <v>4</v>
      </c>
      <c r="I459" s="152"/>
      <c r="J459" s="152"/>
      <c r="K459" s="152"/>
      <c r="L459" s="152">
        <v>4</v>
      </c>
      <c r="M459" s="152">
        <v>4</v>
      </c>
      <c r="N459" s="152"/>
      <c r="O459" s="152"/>
      <c r="P459" s="152"/>
      <c r="Q459" s="152">
        <v>0</v>
      </c>
      <c r="R459" s="152"/>
      <c r="S459" s="152"/>
      <c r="T459" s="152"/>
      <c r="U459" s="152"/>
      <c r="V459" s="152">
        <v>0</v>
      </c>
      <c r="W459" s="152">
        <v>0</v>
      </c>
      <c r="X459" s="152"/>
      <c r="Y459" s="152"/>
      <c r="Z459" s="152"/>
      <c r="AA459" s="152">
        <v>0</v>
      </c>
      <c r="AB459" s="152"/>
      <c r="AC459" s="152"/>
      <c r="AD459" s="152"/>
      <c r="AE459" s="152"/>
      <c r="AF459" s="152">
        <v>0</v>
      </c>
      <c r="AG459" s="152">
        <v>0</v>
      </c>
      <c r="AH459" s="152"/>
      <c r="AI459" s="152"/>
      <c r="AJ459" s="152"/>
      <c r="AK459" s="152">
        <v>0</v>
      </c>
      <c r="AL459" s="152"/>
      <c r="AM459" s="152"/>
      <c r="AN459" s="152"/>
      <c r="AO459" s="152"/>
      <c r="AP459" s="152">
        <v>0</v>
      </c>
      <c r="AQ459" s="152">
        <v>0</v>
      </c>
      <c r="AR459" s="152"/>
      <c r="AS459" s="152"/>
      <c r="AT459" s="152"/>
      <c r="AU459" s="152">
        <v>0</v>
      </c>
      <c r="AV459" s="152"/>
      <c r="AW459" s="152"/>
      <c r="AX459" s="152"/>
      <c r="AY459" s="152"/>
      <c r="AZ459" s="152">
        <v>0</v>
      </c>
      <c r="BA459" s="152">
        <v>0</v>
      </c>
      <c r="BB459" s="152"/>
      <c r="BC459" s="152"/>
      <c r="BD459" s="152">
        <v>0</v>
      </c>
      <c r="BE459" s="152"/>
      <c r="BF459" s="152"/>
      <c r="BG459" s="152"/>
      <c r="BH459" s="152"/>
      <c r="BI459" s="152">
        <v>0</v>
      </c>
      <c r="BJ459" s="152">
        <v>0</v>
      </c>
      <c r="BK459" s="152"/>
      <c r="BL459" s="152"/>
      <c r="BM459" s="152"/>
      <c r="BN459" s="152">
        <v>0</v>
      </c>
      <c r="BO459" s="152">
        <v>0</v>
      </c>
      <c r="BP459" s="152">
        <v>4</v>
      </c>
    </row>
    <row r="460" spans="1:68" x14ac:dyDescent="0.35">
      <c r="A460" s="145" t="s">
        <v>1126</v>
      </c>
      <c r="B460" s="146" t="s">
        <v>1127</v>
      </c>
      <c r="C460" s="152">
        <v>2</v>
      </c>
      <c r="D460" s="152"/>
      <c r="E460" s="152"/>
      <c r="F460" s="152"/>
      <c r="G460" s="152">
        <v>2</v>
      </c>
      <c r="H460" s="152"/>
      <c r="I460" s="152"/>
      <c r="J460" s="152"/>
      <c r="K460" s="152"/>
      <c r="L460" s="152">
        <v>0</v>
      </c>
      <c r="M460" s="152">
        <v>2</v>
      </c>
      <c r="N460" s="152"/>
      <c r="O460" s="152"/>
      <c r="P460" s="152"/>
      <c r="Q460" s="152">
        <v>0</v>
      </c>
      <c r="R460" s="152"/>
      <c r="S460" s="152"/>
      <c r="T460" s="152"/>
      <c r="U460" s="152"/>
      <c r="V460" s="152">
        <v>0</v>
      </c>
      <c r="W460" s="152">
        <v>0</v>
      </c>
      <c r="X460" s="152"/>
      <c r="Y460" s="152"/>
      <c r="Z460" s="152"/>
      <c r="AA460" s="152">
        <v>0</v>
      </c>
      <c r="AB460" s="152"/>
      <c r="AC460" s="152"/>
      <c r="AD460" s="152"/>
      <c r="AE460" s="152"/>
      <c r="AF460" s="152">
        <v>0</v>
      </c>
      <c r="AG460" s="152">
        <v>0</v>
      </c>
      <c r="AH460" s="152"/>
      <c r="AI460" s="152"/>
      <c r="AJ460" s="152"/>
      <c r="AK460" s="152">
        <v>0</v>
      </c>
      <c r="AL460" s="152"/>
      <c r="AM460" s="152"/>
      <c r="AN460" s="152"/>
      <c r="AO460" s="152"/>
      <c r="AP460" s="152">
        <v>0</v>
      </c>
      <c r="AQ460" s="152">
        <v>0</v>
      </c>
      <c r="AR460" s="152"/>
      <c r="AS460" s="152"/>
      <c r="AT460" s="152"/>
      <c r="AU460" s="152">
        <v>0</v>
      </c>
      <c r="AV460" s="152"/>
      <c r="AW460" s="152"/>
      <c r="AX460" s="152"/>
      <c r="AY460" s="152"/>
      <c r="AZ460" s="152">
        <v>0</v>
      </c>
      <c r="BA460" s="152">
        <v>0</v>
      </c>
      <c r="BB460" s="152"/>
      <c r="BC460" s="152"/>
      <c r="BD460" s="152">
        <v>0</v>
      </c>
      <c r="BE460" s="152"/>
      <c r="BF460" s="152"/>
      <c r="BG460" s="152"/>
      <c r="BH460" s="152"/>
      <c r="BI460" s="152">
        <v>0</v>
      </c>
      <c r="BJ460" s="152">
        <v>0</v>
      </c>
      <c r="BK460" s="152"/>
      <c r="BL460" s="152"/>
      <c r="BM460" s="152"/>
      <c r="BN460" s="152">
        <v>0</v>
      </c>
      <c r="BO460" s="152">
        <v>0</v>
      </c>
      <c r="BP460" s="152">
        <v>2</v>
      </c>
    </row>
    <row r="461" spans="1:68" x14ac:dyDescent="0.35">
      <c r="A461" s="146" t="s">
        <v>1128</v>
      </c>
      <c r="B461" s="146" t="s">
        <v>1129</v>
      </c>
      <c r="C461" s="152">
        <v>1</v>
      </c>
      <c r="D461" s="152"/>
      <c r="E461" s="152"/>
      <c r="F461" s="152"/>
      <c r="G461" s="152">
        <v>1</v>
      </c>
      <c r="H461" s="152">
        <v>14</v>
      </c>
      <c r="I461" s="152"/>
      <c r="J461" s="152"/>
      <c r="K461" s="152"/>
      <c r="L461" s="152">
        <v>14</v>
      </c>
      <c r="M461" s="152">
        <v>15</v>
      </c>
      <c r="N461" s="152"/>
      <c r="O461" s="152"/>
      <c r="P461" s="152"/>
      <c r="Q461" s="152">
        <v>0</v>
      </c>
      <c r="R461" s="152"/>
      <c r="S461" s="152"/>
      <c r="T461" s="152"/>
      <c r="U461" s="152"/>
      <c r="V461" s="152">
        <v>0</v>
      </c>
      <c r="W461" s="152">
        <v>0</v>
      </c>
      <c r="X461" s="152"/>
      <c r="Y461" s="152"/>
      <c r="Z461" s="152"/>
      <c r="AA461" s="152">
        <v>0</v>
      </c>
      <c r="AB461" s="152">
        <v>2</v>
      </c>
      <c r="AC461" s="152"/>
      <c r="AD461" s="152"/>
      <c r="AE461" s="152"/>
      <c r="AF461" s="152">
        <v>2</v>
      </c>
      <c r="AG461" s="152">
        <v>2</v>
      </c>
      <c r="AH461" s="152"/>
      <c r="AI461" s="152"/>
      <c r="AJ461" s="152"/>
      <c r="AK461" s="152">
        <v>0</v>
      </c>
      <c r="AL461" s="152"/>
      <c r="AM461" s="152"/>
      <c r="AN461" s="152"/>
      <c r="AO461" s="152"/>
      <c r="AP461" s="152">
        <v>0</v>
      </c>
      <c r="AQ461" s="152">
        <v>0</v>
      </c>
      <c r="AR461" s="152"/>
      <c r="AS461" s="152"/>
      <c r="AT461" s="152"/>
      <c r="AU461" s="152">
        <v>0</v>
      </c>
      <c r="AV461" s="152"/>
      <c r="AW461" s="152"/>
      <c r="AX461" s="152"/>
      <c r="AY461" s="152"/>
      <c r="AZ461" s="152">
        <v>0</v>
      </c>
      <c r="BA461" s="152">
        <v>0</v>
      </c>
      <c r="BB461" s="152"/>
      <c r="BC461" s="152"/>
      <c r="BD461" s="152">
        <v>0</v>
      </c>
      <c r="BE461" s="152"/>
      <c r="BF461" s="152"/>
      <c r="BG461" s="152"/>
      <c r="BH461" s="152"/>
      <c r="BI461" s="152">
        <v>0</v>
      </c>
      <c r="BJ461" s="152">
        <v>0</v>
      </c>
      <c r="BK461" s="152"/>
      <c r="BL461" s="152"/>
      <c r="BM461" s="152"/>
      <c r="BN461" s="152">
        <v>0</v>
      </c>
      <c r="BO461" s="152">
        <v>0</v>
      </c>
      <c r="BP461" s="152">
        <v>17</v>
      </c>
    </row>
    <row r="462" spans="1:68" x14ac:dyDescent="0.35">
      <c r="A462" s="146" t="s">
        <v>1130</v>
      </c>
      <c r="B462" s="146" t="s">
        <v>1131</v>
      </c>
      <c r="C462" s="152">
        <v>173</v>
      </c>
      <c r="D462" s="152"/>
      <c r="E462" s="152"/>
      <c r="F462" s="152"/>
      <c r="G462" s="152">
        <v>173</v>
      </c>
      <c r="H462" s="152">
        <v>53</v>
      </c>
      <c r="I462" s="152">
        <v>10</v>
      </c>
      <c r="J462" s="152"/>
      <c r="K462" s="152"/>
      <c r="L462" s="152">
        <v>63</v>
      </c>
      <c r="M462" s="152">
        <v>236</v>
      </c>
      <c r="N462" s="152">
        <v>16</v>
      </c>
      <c r="O462" s="152"/>
      <c r="P462" s="152"/>
      <c r="Q462" s="152">
        <v>16</v>
      </c>
      <c r="R462" s="152"/>
      <c r="S462" s="152"/>
      <c r="T462" s="152"/>
      <c r="U462" s="152"/>
      <c r="V462" s="152">
        <v>0</v>
      </c>
      <c r="W462" s="152">
        <v>16</v>
      </c>
      <c r="X462" s="152">
        <v>9</v>
      </c>
      <c r="Y462" s="152"/>
      <c r="Z462" s="152"/>
      <c r="AA462" s="152">
        <v>9</v>
      </c>
      <c r="AB462" s="152"/>
      <c r="AC462" s="152"/>
      <c r="AD462" s="152"/>
      <c r="AE462" s="152"/>
      <c r="AF462" s="152">
        <v>0</v>
      </c>
      <c r="AG462" s="152">
        <v>9</v>
      </c>
      <c r="AH462" s="152">
        <v>6</v>
      </c>
      <c r="AI462" s="152"/>
      <c r="AJ462" s="152"/>
      <c r="AK462" s="152">
        <v>6</v>
      </c>
      <c r="AL462" s="152"/>
      <c r="AM462" s="152"/>
      <c r="AN462" s="152"/>
      <c r="AO462" s="152"/>
      <c r="AP462" s="152">
        <v>0</v>
      </c>
      <c r="AQ462" s="152">
        <v>6</v>
      </c>
      <c r="AR462" s="152">
        <v>19</v>
      </c>
      <c r="AS462" s="152"/>
      <c r="AT462" s="152"/>
      <c r="AU462" s="152">
        <v>19</v>
      </c>
      <c r="AV462" s="152">
        <v>1</v>
      </c>
      <c r="AW462" s="152"/>
      <c r="AX462" s="152"/>
      <c r="AY462" s="152"/>
      <c r="AZ462" s="152">
        <v>1</v>
      </c>
      <c r="BA462" s="152">
        <v>20</v>
      </c>
      <c r="BB462" s="152">
        <v>2</v>
      </c>
      <c r="BC462" s="152"/>
      <c r="BD462" s="152">
        <v>2</v>
      </c>
      <c r="BE462" s="152"/>
      <c r="BF462" s="152"/>
      <c r="BG462" s="152"/>
      <c r="BH462" s="152"/>
      <c r="BI462" s="152">
        <v>0</v>
      </c>
      <c r="BJ462" s="152">
        <v>2</v>
      </c>
      <c r="BK462" s="152"/>
      <c r="BL462" s="152"/>
      <c r="BM462" s="152"/>
      <c r="BN462" s="152">
        <v>0</v>
      </c>
      <c r="BO462" s="152">
        <v>0</v>
      </c>
      <c r="BP462" s="152">
        <v>289</v>
      </c>
    </row>
    <row r="463" spans="1:68" x14ac:dyDescent="0.35">
      <c r="A463" s="146" t="s">
        <v>1132</v>
      </c>
      <c r="B463" s="146" t="s">
        <v>1133</v>
      </c>
      <c r="C463" s="152">
        <v>179</v>
      </c>
      <c r="D463" s="152"/>
      <c r="E463" s="152"/>
      <c r="F463" s="152"/>
      <c r="G463" s="152">
        <v>179</v>
      </c>
      <c r="H463" s="152">
        <v>17</v>
      </c>
      <c r="I463" s="152"/>
      <c r="J463" s="152">
        <v>1</v>
      </c>
      <c r="K463" s="152"/>
      <c r="L463" s="152">
        <v>18</v>
      </c>
      <c r="M463" s="152">
        <v>197</v>
      </c>
      <c r="N463" s="152">
        <v>26</v>
      </c>
      <c r="O463" s="152"/>
      <c r="P463" s="152"/>
      <c r="Q463" s="152">
        <v>26</v>
      </c>
      <c r="R463" s="152"/>
      <c r="S463" s="152"/>
      <c r="T463" s="152"/>
      <c r="U463" s="152"/>
      <c r="V463" s="152">
        <v>0</v>
      </c>
      <c r="W463" s="152">
        <v>26</v>
      </c>
      <c r="X463" s="152">
        <v>7</v>
      </c>
      <c r="Y463" s="152"/>
      <c r="Z463" s="152"/>
      <c r="AA463" s="152">
        <v>7</v>
      </c>
      <c r="AB463" s="152"/>
      <c r="AC463" s="152"/>
      <c r="AD463" s="152"/>
      <c r="AE463" s="152"/>
      <c r="AF463" s="152">
        <v>0</v>
      </c>
      <c r="AG463" s="152">
        <v>7</v>
      </c>
      <c r="AH463" s="152">
        <v>4</v>
      </c>
      <c r="AI463" s="152"/>
      <c r="AJ463" s="152"/>
      <c r="AK463" s="152">
        <v>4</v>
      </c>
      <c r="AL463" s="152"/>
      <c r="AM463" s="152"/>
      <c r="AN463" s="152"/>
      <c r="AO463" s="152"/>
      <c r="AP463" s="152">
        <v>0</v>
      </c>
      <c r="AQ463" s="152">
        <v>4</v>
      </c>
      <c r="AR463" s="152">
        <v>19</v>
      </c>
      <c r="AS463" s="152"/>
      <c r="AT463" s="152"/>
      <c r="AU463" s="152">
        <v>19</v>
      </c>
      <c r="AV463" s="152">
        <v>4</v>
      </c>
      <c r="AW463" s="152"/>
      <c r="AX463" s="152"/>
      <c r="AY463" s="152"/>
      <c r="AZ463" s="152">
        <v>4</v>
      </c>
      <c r="BA463" s="152">
        <v>23</v>
      </c>
      <c r="BB463" s="152">
        <v>19</v>
      </c>
      <c r="BC463" s="152"/>
      <c r="BD463" s="152">
        <v>19</v>
      </c>
      <c r="BE463" s="152"/>
      <c r="BF463" s="152"/>
      <c r="BG463" s="152"/>
      <c r="BH463" s="152"/>
      <c r="BI463" s="152">
        <v>0</v>
      </c>
      <c r="BJ463" s="152">
        <v>19</v>
      </c>
      <c r="BK463" s="152"/>
      <c r="BL463" s="152">
        <v>1</v>
      </c>
      <c r="BM463" s="152"/>
      <c r="BN463" s="152">
        <v>0</v>
      </c>
      <c r="BO463" s="152">
        <v>0</v>
      </c>
      <c r="BP463" s="152">
        <v>276</v>
      </c>
    </row>
    <row r="464" spans="1:68" x14ac:dyDescent="0.35">
      <c r="A464" s="146" t="s">
        <v>1134</v>
      </c>
      <c r="B464" s="146" t="s">
        <v>1135</v>
      </c>
      <c r="C464" s="152">
        <v>55</v>
      </c>
      <c r="D464" s="152"/>
      <c r="E464" s="152"/>
      <c r="F464" s="152"/>
      <c r="G464" s="152">
        <v>55</v>
      </c>
      <c r="H464" s="152">
        <v>11</v>
      </c>
      <c r="I464" s="152"/>
      <c r="J464" s="152"/>
      <c r="K464" s="152"/>
      <c r="L464" s="152">
        <v>11</v>
      </c>
      <c r="M464" s="152">
        <v>66</v>
      </c>
      <c r="N464" s="152">
        <v>2</v>
      </c>
      <c r="O464" s="152"/>
      <c r="P464" s="152"/>
      <c r="Q464" s="152">
        <v>2</v>
      </c>
      <c r="R464" s="152"/>
      <c r="S464" s="152"/>
      <c r="T464" s="152"/>
      <c r="U464" s="152"/>
      <c r="V464" s="152">
        <v>0</v>
      </c>
      <c r="W464" s="152">
        <v>2</v>
      </c>
      <c r="X464" s="152">
        <v>4</v>
      </c>
      <c r="Y464" s="152"/>
      <c r="Z464" s="152"/>
      <c r="AA464" s="152">
        <v>4</v>
      </c>
      <c r="AB464" s="152"/>
      <c r="AC464" s="152"/>
      <c r="AD464" s="152"/>
      <c r="AE464" s="152"/>
      <c r="AF464" s="152">
        <v>0</v>
      </c>
      <c r="AG464" s="152">
        <v>4</v>
      </c>
      <c r="AH464" s="152">
        <v>4</v>
      </c>
      <c r="AI464" s="152"/>
      <c r="AJ464" s="152"/>
      <c r="AK464" s="152">
        <v>4</v>
      </c>
      <c r="AL464" s="152">
        <v>1</v>
      </c>
      <c r="AM464" s="152"/>
      <c r="AN464" s="152"/>
      <c r="AO464" s="152"/>
      <c r="AP464" s="152">
        <v>1</v>
      </c>
      <c r="AQ464" s="152">
        <v>5</v>
      </c>
      <c r="AR464" s="152">
        <v>13</v>
      </c>
      <c r="AS464" s="152"/>
      <c r="AT464" s="152"/>
      <c r="AU464" s="152">
        <v>13</v>
      </c>
      <c r="AV464" s="152"/>
      <c r="AW464" s="152"/>
      <c r="AX464" s="152"/>
      <c r="AY464" s="152"/>
      <c r="AZ464" s="152">
        <v>0</v>
      </c>
      <c r="BA464" s="152">
        <v>13</v>
      </c>
      <c r="BB464" s="152">
        <v>2</v>
      </c>
      <c r="BC464" s="152"/>
      <c r="BD464" s="152">
        <v>2</v>
      </c>
      <c r="BE464" s="152"/>
      <c r="BF464" s="152"/>
      <c r="BG464" s="152"/>
      <c r="BH464" s="152"/>
      <c r="BI464" s="152">
        <v>0</v>
      </c>
      <c r="BJ464" s="152">
        <v>2</v>
      </c>
      <c r="BK464" s="152"/>
      <c r="BL464" s="152"/>
      <c r="BM464" s="152"/>
      <c r="BN464" s="152">
        <v>0</v>
      </c>
      <c r="BO464" s="152">
        <v>0</v>
      </c>
      <c r="BP464" s="152">
        <v>92</v>
      </c>
    </row>
    <row r="465" spans="1:68" x14ac:dyDescent="0.35">
      <c r="A465" s="146" t="s">
        <v>1136</v>
      </c>
      <c r="B465" s="146" t="s">
        <v>1276</v>
      </c>
      <c r="C465" s="152">
        <v>100</v>
      </c>
      <c r="D465" s="152"/>
      <c r="E465" s="152"/>
      <c r="F465" s="152"/>
      <c r="G465" s="152">
        <v>100</v>
      </c>
      <c r="H465" s="152">
        <v>13</v>
      </c>
      <c r="I465" s="152">
        <v>1</v>
      </c>
      <c r="J465" s="152"/>
      <c r="K465" s="152"/>
      <c r="L465" s="152">
        <v>14</v>
      </c>
      <c r="M465" s="152">
        <v>114</v>
      </c>
      <c r="N465" s="152">
        <v>12</v>
      </c>
      <c r="O465" s="152"/>
      <c r="P465" s="152"/>
      <c r="Q465" s="152">
        <v>12</v>
      </c>
      <c r="R465" s="152"/>
      <c r="S465" s="152"/>
      <c r="T465" s="152"/>
      <c r="U465" s="152"/>
      <c r="V465" s="152">
        <v>0</v>
      </c>
      <c r="W465" s="152">
        <v>12</v>
      </c>
      <c r="X465" s="152">
        <v>3</v>
      </c>
      <c r="Y465" s="152"/>
      <c r="Z465" s="152"/>
      <c r="AA465" s="152">
        <v>3</v>
      </c>
      <c r="AB465" s="152"/>
      <c r="AC465" s="152"/>
      <c r="AD465" s="152"/>
      <c r="AE465" s="152"/>
      <c r="AF465" s="152">
        <v>0</v>
      </c>
      <c r="AG465" s="152">
        <v>3</v>
      </c>
      <c r="AH465" s="152">
        <v>5</v>
      </c>
      <c r="AI465" s="152"/>
      <c r="AJ465" s="152"/>
      <c r="AK465" s="152">
        <v>5</v>
      </c>
      <c r="AL465" s="152"/>
      <c r="AM465" s="152"/>
      <c r="AN465" s="152"/>
      <c r="AO465" s="152"/>
      <c r="AP465" s="152">
        <v>0</v>
      </c>
      <c r="AQ465" s="152">
        <v>5</v>
      </c>
      <c r="AR465" s="152">
        <v>14</v>
      </c>
      <c r="AS465" s="152"/>
      <c r="AT465" s="152"/>
      <c r="AU465" s="152">
        <v>14</v>
      </c>
      <c r="AV465" s="152">
        <v>1</v>
      </c>
      <c r="AW465" s="152"/>
      <c r="AX465" s="152"/>
      <c r="AY465" s="152"/>
      <c r="AZ465" s="152">
        <v>1</v>
      </c>
      <c r="BA465" s="152">
        <v>15</v>
      </c>
      <c r="BB465" s="152">
        <v>2</v>
      </c>
      <c r="BC465" s="152"/>
      <c r="BD465" s="152">
        <v>2</v>
      </c>
      <c r="BE465" s="152"/>
      <c r="BF465" s="152"/>
      <c r="BG465" s="152"/>
      <c r="BH465" s="152"/>
      <c r="BI465" s="152">
        <v>0</v>
      </c>
      <c r="BJ465" s="152">
        <v>2</v>
      </c>
      <c r="BK465" s="152"/>
      <c r="BL465" s="152"/>
      <c r="BM465" s="152"/>
      <c r="BN465" s="152">
        <v>0</v>
      </c>
      <c r="BO465" s="152">
        <v>0</v>
      </c>
      <c r="BP465" s="152">
        <v>151</v>
      </c>
    </row>
    <row r="466" spans="1:68" x14ac:dyDescent="0.35">
      <c r="A466" s="146" t="s">
        <v>1137</v>
      </c>
      <c r="B466" s="146" t="s">
        <v>1138</v>
      </c>
      <c r="C466" s="152">
        <v>11</v>
      </c>
      <c r="D466" s="152"/>
      <c r="E466" s="152"/>
      <c r="F466" s="152"/>
      <c r="G466" s="152">
        <v>11</v>
      </c>
      <c r="H466" s="152">
        <v>2</v>
      </c>
      <c r="I466" s="152"/>
      <c r="J466" s="152"/>
      <c r="K466" s="152"/>
      <c r="L466" s="152">
        <v>2</v>
      </c>
      <c r="M466" s="152">
        <v>13</v>
      </c>
      <c r="N466" s="152">
        <v>4</v>
      </c>
      <c r="O466" s="152"/>
      <c r="P466" s="152"/>
      <c r="Q466" s="152">
        <v>4</v>
      </c>
      <c r="R466" s="152"/>
      <c r="S466" s="152"/>
      <c r="T466" s="152"/>
      <c r="U466" s="152"/>
      <c r="V466" s="152">
        <v>0</v>
      </c>
      <c r="W466" s="152">
        <v>4</v>
      </c>
      <c r="X466" s="152">
        <v>1</v>
      </c>
      <c r="Y466" s="152"/>
      <c r="Z466" s="152"/>
      <c r="AA466" s="152">
        <v>1</v>
      </c>
      <c r="AB466" s="152"/>
      <c r="AC466" s="152"/>
      <c r="AD466" s="152"/>
      <c r="AE466" s="152"/>
      <c r="AF466" s="152">
        <v>0</v>
      </c>
      <c r="AG466" s="152">
        <v>1</v>
      </c>
      <c r="AH466" s="152"/>
      <c r="AI466" s="152"/>
      <c r="AJ466" s="152"/>
      <c r="AK466" s="152">
        <v>0</v>
      </c>
      <c r="AL466" s="152"/>
      <c r="AM466" s="152"/>
      <c r="AN466" s="152"/>
      <c r="AO466" s="152"/>
      <c r="AP466" s="152">
        <v>0</v>
      </c>
      <c r="AQ466" s="152">
        <v>0</v>
      </c>
      <c r="AR466" s="152">
        <v>5</v>
      </c>
      <c r="AS466" s="152"/>
      <c r="AT466" s="152"/>
      <c r="AU466" s="152">
        <v>5</v>
      </c>
      <c r="AV466" s="152"/>
      <c r="AW466" s="152"/>
      <c r="AX466" s="152"/>
      <c r="AY466" s="152"/>
      <c r="AZ466" s="152">
        <v>0</v>
      </c>
      <c r="BA466" s="152">
        <v>5</v>
      </c>
      <c r="BB466" s="152">
        <v>1</v>
      </c>
      <c r="BC466" s="152"/>
      <c r="BD466" s="152">
        <v>1</v>
      </c>
      <c r="BE466" s="152"/>
      <c r="BF466" s="152"/>
      <c r="BG466" s="152"/>
      <c r="BH466" s="152"/>
      <c r="BI466" s="152">
        <v>0</v>
      </c>
      <c r="BJ466" s="152">
        <v>1</v>
      </c>
      <c r="BK466" s="152"/>
      <c r="BL466" s="152"/>
      <c r="BM466" s="152"/>
      <c r="BN466" s="152">
        <v>0</v>
      </c>
      <c r="BO466" s="152">
        <v>0</v>
      </c>
      <c r="BP466" s="152">
        <v>24</v>
      </c>
    </row>
    <row r="467" spans="1:68" x14ac:dyDescent="0.35">
      <c r="A467" s="146" t="s">
        <v>1139</v>
      </c>
      <c r="B467" s="146" t="s">
        <v>1140</v>
      </c>
      <c r="C467" s="152">
        <v>53</v>
      </c>
      <c r="D467" s="152"/>
      <c r="E467" s="152"/>
      <c r="F467" s="152"/>
      <c r="G467" s="152">
        <v>53</v>
      </c>
      <c r="H467" s="152">
        <v>11</v>
      </c>
      <c r="I467" s="152">
        <v>1</v>
      </c>
      <c r="J467" s="152"/>
      <c r="K467" s="152"/>
      <c r="L467" s="152">
        <v>12</v>
      </c>
      <c r="M467" s="152">
        <v>65</v>
      </c>
      <c r="N467" s="152">
        <v>4</v>
      </c>
      <c r="O467" s="152"/>
      <c r="P467" s="152"/>
      <c r="Q467" s="152">
        <v>4</v>
      </c>
      <c r="R467" s="152"/>
      <c r="S467" s="152"/>
      <c r="T467" s="152"/>
      <c r="U467" s="152"/>
      <c r="V467" s="152">
        <v>0</v>
      </c>
      <c r="W467" s="152">
        <v>4</v>
      </c>
      <c r="X467" s="152">
        <v>2</v>
      </c>
      <c r="Y467" s="152"/>
      <c r="Z467" s="152"/>
      <c r="AA467" s="152">
        <v>2</v>
      </c>
      <c r="AB467" s="152"/>
      <c r="AC467" s="152"/>
      <c r="AD467" s="152"/>
      <c r="AE467" s="152"/>
      <c r="AF467" s="152">
        <v>0</v>
      </c>
      <c r="AG467" s="152">
        <v>2</v>
      </c>
      <c r="AH467" s="152">
        <v>1</v>
      </c>
      <c r="AI467" s="152"/>
      <c r="AJ467" s="152"/>
      <c r="AK467" s="152">
        <v>1</v>
      </c>
      <c r="AL467" s="152"/>
      <c r="AM467" s="152"/>
      <c r="AN467" s="152"/>
      <c r="AO467" s="152"/>
      <c r="AP467" s="152">
        <v>0</v>
      </c>
      <c r="AQ467" s="152">
        <v>1</v>
      </c>
      <c r="AR467" s="152">
        <v>9</v>
      </c>
      <c r="AS467" s="152"/>
      <c r="AT467" s="152"/>
      <c r="AU467" s="152">
        <v>9</v>
      </c>
      <c r="AV467" s="152">
        <v>1</v>
      </c>
      <c r="AW467" s="152"/>
      <c r="AX467" s="152"/>
      <c r="AY467" s="152"/>
      <c r="AZ467" s="152">
        <v>1</v>
      </c>
      <c r="BA467" s="152">
        <v>10</v>
      </c>
      <c r="BB467" s="152">
        <v>2</v>
      </c>
      <c r="BC467" s="152"/>
      <c r="BD467" s="152">
        <v>2</v>
      </c>
      <c r="BE467" s="152"/>
      <c r="BF467" s="152"/>
      <c r="BG467" s="152"/>
      <c r="BH467" s="152"/>
      <c r="BI467" s="152">
        <v>0</v>
      </c>
      <c r="BJ467" s="152">
        <v>2</v>
      </c>
      <c r="BK467" s="152"/>
      <c r="BL467" s="152"/>
      <c r="BM467" s="152"/>
      <c r="BN467" s="152">
        <v>0</v>
      </c>
      <c r="BO467" s="152">
        <v>0</v>
      </c>
      <c r="BP467" s="152">
        <v>84</v>
      </c>
    </row>
    <row r="468" spans="1:68" x14ac:dyDescent="0.35">
      <c r="A468" s="146" t="s">
        <v>1141</v>
      </c>
      <c r="B468" s="146" t="s">
        <v>1142</v>
      </c>
      <c r="C468" s="152">
        <v>121</v>
      </c>
      <c r="D468" s="152"/>
      <c r="E468" s="152"/>
      <c r="F468" s="152"/>
      <c r="G468" s="152">
        <v>121</v>
      </c>
      <c r="H468" s="152">
        <v>16</v>
      </c>
      <c r="I468" s="152"/>
      <c r="J468" s="152"/>
      <c r="K468" s="152"/>
      <c r="L468" s="152">
        <v>16</v>
      </c>
      <c r="M468" s="152">
        <v>137</v>
      </c>
      <c r="N468" s="152">
        <v>17</v>
      </c>
      <c r="O468" s="152"/>
      <c r="P468" s="152"/>
      <c r="Q468" s="152">
        <v>17</v>
      </c>
      <c r="R468" s="152"/>
      <c r="S468" s="152"/>
      <c r="T468" s="152"/>
      <c r="U468" s="152"/>
      <c r="V468" s="152">
        <v>0</v>
      </c>
      <c r="W468" s="152">
        <v>17</v>
      </c>
      <c r="X468" s="152">
        <v>16</v>
      </c>
      <c r="Y468" s="152"/>
      <c r="Z468" s="152"/>
      <c r="AA468" s="152">
        <v>16</v>
      </c>
      <c r="AB468" s="152"/>
      <c r="AC468" s="152"/>
      <c r="AD468" s="152"/>
      <c r="AE468" s="152"/>
      <c r="AF468" s="152">
        <v>0</v>
      </c>
      <c r="AG468" s="152">
        <v>16</v>
      </c>
      <c r="AH468" s="152">
        <v>5</v>
      </c>
      <c r="AI468" s="152"/>
      <c r="AJ468" s="152"/>
      <c r="AK468" s="152">
        <v>5</v>
      </c>
      <c r="AL468" s="152"/>
      <c r="AM468" s="152"/>
      <c r="AN468" s="152"/>
      <c r="AO468" s="152"/>
      <c r="AP468" s="152">
        <v>0</v>
      </c>
      <c r="AQ468" s="152">
        <v>5</v>
      </c>
      <c r="AR468" s="152">
        <v>25</v>
      </c>
      <c r="AS468" s="152"/>
      <c r="AT468" s="152"/>
      <c r="AU468" s="152">
        <v>25</v>
      </c>
      <c r="AV468" s="152">
        <v>1</v>
      </c>
      <c r="AW468" s="152"/>
      <c r="AX468" s="152"/>
      <c r="AY468" s="152"/>
      <c r="AZ468" s="152">
        <v>1</v>
      </c>
      <c r="BA468" s="152">
        <v>26</v>
      </c>
      <c r="BB468" s="152">
        <v>5</v>
      </c>
      <c r="BC468" s="152"/>
      <c r="BD468" s="152">
        <v>5</v>
      </c>
      <c r="BE468" s="152"/>
      <c r="BF468" s="152"/>
      <c r="BG468" s="152"/>
      <c r="BH468" s="152"/>
      <c r="BI468" s="152">
        <v>0</v>
      </c>
      <c r="BJ468" s="152">
        <v>5</v>
      </c>
      <c r="BK468" s="152"/>
      <c r="BL468" s="152"/>
      <c r="BM468" s="152"/>
      <c r="BN468" s="152">
        <v>0</v>
      </c>
      <c r="BO468" s="152">
        <v>0</v>
      </c>
      <c r="BP468" s="152">
        <v>206</v>
      </c>
    </row>
    <row r="469" spans="1:68" x14ac:dyDescent="0.35">
      <c r="A469" s="146" t="s">
        <v>1143</v>
      </c>
      <c r="B469" s="146" t="s">
        <v>1144</v>
      </c>
      <c r="C469" s="152">
        <v>61</v>
      </c>
      <c r="D469" s="152"/>
      <c r="E469" s="152"/>
      <c r="F469" s="152"/>
      <c r="G469" s="152">
        <v>61</v>
      </c>
      <c r="H469" s="152">
        <v>29</v>
      </c>
      <c r="I469" s="152">
        <v>4</v>
      </c>
      <c r="J469" s="152"/>
      <c r="K469" s="152"/>
      <c r="L469" s="152">
        <v>33</v>
      </c>
      <c r="M469" s="152">
        <v>94</v>
      </c>
      <c r="N469" s="152">
        <v>3</v>
      </c>
      <c r="O469" s="152"/>
      <c r="P469" s="152"/>
      <c r="Q469" s="152">
        <v>3</v>
      </c>
      <c r="R469" s="152"/>
      <c r="S469" s="152"/>
      <c r="T469" s="152"/>
      <c r="U469" s="152"/>
      <c r="V469" s="152">
        <v>0</v>
      </c>
      <c r="W469" s="152">
        <v>3</v>
      </c>
      <c r="X469" s="152">
        <v>1</v>
      </c>
      <c r="Y469" s="152"/>
      <c r="Z469" s="152"/>
      <c r="AA469" s="152">
        <v>1</v>
      </c>
      <c r="AB469" s="152"/>
      <c r="AC469" s="152">
        <v>1</v>
      </c>
      <c r="AD469" s="152"/>
      <c r="AE469" s="152"/>
      <c r="AF469" s="152">
        <v>1</v>
      </c>
      <c r="AG469" s="152">
        <v>2</v>
      </c>
      <c r="AH469" s="152"/>
      <c r="AI469" s="152"/>
      <c r="AJ469" s="152"/>
      <c r="AK469" s="152">
        <v>0</v>
      </c>
      <c r="AL469" s="152"/>
      <c r="AM469" s="152"/>
      <c r="AN469" s="152"/>
      <c r="AO469" s="152"/>
      <c r="AP469" s="152">
        <v>0</v>
      </c>
      <c r="AQ469" s="152">
        <v>0</v>
      </c>
      <c r="AR469" s="152">
        <v>12</v>
      </c>
      <c r="AS469" s="152"/>
      <c r="AT469" s="152"/>
      <c r="AU469" s="152">
        <v>12</v>
      </c>
      <c r="AV469" s="152">
        <v>1</v>
      </c>
      <c r="AW469" s="152"/>
      <c r="AX469" s="152"/>
      <c r="AY469" s="152"/>
      <c r="AZ469" s="152">
        <v>1</v>
      </c>
      <c r="BA469" s="152">
        <v>13</v>
      </c>
      <c r="BB469" s="152">
        <v>1</v>
      </c>
      <c r="BC469" s="152"/>
      <c r="BD469" s="152">
        <v>1</v>
      </c>
      <c r="BE469" s="152">
        <v>1</v>
      </c>
      <c r="BF469" s="152"/>
      <c r="BG469" s="152"/>
      <c r="BH469" s="152"/>
      <c r="BI469" s="152">
        <v>1</v>
      </c>
      <c r="BJ469" s="152">
        <v>2</v>
      </c>
      <c r="BK469" s="152"/>
      <c r="BL469" s="152"/>
      <c r="BM469" s="152"/>
      <c r="BN469" s="152">
        <v>0</v>
      </c>
      <c r="BO469" s="152">
        <v>0</v>
      </c>
      <c r="BP469" s="152">
        <v>114</v>
      </c>
    </row>
    <row r="470" spans="1:68" x14ac:dyDescent="0.35">
      <c r="A470" s="146" t="s">
        <v>1145</v>
      </c>
      <c r="B470" s="146" t="s">
        <v>1146</v>
      </c>
      <c r="C470" s="152">
        <v>2519</v>
      </c>
      <c r="D470" s="152">
        <v>1</v>
      </c>
      <c r="E470" s="152"/>
      <c r="F470" s="152"/>
      <c r="G470" s="152">
        <v>2520</v>
      </c>
      <c r="H470" s="152">
        <v>212</v>
      </c>
      <c r="I470" s="152">
        <v>12</v>
      </c>
      <c r="J470" s="152">
        <v>1</v>
      </c>
      <c r="K470" s="152"/>
      <c r="L470" s="152">
        <v>225</v>
      </c>
      <c r="M470" s="152">
        <v>2745</v>
      </c>
      <c r="N470" s="152">
        <v>290</v>
      </c>
      <c r="O470" s="152"/>
      <c r="P470" s="152"/>
      <c r="Q470" s="152">
        <v>290</v>
      </c>
      <c r="R470" s="152"/>
      <c r="S470" s="152"/>
      <c r="T470" s="152"/>
      <c r="U470" s="152"/>
      <c r="V470" s="152">
        <v>0</v>
      </c>
      <c r="W470" s="152">
        <v>290</v>
      </c>
      <c r="X470" s="152">
        <v>250</v>
      </c>
      <c r="Y470" s="152"/>
      <c r="Z470" s="152"/>
      <c r="AA470" s="152">
        <v>250</v>
      </c>
      <c r="AB470" s="152"/>
      <c r="AC470" s="152"/>
      <c r="AD470" s="152"/>
      <c r="AE470" s="152"/>
      <c r="AF470" s="152">
        <v>0</v>
      </c>
      <c r="AG470" s="152">
        <v>250</v>
      </c>
      <c r="AH470" s="152">
        <v>96</v>
      </c>
      <c r="AI470" s="152"/>
      <c r="AJ470" s="152"/>
      <c r="AK470" s="152">
        <v>96</v>
      </c>
      <c r="AL470" s="152"/>
      <c r="AM470" s="152"/>
      <c r="AN470" s="152"/>
      <c r="AO470" s="152"/>
      <c r="AP470" s="152">
        <v>0</v>
      </c>
      <c r="AQ470" s="152">
        <v>96</v>
      </c>
      <c r="AR470" s="152">
        <v>605</v>
      </c>
      <c r="AS470" s="152"/>
      <c r="AT470" s="152"/>
      <c r="AU470" s="152">
        <v>605</v>
      </c>
      <c r="AV470" s="152">
        <v>15</v>
      </c>
      <c r="AW470" s="152"/>
      <c r="AX470" s="152"/>
      <c r="AY470" s="152"/>
      <c r="AZ470" s="152">
        <v>15</v>
      </c>
      <c r="BA470" s="152">
        <v>620</v>
      </c>
      <c r="BB470" s="152">
        <v>142</v>
      </c>
      <c r="BC470" s="152"/>
      <c r="BD470" s="152">
        <v>142</v>
      </c>
      <c r="BE470" s="152"/>
      <c r="BF470" s="152"/>
      <c r="BG470" s="152"/>
      <c r="BH470" s="152"/>
      <c r="BI470" s="152">
        <v>0</v>
      </c>
      <c r="BJ470" s="152">
        <v>142</v>
      </c>
      <c r="BK470" s="152"/>
      <c r="BL470" s="152"/>
      <c r="BM470" s="152"/>
      <c r="BN470" s="152">
        <v>0</v>
      </c>
      <c r="BO470" s="152">
        <v>0</v>
      </c>
      <c r="BP470" s="152">
        <v>4143</v>
      </c>
    </row>
    <row r="471" spans="1:68" x14ac:dyDescent="0.35">
      <c r="A471" s="146" t="s">
        <v>1147</v>
      </c>
      <c r="B471" s="146" t="s">
        <v>1148</v>
      </c>
      <c r="C471" s="152">
        <v>10</v>
      </c>
      <c r="D471" s="152"/>
      <c r="E471" s="152"/>
      <c r="F471" s="152"/>
      <c r="G471" s="152">
        <v>10</v>
      </c>
      <c r="H471" s="152">
        <v>27</v>
      </c>
      <c r="I471" s="152">
        <v>7</v>
      </c>
      <c r="J471" s="152">
        <v>5</v>
      </c>
      <c r="K471" s="152">
        <v>1</v>
      </c>
      <c r="L471" s="152">
        <v>40</v>
      </c>
      <c r="M471" s="152">
        <v>50</v>
      </c>
      <c r="N471" s="152">
        <v>9</v>
      </c>
      <c r="O471" s="152"/>
      <c r="P471" s="152"/>
      <c r="Q471" s="152">
        <v>9</v>
      </c>
      <c r="R471" s="152">
        <v>4</v>
      </c>
      <c r="S471" s="152"/>
      <c r="T471" s="152"/>
      <c r="U471" s="152"/>
      <c r="V471" s="152">
        <v>4</v>
      </c>
      <c r="W471" s="152">
        <v>13</v>
      </c>
      <c r="X471" s="152">
        <v>6</v>
      </c>
      <c r="Y471" s="152"/>
      <c r="Z471" s="152"/>
      <c r="AA471" s="152">
        <v>6</v>
      </c>
      <c r="AB471" s="152">
        <v>1</v>
      </c>
      <c r="AC471" s="152">
        <v>1</v>
      </c>
      <c r="AD471" s="152"/>
      <c r="AE471" s="152"/>
      <c r="AF471" s="152">
        <v>2</v>
      </c>
      <c r="AG471" s="152">
        <v>8</v>
      </c>
      <c r="AH471" s="152">
        <v>4</v>
      </c>
      <c r="AI471" s="152"/>
      <c r="AJ471" s="152"/>
      <c r="AK471" s="152">
        <v>4</v>
      </c>
      <c r="AL471" s="152">
        <v>2</v>
      </c>
      <c r="AM471" s="152"/>
      <c r="AN471" s="152"/>
      <c r="AO471" s="152"/>
      <c r="AP471" s="152">
        <v>2</v>
      </c>
      <c r="AQ471" s="152">
        <v>6</v>
      </c>
      <c r="AR471" s="152">
        <v>6</v>
      </c>
      <c r="AS471" s="152"/>
      <c r="AT471" s="152"/>
      <c r="AU471" s="152">
        <v>6</v>
      </c>
      <c r="AV471" s="152">
        <v>3</v>
      </c>
      <c r="AW471" s="152"/>
      <c r="AX471" s="152"/>
      <c r="AY471" s="152"/>
      <c r="AZ471" s="152">
        <v>3</v>
      </c>
      <c r="BA471" s="152">
        <v>9</v>
      </c>
      <c r="BB471" s="152">
        <v>3</v>
      </c>
      <c r="BC471" s="152"/>
      <c r="BD471" s="152">
        <v>3</v>
      </c>
      <c r="BE471" s="152">
        <v>1</v>
      </c>
      <c r="BF471" s="152"/>
      <c r="BG471" s="152"/>
      <c r="BH471" s="152"/>
      <c r="BI471" s="152">
        <v>1</v>
      </c>
      <c r="BJ471" s="152">
        <v>4</v>
      </c>
      <c r="BK471" s="152"/>
      <c r="BL471" s="152"/>
      <c r="BM471" s="152"/>
      <c r="BN471" s="152">
        <v>0</v>
      </c>
      <c r="BO471" s="152">
        <v>0</v>
      </c>
      <c r="BP471" s="152">
        <v>90</v>
      </c>
    </row>
    <row r="472" spans="1:68" x14ac:dyDescent="0.35">
      <c r="A472" s="146" t="s">
        <v>1149</v>
      </c>
      <c r="B472" s="146" t="s">
        <v>1150</v>
      </c>
      <c r="C472" s="152">
        <v>475</v>
      </c>
      <c r="D472" s="152">
        <v>2</v>
      </c>
      <c r="E472" s="152"/>
      <c r="F472" s="152"/>
      <c r="G472" s="152">
        <v>477</v>
      </c>
      <c r="H472" s="152">
        <v>100</v>
      </c>
      <c r="I472" s="152">
        <v>9</v>
      </c>
      <c r="J472" s="152">
        <v>3</v>
      </c>
      <c r="K472" s="152"/>
      <c r="L472" s="152">
        <v>112</v>
      </c>
      <c r="M472" s="152">
        <v>589</v>
      </c>
      <c r="N472" s="152">
        <v>14</v>
      </c>
      <c r="O472" s="152"/>
      <c r="P472" s="152"/>
      <c r="Q472" s="152">
        <v>14</v>
      </c>
      <c r="R472" s="152">
        <v>1</v>
      </c>
      <c r="S472" s="152"/>
      <c r="T472" s="152"/>
      <c r="U472" s="152"/>
      <c r="V472" s="152">
        <v>1</v>
      </c>
      <c r="W472" s="152">
        <v>15</v>
      </c>
      <c r="X472" s="152">
        <v>20</v>
      </c>
      <c r="Y472" s="152"/>
      <c r="Z472" s="152"/>
      <c r="AA472" s="152">
        <v>20</v>
      </c>
      <c r="AB472" s="152"/>
      <c r="AC472" s="152"/>
      <c r="AD472" s="152"/>
      <c r="AE472" s="152"/>
      <c r="AF472" s="152">
        <v>0</v>
      </c>
      <c r="AG472" s="152">
        <v>20</v>
      </c>
      <c r="AH472" s="152">
        <v>11</v>
      </c>
      <c r="AI472" s="152"/>
      <c r="AJ472" s="152"/>
      <c r="AK472" s="152">
        <v>11</v>
      </c>
      <c r="AL472" s="152"/>
      <c r="AM472" s="152"/>
      <c r="AN472" s="152"/>
      <c r="AO472" s="152"/>
      <c r="AP472" s="152">
        <v>0</v>
      </c>
      <c r="AQ472" s="152">
        <v>11</v>
      </c>
      <c r="AR472" s="152">
        <v>130</v>
      </c>
      <c r="AS472" s="152"/>
      <c r="AT472" s="152"/>
      <c r="AU472" s="152">
        <v>130</v>
      </c>
      <c r="AV472" s="152">
        <v>4</v>
      </c>
      <c r="AW472" s="152"/>
      <c r="AX472" s="152"/>
      <c r="AY472" s="152"/>
      <c r="AZ472" s="152">
        <v>4</v>
      </c>
      <c r="BA472" s="152">
        <v>134</v>
      </c>
      <c r="BB472" s="152">
        <v>6</v>
      </c>
      <c r="BC472" s="152"/>
      <c r="BD472" s="152">
        <v>6</v>
      </c>
      <c r="BE472" s="152"/>
      <c r="BF472" s="152"/>
      <c r="BG472" s="152"/>
      <c r="BH472" s="152"/>
      <c r="BI472" s="152">
        <v>0</v>
      </c>
      <c r="BJ472" s="152">
        <v>6</v>
      </c>
      <c r="BK472" s="152"/>
      <c r="BL472" s="152"/>
      <c r="BM472" s="152"/>
      <c r="BN472" s="152">
        <v>0</v>
      </c>
      <c r="BO472" s="152">
        <v>0</v>
      </c>
      <c r="BP472" s="152">
        <v>775</v>
      </c>
    </row>
    <row r="473" spans="1:68" x14ac:dyDescent="0.35">
      <c r="A473" s="146" t="s">
        <v>1151</v>
      </c>
      <c r="B473" s="146" t="s">
        <v>255</v>
      </c>
      <c r="C473" s="152">
        <v>2</v>
      </c>
      <c r="D473" s="152"/>
      <c r="E473" s="152"/>
      <c r="F473" s="152"/>
      <c r="G473" s="152">
        <v>2</v>
      </c>
      <c r="H473" s="152">
        <v>11</v>
      </c>
      <c r="I473" s="152"/>
      <c r="J473" s="152"/>
      <c r="K473" s="152"/>
      <c r="L473" s="152">
        <v>11</v>
      </c>
      <c r="M473" s="152">
        <v>13</v>
      </c>
      <c r="N473" s="152"/>
      <c r="O473" s="152"/>
      <c r="P473" s="152"/>
      <c r="Q473" s="152">
        <v>0</v>
      </c>
      <c r="R473" s="152"/>
      <c r="S473" s="152"/>
      <c r="T473" s="152"/>
      <c r="U473" s="152"/>
      <c r="V473" s="152">
        <v>0</v>
      </c>
      <c r="W473" s="152">
        <v>0</v>
      </c>
      <c r="X473" s="152"/>
      <c r="Y473" s="152"/>
      <c r="Z473" s="152"/>
      <c r="AA473" s="152">
        <v>0</v>
      </c>
      <c r="AB473" s="152">
        <v>1</v>
      </c>
      <c r="AC473" s="152"/>
      <c r="AD473" s="152"/>
      <c r="AE473" s="152"/>
      <c r="AF473" s="152">
        <v>1</v>
      </c>
      <c r="AG473" s="152">
        <v>1</v>
      </c>
      <c r="AH473" s="152"/>
      <c r="AI473" s="152"/>
      <c r="AJ473" s="152"/>
      <c r="AK473" s="152">
        <v>0</v>
      </c>
      <c r="AL473" s="152"/>
      <c r="AM473" s="152"/>
      <c r="AN473" s="152"/>
      <c r="AO473" s="152"/>
      <c r="AP473" s="152">
        <v>0</v>
      </c>
      <c r="AQ473" s="152">
        <v>0</v>
      </c>
      <c r="AR473" s="152"/>
      <c r="AS473" s="152"/>
      <c r="AT473" s="152"/>
      <c r="AU473" s="152">
        <v>0</v>
      </c>
      <c r="AV473" s="152"/>
      <c r="AW473" s="152"/>
      <c r="AX473" s="152"/>
      <c r="AY473" s="152"/>
      <c r="AZ473" s="152">
        <v>0</v>
      </c>
      <c r="BA473" s="152">
        <v>0</v>
      </c>
      <c r="BB473" s="152"/>
      <c r="BC473" s="152"/>
      <c r="BD473" s="152">
        <v>0</v>
      </c>
      <c r="BE473" s="152"/>
      <c r="BF473" s="152"/>
      <c r="BG473" s="152"/>
      <c r="BH473" s="152"/>
      <c r="BI473" s="152">
        <v>0</v>
      </c>
      <c r="BJ473" s="152">
        <v>0</v>
      </c>
      <c r="BK473" s="152"/>
      <c r="BL473" s="152"/>
      <c r="BM473" s="152"/>
      <c r="BN473" s="152">
        <v>0</v>
      </c>
      <c r="BO473" s="152">
        <v>0</v>
      </c>
      <c r="BP473" s="152">
        <v>14</v>
      </c>
    </row>
    <row r="474" spans="1:68" x14ac:dyDescent="0.35">
      <c r="A474" s="146" t="s">
        <v>1152</v>
      </c>
      <c r="B474" s="146" t="s">
        <v>1153</v>
      </c>
      <c r="C474" s="152"/>
      <c r="D474" s="152"/>
      <c r="E474" s="152"/>
      <c r="F474" s="152"/>
      <c r="G474" s="152">
        <v>0</v>
      </c>
      <c r="H474" s="152">
        <v>1</v>
      </c>
      <c r="I474" s="152"/>
      <c r="J474" s="152"/>
      <c r="K474" s="152"/>
      <c r="L474" s="152">
        <v>1</v>
      </c>
      <c r="M474" s="152">
        <v>1</v>
      </c>
      <c r="N474" s="152"/>
      <c r="O474" s="152"/>
      <c r="P474" s="152"/>
      <c r="Q474" s="152">
        <v>0</v>
      </c>
      <c r="R474" s="152"/>
      <c r="S474" s="152"/>
      <c r="T474" s="152"/>
      <c r="U474" s="152"/>
      <c r="V474" s="152">
        <v>0</v>
      </c>
      <c r="W474" s="152">
        <v>0</v>
      </c>
      <c r="X474" s="152"/>
      <c r="Y474" s="152"/>
      <c r="Z474" s="152"/>
      <c r="AA474" s="152">
        <v>0</v>
      </c>
      <c r="AB474" s="152"/>
      <c r="AC474" s="152"/>
      <c r="AD474" s="152"/>
      <c r="AE474" s="152"/>
      <c r="AF474" s="152">
        <v>0</v>
      </c>
      <c r="AG474" s="152">
        <v>0</v>
      </c>
      <c r="AH474" s="152"/>
      <c r="AI474" s="152"/>
      <c r="AJ474" s="152"/>
      <c r="AK474" s="152">
        <v>0</v>
      </c>
      <c r="AL474" s="152"/>
      <c r="AM474" s="152"/>
      <c r="AN474" s="152"/>
      <c r="AO474" s="152"/>
      <c r="AP474" s="152">
        <v>0</v>
      </c>
      <c r="AQ474" s="152">
        <v>0</v>
      </c>
      <c r="AR474" s="152"/>
      <c r="AS474" s="152"/>
      <c r="AT474" s="152"/>
      <c r="AU474" s="152">
        <v>0</v>
      </c>
      <c r="AV474" s="152"/>
      <c r="AW474" s="152"/>
      <c r="AX474" s="152"/>
      <c r="AY474" s="152"/>
      <c r="AZ474" s="152">
        <v>0</v>
      </c>
      <c r="BA474" s="152">
        <v>0</v>
      </c>
      <c r="BB474" s="152"/>
      <c r="BC474" s="152"/>
      <c r="BD474" s="152">
        <v>0</v>
      </c>
      <c r="BE474" s="152"/>
      <c r="BF474" s="152"/>
      <c r="BG474" s="152"/>
      <c r="BH474" s="152"/>
      <c r="BI474" s="152">
        <v>0</v>
      </c>
      <c r="BJ474" s="152">
        <v>0</v>
      </c>
      <c r="BK474" s="152"/>
      <c r="BL474" s="152"/>
      <c r="BM474" s="152"/>
      <c r="BN474" s="152">
        <v>0</v>
      </c>
      <c r="BO474" s="152">
        <v>0</v>
      </c>
      <c r="BP474" s="152">
        <v>1</v>
      </c>
    </row>
    <row r="475" spans="1:68" x14ac:dyDescent="0.35">
      <c r="A475" s="146" t="s">
        <v>1154</v>
      </c>
      <c r="B475" s="146" t="s">
        <v>1155</v>
      </c>
      <c r="C475" s="152"/>
      <c r="D475" s="152"/>
      <c r="E475" s="152"/>
      <c r="F475" s="152"/>
      <c r="G475" s="152">
        <v>0</v>
      </c>
      <c r="H475" s="152">
        <v>5</v>
      </c>
      <c r="I475" s="152">
        <v>5</v>
      </c>
      <c r="J475" s="152"/>
      <c r="K475" s="152"/>
      <c r="L475" s="152">
        <v>10</v>
      </c>
      <c r="M475" s="152">
        <v>10</v>
      </c>
      <c r="N475" s="152"/>
      <c r="O475" s="152"/>
      <c r="P475" s="152"/>
      <c r="Q475" s="152">
        <v>0</v>
      </c>
      <c r="R475" s="152"/>
      <c r="S475" s="152"/>
      <c r="T475" s="152"/>
      <c r="U475" s="152"/>
      <c r="V475" s="152">
        <v>0</v>
      </c>
      <c r="W475" s="152">
        <v>0</v>
      </c>
      <c r="X475" s="152"/>
      <c r="Y475" s="152"/>
      <c r="Z475" s="152"/>
      <c r="AA475" s="152">
        <v>0</v>
      </c>
      <c r="AB475" s="152"/>
      <c r="AC475" s="152"/>
      <c r="AD475" s="152"/>
      <c r="AE475" s="152"/>
      <c r="AF475" s="152">
        <v>0</v>
      </c>
      <c r="AG475" s="152">
        <v>0</v>
      </c>
      <c r="AH475" s="152"/>
      <c r="AI475" s="152"/>
      <c r="AJ475" s="152"/>
      <c r="AK475" s="152">
        <v>0</v>
      </c>
      <c r="AL475" s="152"/>
      <c r="AM475" s="152"/>
      <c r="AN475" s="152"/>
      <c r="AO475" s="152"/>
      <c r="AP475" s="152">
        <v>0</v>
      </c>
      <c r="AQ475" s="152">
        <v>0</v>
      </c>
      <c r="AR475" s="152"/>
      <c r="AS475" s="152"/>
      <c r="AT475" s="152"/>
      <c r="AU475" s="152">
        <v>0</v>
      </c>
      <c r="AV475" s="152"/>
      <c r="AW475" s="152"/>
      <c r="AX475" s="152"/>
      <c r="AY475" s="152"/>
      <c r="AZ475" s="152">
        <v>0</v>
      </c>
      <c r="BA475" s="152">
        <v>0</v>
      </c>
      <c r="BB475" s="152"/>
      <c r="BC475" s="152"/>
      <c r="BD475" s="152">
        <v>0</v>
      </c>
      <c r="BE475" s="152"/>
      <c r="BF475" s="152"/>
      <c r="BG475" s="152"/>
      <c r="BH475" s="152"/>
      <c r="BI475" s="152">
        <v>0</v>
      </c>
      <c r="BJ475" s="152">
        <v>0</v>
      </c>
      <c r="BK475" s="152"/>
      <c r="BL475" s="152"/>
      <c r="BM475" s="152"/>
      <c r="BN475" s="152">
        <v>0</v>
      </c>
      <c r="BO475" s="152">
        <v>0</v>
      </c>
      <c r="BP475" s="152">
        <v>10</v>
      </c>
    </row>
    <row r="476" spans="1:68" x14ac:dyDescent="0.35">
      <c r="A476" s="146" t="s">
        <v>1204</v>
      </c>
      <c r="B476" s="146" t="s">
        <v>67</v>
      </c>
      <c r="C476" s="152"/>
      <c r="D476" s="152"/>
      <c r="E476" s="152"/>
      <c r="F476" s="152"/>
      <c r="G476" s="152">
        <v>0</v>
      </c>
      <c r="H476" s="152"/>
      <c r="I476" s="152"/>
      <c r="J476" s="152"/>
      <c r="K476" s="152"/>
      <c r="L476" s="152">
        <v>0</v>
      </c>
      <c r="M476" s="152">
        <v>0</v>
      </c>
      <c r="N476" s="152"/>
      <c r="O476" s="152"/>
      <c r="P476" s="152"/>
      <c r="Q476" s="152">
        <v>0</v>
      </c>
      <c r="R476" s="152"/>
      <c r="S476" s="152"/>
      <c r="T476" s="152"/>
      <c r="U476" s="152"/>
      <c r="V476" s="152">
        <v>0</v>
      </c>
      <c r="W476" s="152">
        <v>0</v>
      </c>
      <c r="X476" s="152"/>
      <c r="Y476" s="152"/>
      <c r="Z476" s="152"/>
      <c r="AA476" s="152">
        <v>0</v>
      </c>
      <c r="AB476" s="152">
        <v>1</v>
      </c>
      <c r="AC476" s="152"/>
      <c r="AD476" s="152"/>
      <c r="AE476" s="152"/>
      <c r="AF476" s="152">
        <v>1</v>
      </c>
      <c r="AG476" s="152">
        <v>1</v>
      </c>
      <c r="AH476" s="152"/>
      <c r="AI476" s="152"/>
      <c r="AJ476" s="152"/>
      <c r="AK476" s="152">
        <v>0</v>
      </c>
      <c r="AL476" s="152"/>
      <c r="AM476" s="152"/>
      <c r="AN476" s="152"/>
      <c r="AO476" s="152"/>
      <c r="AP476" s="152">
        <v>0</v>
      </c>
      <c r="AQ476" s="152">
        <v>0</v>
      </c>
      <c r="AR476" s="152"/>
      <c r="AS476" s="152"/>
      <c r="AT476" s="152"/>
      <c r="AU476" s="152">
        <v>0</v>
      </c>
      <c r="AV476" s="152"/>
      <c r="AW476" s="152"/>
      <c r="AX476" s="152"/>
      <c r="AY476" s="152"/>
      <c r="AZ476" s="152">
        <v>0</v>
      </c>
      <c r="BA476" s="152">
        <v>0</v>
      </c>
      <c r="BB476" s="152"/>
      <c r="BC476" s="152"/>
      <c r="BD476" s="152">
        <v>0</v>
      </c>
      <c r="BE476" s="152"/>
      <c r="BF476" s="152"/>
      <c r="BG476" s="152"/>
      <c r="BH476" s="152"/>
      <c r="BI476" s="152">
        <v>0</v>
      </c>
      <c r="BJ476" s="152">
        <v>0</v>
      </c>
      <c r="BK476" s="152"/>
      <c r="BL476" s="152"/>
      <c r="BM476" s="152"/>
      <c r="BN476" s="152">
        <v>0</v>
      </c>
      <c r="BO476" s="152">
        <v>0</v>
      </c>
      <c r="BP476" s="152">
        <v>1</v>
      </c>
    </row>
    <row r="477" spans="1:68" x14ac:dyDescent="0.35">
      <c r="A477" s="146" t="s">
        <v>1193</v>
      </c>
      <c r="B477" s="146" t="s">
        <v>1193</v>
      </c>
      <c r="C477" s="152">
        <v>1</v>
      </c>
      <c r="D477" s="152"/>
      <c r="E477" s="152"/>
      <c r="F477" s="152"/>
      <c r="G477" s="152">
        <v>1</v>
      </c>
      <c r="H477" s="152">
        <v>1</v>
      </c>
      <c r="I477" s="152">
        <v>3</v>
      </c>
      <c r="J477" s="152">
        <v>2</v>
      </c>
      <c r="K477" s="152"/>
      <c r="L477" s="152">
        <v>6</v>
      </c>
      <c r="M477" s="152">
        <v>7</v>
      </c>
      <c r="N477" s="152"/>
      <c r="O477" s="152"/>
      <c r="P477" s="152"/>
      <c r="Q477" s="152">
        <v>0</v>
      </c>
      <c r="R477" s="152"/>
      <c r="S477" s="152"/>
      <c r="T477" s="152"/>
      <c r="U477" s="152"/>
      <c r="V477" s="152">
        <v>0</v>
      </c>
      <c r="W477" s="152">
        <v>0</v>
      </c>
      <c r="X477" s="152"/>
      <c r="Y477" s="152"/>
      <c r="Z477" s="152"/>
      <c r="AA477" s="152">
        <v>0</v>
      </c>
      <c r="AB477" s="152"/>
      <c r="AC477" s="152"/>
      <c r="AD477" s="152"/>
      <c r="AE477" s="152"/>
      <c r="AF477" s="152">
        <v>0</v>
      </c>
      <c r="AG477" s="152">
        <v>0</v>
      </c>
      <c r="AH477" s="152"/>
      <c r="AI477" s="152"/>
      <c r="AJ477" s="152"/>
      <c r="AK477" s="152">
        <v>0</v>
      </c>
      <c r="AL477" s="152"/>
      <c r="AM477" s="152"/>
      <c r="AN477" s="152"/>
      <c r="AO477" s="152"/>
      <c r="AP477" s="152">
        <v>0</v>
      </c>
      <c r="AQ477" s="152">
        <v>0</v>
      </c>
      <c r="AR477" s="152"/>
      <c r="AS477" s="152"/>
      <c r="AT477" s="152"/>
      <c r="AU477" s="152">
        <v>0</v>
      </c>
      <c r="AV477" s="152"/>
      <c r="AW477" s="152"/>
      <c r="AX477" s="152"/>
      <c r="AY477" s="152"/>
      <c r="AZ477" s="152">
        <v>0</v>
      </c>
      <c r="BA477" s="152">
        <v>0</v>
      </c>
      <c r="BB477" s="152"/>
      <c r="BC477" s="152"/>
      <c r="BD477" s="152">
        <v>0</v>
      </c>
      <c r="BE477" s="152"/>
      <c r="BF477" s="152"/>
      <c r="BG477" s="152"/>
      <c r="BH477" s="152"/>
      <c r="BI477" s="152">
        <v>0</v>
      </c>
      <c r="BJ477" s="152">
        <v>0</v>
      </c>
      <c r="BK477" s="152"/>
      <c r="BL477" s="152"/>
      <c r="BM477" s="152"/>
      <c r="BN477" s="152">
        <v>0</v>
      </c>
      <c r="BO477" s="152">
        <v>0</v>
      </c>
      <c r="BP477" s="152">
        <v>7</v>
      </c>
    </row>
    <row r="478" spans="1:68" x14ac:dyDescent="0.35">
      <c r="A478" s="59" t="s">
        <v>16</v>
      </c>
      <c r="B478" s="59"/>
      <c r="C478" s="153">
        <v>56035</v>
      </c>
      <c r="D478" s="153">
        <v>576</v>
      </c>
      <c r="E478" s="153">
        <v>70</v>
      </c>
      <c r="F478" s="153">
        <v>2</v>
      </c>
      <c r="G478" s="153">
        <v>56683</v>
      </c>
      <c r="H478" s="153">
        <v>45075</v>
      </c>
      <c r="I478" s="153">
        <v>12504</v>
      </c>
      <c r="J478" s="153">
        <v>3283</v>
      </c>
      <c r="K478" s="153">
        <v>896</v>
      </c>
      <c r="L478" s="153">
        <v>61758</v>
      </c>
      <c r="M478" s="153">
        <v>118441</v>
      </c>
      <c r="N478" s="153">
        <v>8164</v>
      </c>
      <c r="O478" s="153">
        <v>19</v>
      </c>
      <c r="P478" s="153">
        <v>6</v>
      </c>
      <c r="Q478" s="153">
        <v>8189</v>
      </c>
      <c r="R478" s="153">
        <v>996</v>
      </c>
      <c r="S478" s="153">
        <v>215</v>
      </c>
      <c r="T478" s="153">
        <v>48</v>
      </c>
      <c r="U478" s="153">
        <v>12</v>
      </c>
      <c r="V478" s="153">
        <v>1271</v>
      </c>
      <c r="W478" s="153">
        <v>9460</v>
      </c>
      <c r="X478" s="153">
        <v>5184</v>
      </c>
      <c r="Y478" s="153">
        <v>24</v>
      </c>
      <c r="Z478" s="153">
        <v>6</v>
      </c>
      <c r="AA478" s="153">
        <v>5214</v>
      </c>
      <c r="AB478" s="153">
        <v>808</v>
      </c>
      <c r="AC478" s="153">
        <v>213</v>
      </c>
      <c r="AD478" s="153">
        <v>33</v>
      </c>
      <c r="AE478" s="153">
        <v>5</v>
      </c>
      <c r="AF478" s="153">
        <v>1059</v>
      </c>
      <c r="AG478" s="153">
        <v>6273</v>
      </c>
      <c r="AH478" s="153">
        <v>2890</v>
      </c>
      <c r="AI478" s="153">
        <v>38</v>
      </c>
      <c r="AJ478" s="153">
        <v>3</v>
      </c>
      <c r="AK478" s="153">
        <v>2931</v>
      </c>
      <c r="AL478" s="153">
        <v>528</v>
      </c>
      <c r="AM478" s="153">
        <v>129</v>
      </c>
      <c r="AN478" s="153">
        <v>13</v>
      </c>
      <c r="AO478" s="153">
        <v>1</v>
      </c>
      <c r="AP478" s="153">
        <v>671</v>
      </c>
      <c r="AQ478" s="153">
        <v>3602</v>
      </c>
      <c r="AR478" s="153">
        <v>12256</v>
      </c>
      <c r="AS478" s="153">
        <v>51</v>
      </c>
      <c r="AT478" s="153">
        <v>3</v>
      </c>
      <c r="AU478" s="153">
        <v>12310</v>
      </c>
      <c r="AV478" s="153">
        <v>3605</v>
      </c>
      <c r="AW478" s="153">
        <v>532</v>
      </c>
      <c r="AX478" s="153">
        <v>116</v>
      </c>
      <c r="AY478" s="153">
        <v>41</v>
      </c>
      <c r="AZ478" s="153">
        <v>4294</v>
      </c>
      <c r="BA478" s="153">
        <v>16604</v>
      </c>
      <c r="BB478" s="153">
        <v>4030</v>
      </c>
      <c r="BC478" s="153">
        <v>18</v>
      </c>
      <c r="BD478" s="153">
        <v>4048</v>
      </c>
      <c r="BE478" s="153">
        <v>485</v>
      </c>
      <c r="BF478" s="153">
        <v>80</v>
      </c>
      <c r="BG478" s="153">
        <v>12</v>
      </c>
      <c r="BH478" s="153"/>
      <c r="BI478" s="153">
        <v>578</v>
      </c>
      <c r="BJ478" s="153">
        <v>4626</v>
      </c>
      <c r="BK478" s="153">
        <v>2</v>
      </c>
      <c r="BL478" s="153">
        <v>2</v>
      </c>
      <c r="BM478" s="153">
        <v>1</v>
      </c>
      <c r="BN478" s="153">
        <v>1</v>
      </c>
      <c r="BO478" s="153">
        <v>3</v>
      </c>
      <c r="BP478" s="153">
        <v>159009</v>
      </c>
    </row>
    <row r="480" spans="1:68" x14ac:dyDescent="0.35">
      <c r="A480" t="s">
        <v>1356</v>
      </c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</row>
    <row r="481" spans="1:67" x14ac:dyDescent="0.35">
      <c r="A481" t="s">
        <v>1318</v>
      </c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</row>
    <row r="482" spans="1:67" x14ac:dyDescent="0.35">
      <c r="A482" t="s">
        <v>17</v>
      </c>
    </row>
    <row r="483" spans="1:67" x14ac:dyDescent="0.35">
      <c r="A483" t="s">
        <v>1320</v>
      </c>
    </row>
  </sheetData>
  <mergeCells count="43">
    <mergeCell ref="BB4:BC4"/>
    <mergeCell ref="BE4:BH4"/>
    <mergeCell ref="BN4:BN5"/>
    <mergeCell ref="M3:M5"/>
    <mergeCell ref="W3:W5"/>
    <mergeCell ref="X3:AF3"/>
    <mergeCell ref="AU4:AU5"/>
    <mergeCell ref="AR3:AZ3"/>
    <mergeCell ref="AG3:AG5"/>
    <mergeCell ref="AH3:AP3"/>
    <mergeCell ref="AQ3:AQ5"/>
    <mergeCell ref="AK4:AK5"/>
    <mergeCell ref="AV4:AY4"/>
    <mergeCell ref="AZ4:AZ5"/>
    <mergeCell ref="AB4:AE4"/>
    <mergeCell ref="AF4:AF5"/>
    <mergeCell ref="AL4:AO4"/>
    <mergeCell ref="AP4:AP5"/>
    <mergeCell ref="AR4:AT4"/>
    <mergeCell ref="BO3:BO5"/>
    <mergeCell ref="BP3:BP5"/>
    <mergeCell ref="N3:V3"/>
    <mergeCell ref="BA3:BA5"/>
    <mergeCell ref="A478:B478"/>
    <mergeCell ref="Q4:Q5"/>
    <mergeCell ref="R4:U4"/>
    <mergeCell ref="V4:V5"/>
    <mergeCell ref="AA4:AA5"/>
    <mergeCell ref="C4:F4"/>
    <mergeCell ref="G4:G5"/>
    <mergeCell ref="H4:K4"/>
    <mergeCell ref="L4:L5"/>
    <mergeCell ref="N4:P4"/>
    <mergeCell ref="A3:A5"/>
    <mergeCell ref="B3:B5"/>
    <mergeCell ref="X4:Z4"/>
    <mergeCell ref="C3:L3"/>
    <mergeCell ref="BL4:BL5"/>
    <mergeCell ref="BD4:BD5"/>
    <mergeCell ref="BI4:BI5"/>
    <mergeCell ref="BK3:BN3"/>
    <mergeCell ref="BB3:BI3"/>
    <mergeCell ref="BJ3:BJ5"/>
  </mergeCells>
  <hyperlinks>
    <hyperlink ref="K1" location="Índice!A1" display="Volver al índice" xr:uid="{6858ED31-5215-4DC4-B0C8-E0324C27D8DC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D48D-6C26-4E70-8074-D1571DDFC12D}">
  <dimension ref="A1:K33"/>
  <sheetViews>
    <sheetView workbookViewId="0">
      <selection activeCell="I1" sqref="I1"/>
    </sheetView>
  </sheetViews>
  <sheetFormatPr baseColWidth="10" defaultColWidth="11.453125" defaultRowHeight="14.5" x14ac:dyDescent="0.35"/>
  <cols>
    <col min="1" max="1" width="29" customWidth="1"/>
    <col min="2" max="2" width="19.81640625" customWidth="1"/>
    <col min="3" max="3" width="19.7265625" customWidth="1"/>
    <col min="4" max="5" width="11.7265625" bestFit="1" customWidth="1"/>
    <col min="6" max="6" width="18.81640625" bestFit="1" customWidth="1"/>
    <col min="7" max="7" width="20.453125" bestFit="1" customWidth="1"/>
    <col min="8" max="8" width="21.54296875" bestFit="1" customWidth="1"/>
    <col min="9" max="9" width="22.54296875" bestFit="1" customWidth="1"/>
    <col min="10" max="10" width="11.7265625" bestFit="1" customWidth="1"/>
    <col min="11" max="11" width="22.54296875" bestFit="1" customWidth="1"/>
  </cols>
  <sheetData>
    <row r="1" spans="1:11" ht="18.5" x14ac:dyDescent="0.45">
      <c r="A1" s="21" t="s">
        <v>1304</v>
      </c>
      <c r="I1" s="17" t="s">
        <v>1</v>
      </c>
    </row>
    <row r="2" spans="1:11" ht="18.5" x14ac:dyDescent="0.45">
      <c r="A2" s="21"/>
      <c r="I2" s="17"/>
    </row>
    <row r="4" spans="1:11" ht="15" customHeight="1" x14ac:dyDescent="0.35">
      <c r="A4" s="88" t="s">
        <v>1165</v>
      </c>
      <c r="B4" s="59" t="s">
        <v>3</v>
      </c>
      <c r="C4" s="59"/>
      <c r="D4" s="59"/>
      <c r="E4" s="59"/>
      <c r="F4" s="59" t="s">
        <v>4</v>
      </c>
      <c r="G4" s="59"/>
      <c r="H4" s="59"/>
      <c r="I4" s="59"/>
      <c r="J4" s="84" t="s">
        <v>20</v>
      </c>
      <c r="K4" s="86" t="s">
        <v>21</v>
      </c>
    </row>
    <row r="5" spans="1:11" x14ac:dyDescent="0.35">
      <c r="A5" s="88"/>
      <c r="B5" s="6" t="s">
        <v>22</v>
      </c>
      <c r="C5" s="6" t="s">
        <v>23</v>
      </c>
      <c r="D5" s="6" t="s">
        <v>24</v>
      </c>
      <c r="E5" s="6" t="s">
        <v>25</v>
      </c>
      <c r="F5" s="6" t="s">
        <v>22</v>
      </c>
      <c r="G5" s="6" t="s">
        <v>23</v>
      </c>
      <c r="H5" s="6" t="s">
        <v>24</v>
      </c>
      <c r="I5" s="6" t="s">
        <v>25</v>
      </c>
      <c r="J5" s="85"/>
      <c r="K5" s="87"/>
    </row>
    <row r="6" spans="1:11" x14ac:dyDescent="0.35">
      <c r="A6" s="145" t="s">
        <v>1277</v>
      </c>
      <c r="B6" s="34">
        <v>1054</v>
      </c>
      <c r="C6" s="34">
        <v>88</v>
      </c>
      <c r="D6" s="34">
        <v>20</v>
      </c>
      <c r="E6" s="34">
        <v>10</v>
      </c>
      <c r="F6" s="34">
        <v>45896491852</v>
      </c>
      <c r="G6" s="34">
        <v>170864425152</v>
      </c>
      <c r="H6" s="34">
        <v>289277002806</v>
      </c>
      <c r="I6" s="34">
        <v>1181067574200</v>
      </c>
      <c r="J6" s="34">
        <f>SUM(B6:E6)</f>
        <v>1172</v>
      </c>
      <c r="K6" s="34">
        <f>SUM(F6:I6)</f>
        <v>1687105494010</v>
      </c>
    </row>
    <row r="7" spans="1:11" x14ac:dyDescent="0.35">
      <c r="A7" s="145" t="s">
        <v>1166</v>
      </c>
      <c r="B7" s="34">
        <v>4186</v>
      </c>
      <c r="C7" s="34">
        <v>144</v>
      </c>
      <c r="D7" s="34">
        <v>27</v>
      </c>
      <c r="E7" s="34">
        <v>3</v>
      </c>
      <c r="F7" s="34">
        <v>91310191977</v>
      </c>
      <c r="G7" s="34">
        <v>269477325924</v>
      </c>
      <c r="H7" s="34">
        <v>365881829095</v>
      </c>
      <c r="I7" s="34">
        <v>231697139893</v>
      </c>
      <c r="J7" s="34">
        <f t="shared" ref="J7:J27" si="0">SUM(B7:E7)</f>
        <v>4360</v>
      </c>
      <c r="K7" s="34">
        <f t="shared" ref="K7:K27" si="1">SUM(F7:I7)</f>
        <v>958366486889</v>
      </c>
    </row>
    <row r="8" spans="1:11" x14ac:dyDescent="0.35">
      <c r="A8" s="145" t="s">
        <v>1167</v>
      </c>
      <c r="B8" s="34">
        <v>9292</v>
      </c>
      <c r="C8" s="34">
        <v>899</v>
      </c>
      <c r="D8" s="34">
        <v>126</v>
      </c>
      <c r="E8" s="34">
        <v>29</v>
      </c>
      <c r="F8" s="34">
        <v>453028703852</v>
      </c>
      <c r="G8" s="34">
        <v>1874540935648</v>
      </c>
      <c r="H8" s="34">
        <v>1814717272749</v>
      </c>
      <c r="I8" s="34">
        <v>7216602106681</v>
      </c>
      <c r="J8" s="34">
        <f t="shared" si="0"/>
        <v>10346</v>
      </c>
      <c r="K8" s="34">
        <f t="shared" si="1"/>
        <v>11358889018930</v>
      </c>
    </row>
    <row r="9" spans="1:11" x14ac:dyDescent="0.35">
      <c r="A9" s="145" t="s">
        <v>1168</v>
      </c>
      <c r="B9" s="34">
        <v>4342</v>
      </c>
      <c r="C9" s="34">
        <v>222</v>
      </c>
      <c r="D9" s="34">
        <v>47</v>
      </c>
      <c r="E9" s="34">
        <v>9</v>
      </c>
      <c r="F9" s="34">
        <v>140016126099</v>
      </c>
      <c r="G9" s="34">
        <v>434705525834</v>
      </c>
      <c r="H9" s="34">
        <v>720108489237</v>
      </c>
      <c r="I9" s="34">
        <v>1785658733301</v>
      </c>
      <c r="J9" s="34">
        <f t="shared" si="0"/>
        <v>4620</v>
      </c>
      <c r="K9" s="34">
        <f t="shared" si="1"/>
        <v>3080488874471</v>
      </c>
    </row>
    <row r="10" spans="1:11" x14ac:dyDescent="0.35">
      <c r="A10" s="145" t="s">
        <v>1169</v>
      </c>
      <c r="B10" s="34">
        <v>3616</v>
      </c>
      <c r="C10" s="34">
        <v>242</v>
      </c>
      <c r="D10" s="34">
        <v>66</v>
      </c>
      <c r="E10" s="34">
        <v>20</v>
      </c>
      <c r="F10" s="34">
        <v>108715376840</v>
      </c>
      <c r="G10" s="34">
        <v>545107054243</v>
      </c>
      <c r="H10" s="34">
        <v>951932735929</v>
      </c>
      <c r="I10" s="34">
        <v>5702601427104</v>
      </c>
      <c r="J10" s="34">
        <f t="shared" si="0"/>
        <v>3944</v>
      </c>
      <c r="K10" s="34">
        <f t="shared" si="1"/>
        <v>7308356594116</v>
      </c>
    </row>
    <row r="11" spans="1:11" x14ac:dyDescent="0.35">
      <c r="A11" s="145" t="s">
        <v>1170</v>
      </c>
      <c r="B11" s="34">
        <v>2748</v>
      </c>
      <c r="C11" s="34">
        <v>26</v>
      </c>
      <c r="D11" s="34">
        <v>7</v>
      </c>
      <c r="E11" s="34"/>
      <c r="F11" s="34">
        <v>52529057954</v>
      </c>
      <c r="G11" s="34">
        <v>51982601827</v>
      </c>
      <c r="H11" s="34">
        <v>102510511163</v>
      </c>
      <c r="I11" s="34"/>
      <c r="J11" s="34">
        <f t="shared" si="0"/>
        <v>2781</v>
      </c>
      <c r="K11" s="34">
        <f t="shared" si="1"/>
        <v>207022170944</v>
      </c>
    </row>
    <row r="12" spans="1:11" x14ac:dyDescent="0.35">
      <c r="A12" s="145" t="s">
        <v>1171</v>
      </c>
      <c r="B12" s="34">
        <v>16707</v>
      </c>
      <c r="C12" s="34">
        <v>5349</v>
      </c>
      <c r="D12" s="34">
        <v>1738</v>
      </c>
      <c r="E12" s="34">
        <v>496</v>
      </c>
      <c r="F12" s="34">
        <v>1537990196790</v>
      </c>
      <c r="G12" s="34">
        <v>12433050166646</v>
      </c>
      <c r="H12" s="34">
        <v>27755865183341</v>
      </c>
      <c r="I12" s="34">
        <v>613089091622625</v>
      </c>
      <c r="J12" s="34">
        <f t="shared" si="0"/>
        <v>24290</v>
      </c>
      <c r="K12" s="34">
        <f t="shared" si="1"/>
        <v>654815997169402</v>
      </c>
    </row>
    <row r="13" spans="1:11" x14ac:dyDescent="0.35">
      <c r="A13" s="145" t="s">
        <v>1172</v>
      </c>
      <c r="B13" s="34">
        <v>4677</v>
      </c>
      <c r="C13" s="34">
        <v>1176</v>
      </c>
      <c r="D13" s="34">
        <v>332</v>
      </c>
      <c r="E13" s="34">
        <v>102</v>
      </c>
      <c r="F13" s="34">
        <v>326735043705</v>
      </c>
      <c r="G13" s="34">
        <v>2667980633186</v>
      </c>
      <c r="H13" s="34">
        <v>5460361796093</v>
      </c>
      <c r="I13" s="34">
        <v>55997865025795</v>
      </c>
      <c r="J13" s="34">
        <f t="shared" si="0"/>
        <v>6287</v>
      </c>
      <c r="K13" s="34">
        <f t="shared" si="1"/>
        <v>64452942498779</v>
      </c>
    </row>
    <row r="14" spans="1:11" x14ac:dyDescent="0.35">
      <c r="A14" s="145" t="s">
        <v>1173</v>
      </c>
      <c r="B14" s="34">
        <v>4560</v>
      </c>
      <c r="C14" s="34">
        <v>328</v>
      </c>
      <c r="D14" s="34">
        <v>39</v>
      </c>
      <c r="E14" s="34">
        <v>2</v>
      </c>
      <c r="F14" s="34">
        <v>200620400412</v>
      </c>
      <c r="G14" s="34">
        <v>595837974770</v>
      </c>
      <c r="H14" s="34">
        <v>539547094263</v>
      </c>
      <c r="I14" s="34">
        <v>103277841878</v>
      </c>
      <c r="J14" s="34">
        <f t="shared" si="0"/>
        <v>4929</v>
      </c>
      <c r="K14" s="34">
        <f t="shared" si="1"/>
        <v>1439283311323</v>
      </c>
    </row>
    <row r="15" spans="1:11" x14ac:dyDescent="0.35">
      <c r="A15" s="145" t="s">
        <v>1174</v>
      </c>
      <c r="B15" s="34">
        <v>20025</v>
      </c>
      <c r="C15" s="34">
        <v>2394</v>
      </c>
      <c r="D15" s="34">
        <v>545</v>
      </c>
      <c r="E15" s="34">
        <v>134</v>
      </c>
      <c r="F15" s="34">
        <v>929250159251</v>
      </c>
      <c r="G15" s="34">
        <v>5305980869168</v>
      </c>
      <c r="H15" s="34">
        <v>7983305912774</v>
      </c>
      <c r="I15" s="34">
        <v>29567899199851</v>
      </c>
      <c r="J15" s="34">
        <f t="shared" si="0"/>
        <v>23098</v>
      </c>
      <c r="K15" s="34">
        <f t="shared" si="1"/>
        <v>43786436141044</v>
      </c>
    </row>
    <row r="16" spans="1:11" x14ac:dyDescent="0.35">
      <c r="A16" s="145" t="s">
        <v>1278</v>
      </c>
      <c r="B16" s="34">
        <v>9937</v>
      </c>
      <c r="C16" s="34">
        <v>1382</v>
      </c>
      <c r="D16" s="34">
        <v>229</v>
      </c>
      <c r="E16" s="34">
        <v>39</v>
      </c>
      <c r="F16" s="34">
        <v>605717404330</v>
      </c>
      <c r="G16" s="34">
        <v>2934881597288</v>
      </c>
      <c r="H16" s="34">
        <v>3068581542679</v>
      </c>
      <c r="I16" s="34">
        <v>48849320224616</v>
      </c>
      <c r="J16" s="34">
        <f t="shared" si="0"/>
        <v>11587</v>
      </c>
      <c r="K16" s="34">
        <f t="shared" si="1"/>
        <v>55458500768913</v>
      </c>
    </row>
    <row r="17" spans="1:11" x14ac:dyDescent="0.35">
      <c r="A17" s="145" t="s">
        <v>1175</v>
      </c>
      <c r="B17" s="34">
        <v>2534</v>
      </c>
      <c r="C17" s="34">
        <v>49</v>
      </c>
      <c r="D17" s="34">
        <v>4</v>
      </c>
      <c r="E17" s="34">
        <v>8</v>
      </c>
      <c r="F17" s="34">
        <v>40503341348</v>
      </c>
      <c r="G17" s="34">
        <v>83461946700</v>
      </c>
      <c r="H17" s="34">
        <v>59597259000</v>
      </c>
      <c r="I17" s="34">
        <v>2549479122588</v>
      </c>
      <c r="J17" s="34">
        <f t="shared" si="0"/>
        <v>2595</v>
      </c>
      <c r="K17" s="34">
        <f t="shared" si="1"/>
        <v>2733041669636</v>
      </c>
    </row>
    <row r="18" spans="1:11" x14ac:dyDescent="0.35">
      <c r="A18" s="145" t="s">
        <v>1279</v>
      </c>
      <c r="B18" s="34">
        <v>89</v>
      </c>
      <c r="C18" s="34">
        <v>3</v>
      </c>
      <c r="D18" s="34"/>
      <c r="E18" s="34"/>
      <c r="F18" s="34">
        <v>1154691474</v>
      </c>
      <c r="G18" s="34">
        <v>6413134264</v>
      </c>
      <c r="H18" s="34"/>
      <c r="I18" s="34"/>
      <c r="J18" s="34">
        <f t="shared" si="0"/>
        <v>92</v>
      </c>
      <c r="K18" s="34">
        <f t="shared" si="1"/>
        <v>7567825738</v>
      </c>
    </row>
    <row r="19" spans="1:11" x14ac:dyDescent="0.35">
      <c r="A19" s="145" t="s">
        <v>1176</v>
      </c>
      <c r="B19" s="34">
        <v>1701</v>
      </c>
      <c r="C19" s="34">
        <v>70</v>
      </c>
      <c r="D19" s="34">
        <v>16</v>
      </c>
      <c r="E19" s="34">
        <v>9</v>
      </c>
      <c r="F19" s="34">
        <v>37104197391</v>
      </c>
      <c r="G19" s="34">
        <v>146286517410</v>
      </c>
      <c r="H19" s="34">
        <v>247073361244</v>
      </c>
      <c r="I19" s="34">
        <v>21173664086123</v>
      </c>
      <c r="J19" s="34">
        <f t="shared" si="0"/>
        <v>1796</v>
      </c>
      <c r="K19" s="34">
        <f t="shared" si="1"/>
        <v>21604128162168</v>
      </c>
    </row>
    <row r="20" spans="1:11" x14ac:dyDescent="0.35">
      <c r="A20" s="145" t="s">
        <v>1177</v>
      </c>
      <c r="B20" s="34">
        <v>3956</v>
      </c>
      <c r="C20" s="34">
        <v>143</v>
      </c>
      <c r="D20" s="34">
        <v>18</v>
      </c>
      <c r="E20" s="34">
        <v>2</v>
      </c>
      <c r="F20" s="34">
        <v>114012060282</v>
      </c>
      <c r="G20" s="34">
        <v>251860161316</v>
      </c>
      <c r="H20" s="34">
        <v>310395528113</v>
      </c>
      <c r="I20" s="34">
        <v>3322345435206</v>
      </c>
      <c r="J20" s="34">
        <f t="shared" si="0"/>
        <v>4119</v>
      </c>
      <c r="K20" s="34">
        <f t="shared" si="1"/>
        <v>3998613184917</v>
      </c>
    </row>
    <row r="21" spans="1:11" x14ac:dyDescent="0.35">
      <c r="A21" s="145" t="s">
        <v>1280</v>
      </c>
      <c r="B21" s="34">
        <v>1780</v>
      </c>
      <c r="C21" s="34">
        <v>115</v>
      </c>
      <c r="D21" s="34">
        <v>29</v>
      </c>
      <c r="E21" s="34">
        <v>6</v>
      </c>
      <c r="F21" s="34">
        <v>60530514558</v>
      </c>
      <c r="G21" s="34">
        <v>217514634778</v>
      </c>
      <c r="H21" s="34">
        <v>537704032351</v>
      </c>
      <c r="I21" s="34">
        <v>1020997361878</v>
      </c>
      <c r="J21" s="34">
        <f t="shared" si="0"/>
        <v>1930</v>
      </c>
      <c r="K21" s="34">
        <f t="shared" si="1"/>
        <v>1836746543565</v>
      </c>
    </row>
    <row r="22" spans="1:11" x14ac:dyDescent="0.35">
      <c r="A22" s="145" t="s">
        <v>1281</v>
      </c>
      <c r="B22" s="34">
        <v>1561</v>
      </c>
      <c r="C22" s="34">
        <v>45</v>
      </c>
      <c r="D22" s="34">
        <v>4</v>
      </c>
      <c r="E22" s="34">
        <v>2</v>
      </c>
      <c r="F22" s="34">
        <v>31379997879</v>
      </c>
      <c r="G22" s="34">
        <v>98803007504</v>
      </c>
      <c r="H22" s="34">
        <v>48901719952</v>
      </c>
      <c r="I22" s="34">
        <v>3169815468902</v>
      </c>
      <c r="J22" s="34">
        <f t="shared" si="0"/>
        <v>1612</v>
      </c>
      <c r="K22" s="34">
        <f t="shared" si="1"/>
        <v>3348900194237</v>
      </c>
    </row>
    <row r="23" spans="1:11" x14ac:dyDescent="0.35">
      <c r="A23" s="145" t="s">
        <v>1178</v>
      </c>
      <c r="B23" s="34">
        <v>2713</v>
      </c>
      <c r="C23" s="34">
        <v>57</v>
      </c>
      <c r="D23" s="34">
        <v>11</v>
      </c>
      <c r="E23" s="34"/>
      <c r="F23" s="34">
        <v>61650984273</v>
      </c>
      <c r="G23" s="34">
        <v>84107636684</v>
      </c>
      <c r="H23" s="34">
        <v>144789476518</v>
      </c>
      <c r="I23" s="34"/>
      <c r="J23" s="34">
        <f t="shared" si="0"/>
        <v>2781</v>
      </c>
      <c r="K23" s="34">
        <f t="shared" si="1"/>
        <v>290548097475</v>
      </c>
    </row>
    <row r="24" spans="1:11" x14ac:dyDescent="0.35">
      <c r="A24" s="145" t="s">
        <v>1179</v>
      </c>
      <c r="B24" s="34">
        <v>1725</v>
      </c>
      <c r="C24" s="34">
        <v>27</v>
      </c>
      <c r="D24" s="34">
        <v>10</v>
      </c>
      <c r="E24" s="34">
        <v>1</v>
      </c>
      <c r="F24" s="34">
        <v>26381077958</v>
      </c>
      <c r="G24" s="34">
        <v>47843155814</v>
      </c>
      <c r="H24" s="34">
        <v>116277783730</v>
      </c>
      <c r="I24" s="34">
        <v>58328230577</v>
      </c>
      <c r="J24" s="34">
        <f t="shared" si="0"/>
        <v>1763</v>
      </c>
      <c r="K24" s="34">
        <f t="shared" si="1"/>
        <v>248830248079</v>
      </c>
    </row>
    <row r="25" spans="1:11" x14ac:dyDescent="0.35">
      <c r="A25" s="145" t="s">
        <v>1282</v>
      </c>
      <c r="B25" s="34">
        <v>798</v>
      </c>
      <c r="C25" s="34">
        <v>176</v>
      </c>
      <c r="D25" s="34">
        <v>55</v>
      </c>
      <c r="E25" s="34">
        <v>19</v>
      </c>
      <c r="F25" s="34">
        <v>51021657037</v>
      </c>
      <c r="G25" s="34">
        <v>442288946486</v>
      </c>
      <c r="H25" s="34">
        <v>699783622714</v>
      </c>
      <c r="I25" s="34">
        <v>2384602157243</v>
      </c>
      <c r="J25" s="34">
        <f t="shared" si="0"/>
        <v>1048</v>
      </c>
      <c r="K25" s="34">
        <f t="shared" si="1"/>
        <v>3577696383480</v>
      </c>
    </row>
    <row r="26" spans="1:11" x14ac:dyDescent="0.35">
      <c r="A26" s="145" t="s">
        <v>1180</v>
      </c>
      <c r="B26" s="34">
        <v>2709</v>
      </c>
      <c r="C26" s="34">
        <v>76</v>
      </c>
      <c r="D26" s="34">
        <v>10</v>
      </c>
      <c r="E26" s="34">
        <v>2</v>
      </c>
      <c r="F26" s="34">
        <v>62848858067</v>
      </c>
      <c r="G26" s="34">
        <v>178896481173</v>
      </c>
      <c r="H26" s="34">
        <v>161929700514</v>
      </c>
      <c r="I26" s="34">
        <v>260847930088</v>
      </c>
      <c r="J26" s="34">
        <f t="shared" si="0"/>
        <v>2797</v>
      </c>
      <c r="K26" s="34">
        <f t="shared" si="1"/>
        <v>664522969842</v>
      </c>
    </row>
    <row r="27" spans="1:11" x14ac:dyDescent="0.35">
      <c r="A27" s="146" t="s">
        <v>1181</v>
      </c>
      <c r="B27" s="34">
        <v>400</v>
      </c>
      <c r="C27" s="34">
        <v>69</v>
      </c>
      <c r="D27" s="34">
        <v>20</v>
      </c>
      <c r="E27" s="34">
        <v>5</v>
      </c>
      <c r="F27" s="34">
        <v>24245246814</v>
      </c>
      <c r="G27" s="34">
        <v>156324164213</v>
      </c>
      <c r="H27" s="34">
        <v>290759223768</v>
      </c>
      <c r="I27" s="34">
        <v>487024219000</v>
      </c>
      <c r="J27" s="34">
        <f t="shared" si="0"/>
        <v>494</v>
      </c>
      <c r="K27" s="34">
        <f t="shared" si="1"/>
        <v>958352853795</v>
      </c>
    </row>
    <row r="28" spans="1:11" x14ac:dyDescent="0.35">
      <c r="A28" s="5" t="s">
        <v>16</v>
      </c>
      <c r="B28" s="4">
        <f>SUM(B6:B27)</f>
        <v>101110</v>
      </c>
      <c r="C28" s="4">
        <f t="shared" ref="C28:K28" si="2">SUM(C6:C27)</f>
        <v>13080</v>
      </c>
      <c r="D28" s="4">
        <f t="shared" si="2"/>
        <v>3353</v>
      </c>
      <c r="E28" s="4">
        <f t="shared" si="2"/>
        <v>898</v>
      </c>
      <c r="F28" s="4">
        <f t="shared" si="2"/>
        <v>5002641780143</v>
      </c>
      <c r="G28" s="4">
        <f t="shared" si="2"/>
        <v>28998208896028</v>
      </c>
      <c r="H28" s="4">
        <f t="shared" si="2"/>
        <v>51669301078033</v>
      </c>
      <c r="I28" s="4">
        <f t="shared" si="2"/>
        <v>798152184907549</v>
      </c>
      <c r="J28" s="4">
        <f t="shared" si="2"/>
        <v>118441</v>
      </c>
      <c r="K28" s="4">
        <f t="shared" si="2"/>
        <v>883822336661753</v>
      </c>
    </row>
    <row r="30" spans="1:11" x14ac:dyDescent="0.35">
      <c r="A30" t="s">
        <v>1356</v>
      </c>
    </row>
    <row r="31" spans="1:11" x14ac:dyDescent="0.35">
      <c r="A31" t="s">
        <v>1318</v>
      </c>
    </row>
    <row r="32" spans="1:11" x14ac:dyDescent="0.35">
      <c r="A32" t="s">
        <v>17</v>
      </c>
    </row>
    <row r="33" spans="1:1" x14ac:dyDescent="0.35">
      <c r="A33" t="s">
        <v>1320</v>
      </c>
    </row>
  </sheetData>
  <mergeCells count="5">
    <mergeCell ref="J4:J5"/>
    <mergeCell ref="K4:K5"/>
    <mergeCell ref="B4:E4"/>
    <mergeCell ref="F4:I4"/>
    <mergeCell ref="A4:A5"/>
  </mergeCells>
  <hyperlinks>
    <hyperlink ref="I1" location="Índice!A1" display="Volver al índice" xr:uid="{0A72453A-4485-4907-82DA-95A6413D2553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DDE3-5186-4C44-8A74-95E8969B9D77}">
  <dimension ref="A1:M32"/>
  <sheetViews>
    <sheetView workbookViewId="0">
      <selection activeCell="J1" sqref="J1"/>
    </sheetView>
  </sheetViews>
  <sheetFormatPr baseColWidth="10" defaultColWidth="11.453125" defaultRowHeight="14.5" x14ac:dyDescent="0.35"/>
  <cols>
    <col min="1" max="1" width="29" customWidth="1"/>
    <col min="2" max="2" width="19.81640625" customWidth="1"/>
    <col min="3" max="3" width="19.7265625" customWidth="1"/>
    <col min="4" max="5" width="11.7265625" bestFit="1" customWidth="1"/>
    <col min="6" max="6" width="17.81640625" bestFit="1" customWidth="1"/>
    <col min="7" max="7" width="18.81640625" bestFit="1" customWidth="1"/>
    <col min="8" max="8" width="20.453125" bestFit="1" customWidth="1"/>
    <col min="9" max="9" width="21.54296875" bestFit="1" customWidth="1"/>
    <col min="10" max="10" width="22.54296875" bestFit="1" customWidth="1"/>
    <col min="11" max="11" width="22.54296875" customWidth="1"/>
    <col min="12" max="12" width="11.7265625" bestFit="1" customWidth="1"/>
    <col min="13" max="13" width="22.54296875" bestFit="1" customWidth="1"/>
  </cols>
  <sheetData>
    <row r="1" spans="1:13" ht="18.5" x14ac:dyDescent="0.45">
      <c r="A1" s="21" t="s">
        <v>1305</v>
      </c>
      <c r="J1" s="17" t="s">
        <v>1</v>
      </c>
      <c r="K1" s="17"/>
    </row>
    <row r="3" spans="1:13" ht="15" customHeight="1" x14ac:dyDescent="0.35">
      <c r="A3" s="88" t="s">
        <v>1165</v>
      </c>
      <c r="B3" s="53" t="s">
        <v>3</v>
      </c>
      <c r="C3" s="62"/>
      <c r="D3" s="62"/>
      <c r="E3" s="62"/>
      <c r="F3" s="54"/>
      <c r="G3" s="53" t="s">
        <v>1184</v>
      </c>
      <c r="H3" s="62"/>
      <c r="I3" s="62"/>
      <c r="J3" s="62"/>
      <c r="K3" s="54"/>
      <c r="L3" s="84" t="s">
        <v>20</v>
      </c>
      <c r="M3" s="86" t="s">
        <v>1185</v>
      </c>
    </row>
    <row r="4" spans="1:13" x14ac:dyDescent="0.35">
      <c r="A4" s="88"/>
      <c r="B4" s="6" t="s">
        <v>22</v>
      </c>
      <c r="C4" s="6" t="s">
        <v>23</v>
      </c>
      <c r="D4" s="6" t="s">
        <v>24</v>
      </c>
      <c r="E4" s="6" t="s">
        <v>25</v>
      </c>
      <c r="F4" s="6" t="s">
        <v>1183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1183</v>
      </c>
      <c r="L4" s="85"/>
      <c r="M4" s="87"/>
    </row>
    <row r="5" spans="1:13" x14ac:dyDescent="0.35">
      <c r="A5" s="145" t="s">
        <v>1277</v>
      </c>
      <c r="B5" s="34">
        <v>1123</v>
      </c>
      <c r="C5" s="34">
        <v>37</v>
      </c>
      <c r="D5" s="34">
        <v>7</v>
      </c>
      <c r="E5" s="34">
        <v>5</v>
      </c>
      <c r="F5" s="34"/>
      <c r="G5" s="34">
        <v>117129361766</v>
      </c>
      <c r="H5" s="34">
        <v>145599517594</v>
      </c>
      <c r="I5" s="34">
        <v>209565102255</v>
      </c>
      <c r="J5" s="34">
        <v>968105921289</v>
      </c>
      <c r="K5" s="34"/>
      <c r="L5" s="34">
        <f>SUM(B5:F5)</f>
        <v>1172</v>
      </c>
      <c r="M5" s="34">
        <f>SUM(G5:K5)</f>
        <v>1440399902904</v>
      </c>
    </row>
    <row r="6" spans="1:13" x14ac:dyDescent="0.35">
      <c r="A6" s="145" t="s">
        <v>1166</v>
      </c>
      <c r="B6" s="34">
        <v>4195</v>
      </c>
      <c r="C6" s="34">
        <v>128</v>
      </c>
      <c r="D6" s="34">
        <v>28</v>
      </c>
      <c r="E6" s="34">
        <v>3</v>
      </c>
      <c r="F6" s="34">
        <v>6</v>
      </c>
      <c r="G6" s="34">
        <v>290976054637</v>
      </c>
      <c r="H6" s="34">
        <v>535339277801</v>
      </c>
      <c r="I6" s="34">
        <v>692948331728</v>
      </c>
      <c r="J6" s="34">
        <v>554900773867</v>
      </c>
      <c r="K6" s="34">
        <v>92730000</v>
      </c>
      <c r="L6" s="34">
        <f t="shared" ref="L6:L26" si="0">SUM(B6:F6)</f>
        <v>4360</v>
      </c>
      <c r="M6" s="34">
        <f t="shared" ref="M6:M26" si="1">SUM(G6:K6)</f>
        <v>2074257168033</v>
      </c>
    </row>
    <row r="7" spans="1:13" x14ac:dyDescent="0.35">
      <c r="A7" s="145" t="s">
        <v>1167</v>
      </c>
      <c r="B7" s="34">
        <v>9667</v>
      </c>
      <c r="C7" s="34">
        <v>531</v>
      </c>
      <c r="D7" s="34">
        <v>104</v>
      </c>
      <c r="E7" s="34">
        <v>30</v>
      </c>
      <c r="F7" s="34">
        <v>14</v>
      </c>
      <c r="G7" s="34">
        <v>1177689984146</v>
      </c>
      <c r="H7" s="34">
        <v>1928500157037</v>
      </c>
      <c r="I7" s="34">
        <v>1899355383636</v>
      </c>
      <c r="J7" s="34">
        <v>3728895891901</v>
      </c>
      <c r="K7" s="34">
        <v>288706000</v>
      </c>
      <c r="L7" s="34">
        <f t="shared" si="0"/>
        <v>10346</v>
      </c>
      <c r="M7" s="34">
        <f t="shared" si="1"/>
        <v>8734730122720</v>
      </c>
    </row>
    <row r="8" spans="1:13" x14ac:dyDescent="0.35">
      <c r="A8" s="145" t="s">
        <v>1168</v>
      </c>
      <c r="B8" s="34">
        <v>4455</v>
      </c>
      <c r="C8" s="34">
        <v>122</v>
      </c>
      <c r="D8" s="34">
        <v>24</v>
      </c>
      <c r="E8" s="34">
        <v>10</v>
      </c>
      <c r="F8" s="34">
        <v>9</v>
      </c>
      <c r="G8" s="34">
        <v>379067433900</v>
      </c>
      <c r="H8" s="34">
        <v>455409183008</v>
      </c>
      <c r="I8" s="34">
        <v>430838495439</v>
      </c>
      <c r="J8" s="34">
        <v>938298962646</v>
      </c>
      <c r="K8" s="34">
        <v>716503749</v>
      </c>
      <c r="L8" s="34">
        <f t="shared" si="0"/>
        <v>4620</v>
      </c>
      <c r="M8" s="34">
        <f t="shared" si="1"/>
        <v>2204330578742</v>
      </c>
    </row>
    <row r="9" spans="1:13" x14ac:dyDescent="0.35">
      <c r="A9" s="145" t="s">
        <v>1169</v>
      </c>
      <c r="B9" s="34">
        <v>3706</v>
      </c>
      <c r="C9" s="34">
        <v>176</v>
      </c>
      <c r="D9" s="34">
        <v>44</v>
      </c>
      <c r="E9" s="34">
        <v>15</v>
      </c>
      <c r="F9" s="34">
        <v>3</v>
      </c>
      <c r="G9" s="34">
        <v>348493571129</v>
      </c>
      <c r="H9" s="34">
        <v>801634463382</v>
      </c>
      <c r="I9" s="34">
        <v>1272399369264</v>
      </c>
      <c r="J9" s="34">
        <v>3621831606013</v>
      </c>
      <c r="K9" s="34">
        <v>5000001</v>
      </c>
      <c r="L9" s="34">
        <f t="shared" si="0"/>
        <v>3944</v>
      </c>
      <c r="M9" s="34">
        <f t="shared" si="1"/>
        <v>6044364009789</v>
      </c>
    </row>
    <row r="10" spans="1:13" x14ac:dyDescent="0.35">
      <c r="A10" s="145" t="s">
        <v>1170</v>
      </c>
      <c r="B10" s="34">
        <v>2737</v>
      </c>
      <c r="C10" s="34">
        <v>42</v>
      </c>
      <c r="D10" s="34"/>
      <c r="E10" s="34"/>
      <c r="F10" s="34">
        <v>2</v>
      </c>
      <c r="G10" s="34">
        <v>153056500564</v>
      </c>
      <c r="H10" s="34">
        <v>149662224626</v>
      </c>
      <c r="I10" s="34"/>
      <c r="J10" s="34"/>
      <c r="K10" s="34">
        <v>99000000</v>
      </c>
      <c r="L10" s="34">
        <f t="shared" si="0"/>
        <v>2781</v>
      </c>
      <c r="M10" s="34">
        <f t="shared" si="1"/>
        <v>302817725190</v>
      </c>
    </row>
    <row r="11" spans="1:13" x14ac:dyDescent="0.35">
      <c r="A11" s="145" t="s">
        <v>1171</v>
      </c>
      <c r="B11" s="34">
        <v>21138</v>
      </c>
      <c r="C11" s="34">
        <v>2176</v>
      </c>
      <c r="D11" s="34">
        <v>664</v>
      </c>
      <c r="E11" s="34">
        <v>277</v>
      </c>
      <c r="F11" s="34">
        <v>35</v>
      </c>
      <c r="G11" s="34">
        <v>3629368113110</v>
      </c>
      <c r="H11" s="34">
        <v>8027264667354</v>
      </c>
      <c r="I11" s="34">
        <v>11909042020565</v>
      </c>
      <c r="J11" s="34">
        <v>112237895510162</v>
      </c>
      <c r="K11" s="34">
        <v>33233830172</v>
      </c>
      <c r="L11" s="34">
        <f t="shared" si="0"/>
        <v>24290</v>
      </c>
      <c r="M11" s="34">
        <f t="shared" si="1"/>
        <v>135836804141363</v>
      </c>
    </row>
    <row r="12" spans="1:13" x14ac:dyDescent="0.35">
      <c r="A12" s="145" t="s">
        <v>1172</v>
      </c>
      <c r="B12" s="34">
        <v>5159</v>
      </c>
      <c r="C12" s="34">
        <v>795</v>
      </c>
      <c r="D12" s="34">
        <v>233</v>
      </c>
      <c r="E12" s="34">
        <v>95</v>
      </c>
      <c r="F12" s="34">
        <v>5</v>
      </c>
      <c r="G12" s="34">
        <v>926960368411</v>
      </c>
      <c r="H12" s="34">
        <v>3141313597720</v>
      </c>
      <c r="I12" s="34">
        <v>5647850681173</v>
      </c>
      <c r="J12" s="34">
        <v>24549889668995</v>
      </c>
      <c r="K12" s="34">
        <v>7784537063</v>
      </c>
      <c r="L12" s="34">
        <f t="shared" si="0"/>
        <v>6287</v>
      </c>
      <c r="M12" s="34">
        <f t="shared" si="1"/>
        <v>34273798853362</v>
      </c>
    </row>
    <row r="13" spans="1:13" x14ac:dyDescent="0.35">
      <c r="A13" s="145" t="s">
        <v>1173</v>
      </c>
      <c r="B13" s="34">
        <v>4661</v>
      </c>
      <c r="C13" s="34">
        <v>222</v>
      </c>
      <c r="D13" s="34">
        <v>34</v>
      </c>
      <c r="E13" s="34">
        <v>5</v>
      </c>
      <c r="F13" s="34">
        <v>7</v>
      </c>
      <c r="G13" s="34">
        <v>549963536198</v>
      </c>
      <c r="H13" s="34">
        <v>777302913244</v>
      </c>
      <c r="I13" s="34">
        <v>571670861007</v>
      </c>
      <c r="J13" s="34">
        <v>181644901315</v>
      </c>
      <c r="K13" s="34">
        <v>457850000</v>
      </c>
      <c r="L13" s="34">
        <f t="shared" si="0"/>
        <v>4929</v>
      </c>
      <c r="M13" s="34">
        <f t="shared" si="1"/>
        <v>2081040061764</v>
      </c>
    </row>
    <row r="14" spans="1:13" x14ac:dyDescent="0.35">
      <c r="A14" s="145" t="s">
        <v>1174</v>
      </c>
      <c r="B14" s="34">
        <v>21104</v>
      </c>
      <c r="C14" s="34">
        <v>1572</v>
      </c>
      <c r="D14" s="34">
        <v>287</v>
      </c>
      <c r="E14" s="34">
        <v>115</v>
      </c>
      <c r="F14" s="34">
        <v>20</v>
      </c>
      <c r="G14" s="34">
        <v>2977181384247</v>
      </c>
      <c r="H14" s="34">
        <v>6921218840655</v>
      </c>
      <c r="I14" s="34">
        <v>6420387529342</v>
      </c>
      <c r="J14" s="34">
        <v>36635466119239</v>
      </c>
      <c r="K14" s="34">
        <v>2117393294</v>
      </c>
      <c r="L14" s="34">
        <f t="shared" si="0"/>
        <v>23098</v>
      </c>
      <c r="M14" s="34">
        <f t="shared" si="1"/>
        <v>52956371266777</v>
      </c>
    </row>
    <row r="15" spans="1:13" x14ac:dyDescent="0.35">
      <c r="A15" s="145" t="s">
        <v>1278</v>
      </c>
      <c r="B15" s="34">
        <v>10542</v>
      </c>
      <c r="C15" s="34">
        <v>799</v>
      </c>
      <c r="D15" s="34">
        <v>175</v>
      </c>
      <c r="E15" s="34">
        <v>48</v>
      </c>
      <c r="F15" s="34">
        <v>23</v>
      </c>
      <c r="G15" s="34">
        <v>1514996757128</v>
      </c>
      <c r="H15" s="34">
        <v>3020426160496</v>
      </c>
      <c r="I15" s="34">
        <v>2811557429892</v>
      </c>
      <c r="J15" s="34">
        <v>23839071970113</v>
      </c>
      <c r="K15" s="34">
        <v>3009079337</v>
      </c>
      <c r="L15" s="34">
        <f t="shared" si="0"/>
        <v>11587</v>
      </c>
      <c r="M15" s="34">
        <f t="shared" si="1"/>
        <v>31189061396966</v>
      </c>
    </row>
    <row r="16" spans="1:13" x14ac:dyDescent="0.35">
      <c r="A16" s="145" t="s">
        <v>1175</v>
      </c>
      <c r="B16" s="34">
        <v>2557</v>
      </c>
      <c r="C16" s="34">
        <v>29</v>
      </c>
      <c r="D16" s="34">
        <v>4</v>
      </c>
      <c r="E16" s="34">
        <v>1</v>
      </c>
      <c r="F16" s="34">
        <v>4</v>
      </c>
      <c r="G16" s="34">
        <v>141325975718</v>
      </c>
      <c r="H16" s="34">
        <v>140926723202</v>
      </c>
      <c r="I16" s="34">
        <v>47309197293</v>
      </c>
      <c r="J16" s="34">
        <v>299960076000</v>
      </c>
      <c r="K16" s="34">
        <v>738066000</v>
      </c>
      <c r="L16" s="34">
        <f t="shared" si="0"/>
        <v>2595</v>
      </c>
      <c r="M16" s="34">
        <f t="shared" si="1"/>
        <v>630260038213</v>
      </c>
    </row>
    <row r="17" spans="1:13" x14ac:dyDescent="0.35">
      <c r="A17" s="145" t="s">
        <v>1279</v>
      </c>
      <c r="B17" s="34">
        <v>91</v>
      </c>
      <c r="C17" s="34">
        <v>1</v>
      </c>
      <c r="D17" s="34"/>
      <c r="E17" s="34"/>
      <c r="F17" s="34"/>
      <c r="G17" s="34">
        <v>4406523353</v>
      </c>
      <c r="H17" s="34">
        <v>3519321196</v>
      </c>
      <c r="I17" s="34"/>
      <c r="J17" s="34"/>
      <c r="K17" s="34"/>
      <c r="L17" s="34">
        <f t="shared" si="0"/>
        <v>92</v>
      </c>
      <c r="M17" s="34">
        <f t="shared" si="1"/>
        <v>7925844549</v>
      </c>
    </row>
    <row r="18" spans="1:13" x14ac:dyDescent="0.35">
      <c r="A18" s="145" t="s">
        <v>1176</v>
      </c>
      <c r="B18" s="34">
        <v>1745</v>
      </c>
      <c r="C18" s="34">
        <v>36</v>
      </c>
      <c r="D18" s="34">
        <v>9</v>
      </c>
      <c r="E18" s="34">
        <v>5</v>
      </c>
      <c r="F18" s="34">
        <v>1</v>
      </c>
      <c r="G18" s="34">
        <v>121563181650</v>
      </c>
      <c r="H18" s="34">
        <v>111017376458</v>
      </c>
      <c r="I18" s="34">
        <v>159732690962</v>
      </c>
      <c r="J18" s="34">
        <v>2712005889845</v>
      </c>
      <c r="K18" s="34" t="s">
        <v>1434</v>
      </c>
      <c r="L18" s="34">
        <f t="shared" si="0"/>
        <v>1796</v>
      </c>
      <c r="M18" s="34">
        <f t="shared" si="1"/>
        <v>3104319138915</v>
      </c>
    </row>
    <row r="19" spans="1:13" x14ac:dyDescent="0.35">
      <c r="A19" s="145" t="s">
        <v>1177</v>
      </c>
      <c r="B19" s="34">
        <v>3998</v>
      </c>
      <c r="C19" s="34">
        <v>92</v>
      </c>
      <c r="D19" s="34">
        <v>19</v>
      </c>
      <c r="E19" s="34">
        <v>4</v>
      </c>
      <c r="F19" s="34">
        <v>6</v>
      </c>
      <c r="G19" s="34">
        <v>318607991651</v>
      </c>
      <c r="H19" s="34">
        <v>318139471665</v>
      </c>
      <c r="I19" s="34">
        <v>328397420629</v>
      </c>
      <c r="J19" s="34">
        <v>1666560384231</v>
      </c>
      <c r="K19" s="34">
        <v>163000000</v>
      </c>
      <c r="L19" s="34">
        <f t="shared" si="0"/>
        <v>4119</v>
      </c>
      <c r="M19" s="34">
        <f t="shared" si="1"/>
        <v>2631868268176</v>
      </c>
    </row>
    <row r="20" spans="1:13" x14ac:dyDescent="0.35">
      <c r="A20" s="145" t="s">
        <v>1280</v>
      </c>
      <c r="B20" s="34">
        <v>1825</v>
      </c>
      <c r="C20" s="34">
        <v>80</v>
      </c>
      <c r="D20" s="34">
        <v>15</v>
      </c>
      <c r="E20" s="34">
        <v>8</v>
      </c>
      <c r="F20" s="34">
        <v>2</v>
      </c>
      <c r="G20" s="34">
        <v>159986022068</v>
      </c>
      <c r="H20" s="34">
        <v>264740156649</v>
      </c>
      <c r="I20" s="34">
        <v>201019704609</v>
      </c>
      <c r="J20" s="34">
        <v>1192515797378</v>
      </c>
      <c r="K20" s="34">
        <v>103800000</v>
      </c>
      <c r="L20" s="34">
        <f t="shared" si="0"/>
        <v>1930</v>
      </c>
      <c r="M20" s="34">
        <f t="shared" si="1"/>
        <v>1818365480704</v>
      </c>
    </row>
    <row r="21" spans="1:13" x14ac:dyDescent="0.35">
      <c r="A21" s="145" t="s">
        <v>1281</v>
      </c>
      <c r="B21" s="34">
        <v>1567</v>
      </c>
      <c r="C21" s="34">
        <v>36</v>
      </c>
      <c r="D21" s="34">
        <v>7</v>
      </c>
      <c r="E21" s="34">
        <v>1</v>
      </c>
      <c r="F21" s="34">
        <v>1</v>
      </c>
      <c r="G21" s="34">
        <v>105969535541</v>
      </c>
      <c r="H21" s="34">
        <v>134440037579</v>
      </c>
      <c r="I21" s="34">
        <v>139605756793</v>
      </c>
      <c r="J21" s="34">
        <v>188844000000</v>
      </c>
      <c r="K21" s="34" t="s">
        <v>1434</v>
      </c>
      <c r="L21" s="34">
        <f t="shared" si="0"/>
        <v>1612</v>
      </c>
      <c r="M21" s="34">
        <f t="shared" si="1"/>
        <v>568859329913</v>
      </c>
    </row>
    <row r="22" spans="1:13" x14ac:dyDescent="0.35">
      <c r="A22" s="145" t="s">
        <v>1178</v>
      </c>
      <c r="B22" s="34">
        <v>2721</v>
      </c>
      <c r="C22" s="34">
        <v>49</v>
      </c>
      <c r="D22" s="34">
        <v>9</v>
      </c>
      <c r="E22" s="34">
        <v>2</v>
      </c>
      <c r="F22" s="34"/>
      <c r="G22" s="34">
        <v>185609190067</v>
      </c>
      <c r="H22" s="34">
        <v>140270762142</v>
      </c>
      <c r="I22" s="34">
        <v>116040627568</v>
      </c>
      <c r="J22" s="34">
        <v>62945371140</v>
      </c>
      <c r="K22" s="34"/>
      <c r="L22" s="34">
        <f t="shared" si="0"/>
        <v>2781</v>
      </c>
      <c r="M22" s="34">
        <f t="shared" si="1"/>
        <v>504865950917</v>
      </c>
    </row>
    <row r="23" spans="1:13" x14ac:dyDescent="0.35">
      <c r="A23" s="145" t="s">
        <v>1179</v>
      </c>
      <c r="B23" s="34">
        <v>1730</v>
      </c>
      <c r="C23" s="34">
        <v>26</v>
      </c>
      <c r="D23" s="34">
        <v>5</v>
      </c>
      <c r="E23" s="34">
        <v>1</v>
      </c>
      <c r="F23" s="34">
        <v>1</v>
      </c>
      <c r="G23" s="34">
        <v>103707125769</v>
      </c>
      <c r="H23" s="34">
        <v>111207908324</v>
      </c>
      <c r="I23" s="34">
        <v>153636035264</v>
      </c>
      <c r="J23" s="34">
        <v>28017034134</v>
      </c>
      <c r="K23" s="34">
        <v>25789542</v>
      </c>
      <c r="L23" s="34">
        <f t="shared" si="0"/>
        <v>1763</v>
      </c>
      <c r="M23" s="34">
        <f t="shared" si="1"/>
        <v>396593893033</v>
      </c>
    </row>
    <row r="24" spans="1:13" x14ac:dyDescent="0.35">
      <c r="A24" s="145" t="s">
        <v>1282</v>
      </c>
      <c r="B24" s="34">
        <v>965</v>
      </c>
      <c r="C24" s="34">
        <v>60</v>
      </c>
      <c r="D24" s="34">
        <v>15</v>
      </c>
      <c r="E24" s="34">
        <v>5</v>
      </c>
      <c r="F24" s="34">
        <v>3</v>
      </c>
      <c r="G24" s="34">
        <v>126038922491</v>
      </c>
      <c r="H24" s="34">
        <v>191398861599</v>
      </c>
      <c r="I24" s="34">
        <v>266208353604</v>
      </c>
      <c r="J24" s="34">
        <v>411026000799</v>
      </c>
      <c r="K24" s="34">
        <v>140000000</v>
      </c>
      <c r="L24" s="34">
        <f t="shared" si="0"/>
        <v>1048</v>
      </c>
      <c r="M24" s="34">
        <f t="shared" si="1"/>
        <v>994812138493</v>
      </c>
    </row>
    <row r="25" spans="1:13" x14ac:dyDescent="0.35">
      <c r="A25" s="145" t="s">
        <v>1180</v>
      </c>
      <c r="B25" s="34">
        <v>2731</v>
      </c>
      <c r="C25" s="34">
        <v>47</v>
      </c>
      <c r="D25" s="34">
        <v>10</v>
      </c>
      <c r="E25" s="34">
        <v>4</v>
      </c>
      <c r="F25" s="34">
        <v>5</v>
      </c>
      <c r="G25" s="34">
        <v>173725529707</v>
      </c>
      <c r="H25" s="34">
        <v>165856476406</v>
      </c>
      <c r="I25" s="34">
        <v>147647111815</v>
      </c>
      <c r="J25" s="34">
        <v>3065311769808</v>
      </c>
      <c r="K25" s="34">
        <v>914400000</v>
      </c>
      <c r="L25" s="34">
        <f t="shared" si="0"/>
        <v>2797</v>
      </c>
      <c r="M25" s="34">
        <f t="shared" si="1"/>
        <v>3553455287736</v>
      </c>
    </row>
    <row r="26" spans="1:13" x14ac:dyDescent="0.35">
      <c r="A26" s="146" t="s">
        <v>1181</v>
      </c>
      <c r="B26" s="34">
        <v>459</v>
      </c>
      <c r="C26" s="34">
        <v>27</v>
      </c>
      <c r="D26" s="34">
        <v>7</v>
      </c>
      <c r="E26" s="34">
        <v>1</v>
      </c>
      <c r="F26" s="34"/>
      <c r="G26" s="34">
        <v>65476299846</v>
      </c>
      <c r="H26" s="34">
        <v>99626569170</v>
      </c>
      <c r="I26" s="34">
        <v>124882009925</v>
      </c>
      <c r="J26" s="34">
        <v>101262108000</v>
      </c>
      <c r="K26" s="34"/>
      <c r="L26" s="34">
        <f t="shared" si="0"/>
        <v>494</v>
      </c>
      <c r="M26" s="34">
        <f t="shared" si="1"/>
        <v>391246986941</v>
      </c>
    </row>
    <row r="27" spans="1:13" x14ac:dyDescent="0.35">
      <c r="A27" s="5" t="s">
        <v>16</v>
      </c>
      <c r="B27" s="4">
        <f>SUM(B5:B26)</f>
        <v>108876</v>
      </c>
      <c r="C27" s="4">
        <f t="shared" ref="C27:M27" si="2">SUM(C5:C26)</f>
        <v>7083</v>
      </c>
      <c r="D27" s="4">
        <f t="shared" si="2"/>
        <v>1700</v>
      </c>
      <c r="E27" s="4">
        <f t="shared" si="2"/>
        <v>635</v>
      </c>
      <c r="F27" s="4">
        <f t="shared" si="2"/>
        <v>147</v>
      </c>
      <c r="G27" s="4">
        <f t="shared" si="2"/>
        <v>13571299363097</v>
      </c>
      <c r="H27" s="4">
        <f t="shared" si="2"/>
        <v>27584814667307</v>
      </c>
      <c r="I27" s="4">
        <f t="shared" si="2"/>
        <v>33550094112763</v>
      </c>
      <c r="J27" s="4">
        <f t="shared" si="2"/>
        <v>216984449756875</v>
      </c>
      <c r="K27" s="4">
        <f t="shared" si="2"/>
        <v>49889685158</v>
      </c>
      <c r="L27" s="4">
        <f t="shared" si="2"/>
        <v>118441</v>
      </c>
      <c r="M27" s="4">
        <f t="shared" si="2"/>
        <v>291740547585200</v>
      </c>
    </row>
    <row r="29" spans="1:13" x14ac:dyDescent="0.35">
      <c r="A29" t="s">
        <v>1356</v>
      </c>
    </row>
    <row r="30" spans="1:13" x14ac:dyDescent="0.35">
      <c r="A30" t="s">
        <v>1288</v>
      </c>
    </row>
    <row r="31" spans="1:13" x14ac:dyDescent="0.35">
      <c r="A31" t="s">
        <v>17</v>
      </c>
    </row>
    <row r="32" spans="1:13" x14ac:dyDescent="0.35">
      <c r="A32" t="s">
        <v>1320</v>
      </c>
    </row>
  </sheetData>
  <mergeCells count="5">
    <mergeCell ref="L3:L4"/>
    <mergeCell ref="M3:M4"/>
    <mergeCell ref="A3:A4"/>
    <mergeCell ref="B3:F3"/>
    <mergeCell ref="G3:K3"/>
  </mergeCells>
  <hyperlinks>
    <hyperlink ref="J1" location="Índice!A1" display="Volver al índice" xr:uid="{35979572-A25A-421D-9F4B-7F7AA7469716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0D45-891B-4D41-8C5C-E25D37979462}">
  <dimension ref="A1:Y29"/>
  <sheetViews>
    <sheetView workbookViewId="0">
      <selection activeCell="F1" sqref="F1"/>
    </sheetView>
  </sheetViews>
  <sheetFormatPr baseColWidth="10" defaultColWidth="11.453125" defaultRowHeight="14.5" x14ac:dyDescent="0.35"/>
  <cols>
    <col min="2" max="2" width="70.1796875" customWidth="1"/>
    <col min="6" max="6" width="14.54296875" bestFit="1" customWidth="1"/>
    <col min="8" max="8" width="17.453125" bestFit="1" customWidth="1"/>
    <col min="18" max="18" width="23.453125" bestFit="1" customWidth="1"/>
    <col min="19" max="19" width="14.7265625" bestFit="1" customWidth="1"/>
    <col min="21" max="21" width="12.1796875" bestFit="1" customWidth="1"/>
    <col min="22" max="22" width="13" bestFit="1" customWidth="1"/>
    <col min="23" max="23" width="15.26953125" bestFit="1" customWidth="1"/>
    <col min="24" max="24" width="18.1796875" bestFit="1" customWidth="1"/>
  </cols>
  <sheetData>
    <row r="1" spans="1:25" ht="18.5" x14ac:dyDescent="0.45">
      <c r="A1" s="21" t="s">
        <v>1306</v>
      </c>
      <c r="F1" s="17" t="s">
        <v>1</v>
      </c>
    </row>
    <row r="3" spans="1:25" x14ac:dyDescent="0.35">
      <c r="A3" s="147" t="s">
        <v>18</v>
      </c>
      <c r="B3" s="147" t="s">
        <v>19</v>
      </c>
      <c r="C3" s="147" t="s">
        <v>1277</v>
      </c>
      <c r="D3" s="147" t="s">
        <v>1166</v>
      </c>
      <c r="E3" s="147" t="s">
        <v>1167</v>
      </c>
      <c r="F3" s="147" t="s">
        <v>1168</v>
      </c>
      <c r="G3" s="147" t="s">
        <v>1169</v>
      </c>
      <c r="H3" s="147" t="s">
        <v>1170</v>
      </c>
      <c r="I3" s="147" t="s">
        <v>1171</v>
      </c>
      <c r="J3" s="147" t="s">
        <v>1172</v>
      </c>
      <c r="K3" s="147" t="s">
        <v>1173</v>
      </c>
      <c r="L3" s="147" t="s">
        <v>1174</v>
      </c>
      <c r="M3" s="147" t="s">
        <v>1278</v>
      </c>
      <c r="N3" s="147" t="s">
        <v>1175</v>
      </c>
      <c r="O3" s="147" t="s">
        <v>1279</v>
      </c>
      <c r="P3" s="147" t="s">
        <v>1176</v>
      </c>
      <c r="Q3" s="147" t="s">
        <v>1177</v>
      </c>
      <c r="R3" s="147" t="s">
        <v>1280</v>
      </c>
      <c r="S3" s="147" t="s">
        <v>1281</v>
      </c>
      <c r="T3" s="147" t="s">
        <v>1178</v>
      </c>
      <c r="U3" s="147" t="s">
        <v>1179</v>
      </c>
      <c r="V3" s="147" t="s">
        <v>1282</v>
      </c>
      <c r="W3" s="147" t="s">
        <v>1180</v>
      </c>
      <c r="X3" s="147" t="s">
        <v>1435</v>
      </c>
      <c r="Y3" s="6" t="s">
        <v>1283</v>
      </c>
    </row>
    <row r="4" spans="1:25" x14ac:dyDescent="0.35">
      <c r="A4" s="146" t="s">
        <v>26</v>
      </c>
      <c r="B4" s="148" t="s">
        <v>1334</v>
      </c>
      <c r="C4" s="18">
        <v>33</v>
      </c>
      <c r="D4" s="18">
        <v>31</v>
      </c>
      <c r="E4" s="18">
        <v>156</v>
      </c>
      <c r="F4" s="18">
        <v>58</v>
      </c>
      <c r="G4" s="18">
        <v>48</v>
      </c>
      <c r="H4" s="18">
        <v>17</v>
      </c>
      <c r="I4" s="18">
        <v>1018</v>
      </c>
      <c r="J4" s="18">
        <v>106</v>
      </c>
      <c r="K4" s="18">
        <v>54</v>
      </c>
      <c r="L4" s="18">
        <v>266</v>
      </c>
      <c r="M4" s="18">
        <v>239</v>
      </c>
      <c r="N4" s="18">
        <v>12</v>
      </c>
      <c r="O4" s="18">
        <v>4</v>
      </c>
      <c r="P4" s="18">
        <v>18</v>
      </c>
      <c r="Q4" s="18">
        <v>43</v>
      </c>
      <c r="R4" s="18">
        <v>43</v>
      </c>
      <c r="S4" s="18">
        <v>23</v>
      </c>
      <c r="T4" s="18">
        <v>27</v>
      </c>
      <c r="U4" s="145">
        <v>10</v>
      </c>
      <c r="V4" s="145">
        <v>40</v>
      </c>
      <c r="W4" s="145">
        <v>17</v>
      </c>
      <c r="X4" s="145">
        <v>18</v>
      </c>
      <c r="Y4" s="32">
        <f>SUM(C4:X4)</f>
        <v>2281</v>
      </c>
    </row>
    <row r="5" spans="1:25" x14ac:dyDescent="0.35">
      <c r="A5" s="146" t="s">
        <v>28</v>
      </c>
      <c r="B5" s="148" t="s">
        <v>1335</v>
      </c>
      <c r="C5" s="18">
        <v>5</v>
      </c>
      <c r="D5" s="18">
        <v>5</v>
      </c>
      <c r="E5" s="18">
        <v>22</v>
      </c>
      <c r="F5" s="18">
        <v>8</v>
      </c>
      <c r="G5" s="18">
        <v>6</v>
      </c>
      <c r="H5" s="18">
        <v>4</v>
      </c>
      <c r="I5" s="18">
        <v>150</v>
      </c>
      <c r="J5" s="18">
        <v>11</v>
      </c>
      <c r="K5" s="18">
        <v>15</v>
      </c>
      <c r="L5" s="18">
        <v>54</v>
      </c>
      <c r="M5" s="18">
        <v>33</v>
      </c>
      <c r="N5" s="18">
        <v>4</v>
      </c>
      <c r="O5" s="18"/>
      <c r="P5" s="18">
        <v>3</v>
      </c>
      <c r="Q5" s="18">
        <v>5</v>
      </c>
      <c r="R5" s="18">
        <v>2</v>
      </c>
      <c r="S5" s="18">
        <v>3</v>
      </c>
      <c r="T5" s="18">
        <v>5</v>
      </c>
      <c r="U5" s="145"/>
      <c r="V5" s="145">
        <v>4</v>
      </c>
      <c r="W5" s="145">
        <v>2</v>
      </c>
      <c r="X5" s="145">
        <v>4</v>
      </c>
      <c r="Y5" s="32">
        <f t="shared" ref="Y5:Y24" si="0">SUM(C5:X5)</f>
        <v>345</v>
      </c>
    </row>
    <row r="6" spans="1:25" x14ac:dyDescent="0.35">
      <c r="A6" s="146" t="s">
        <v>30</v>
      </c>
      <c r="B6" s="148" t="s">
        <v>1336</v>
      </c>
      <c r="C6" s="18">
        <v>134</v>
      </c>
      <c r="D6" s="18">
        <v>664</v>
      </c>
      <c r="E6" s="18">
        <v>1256</v>
      </c>
      <c r="F6" s="18">
        <v>523</v>
      </c>
      <c r="G6" s="18">
        <v>554</v>
      </c>
      <c r="H6" s="18">
        <v>394</v>
      </c>
      <c r="I6" s="18">
        <v>1424</v>
      </c>
      <c r="J6" s="18">
        <v>1486</v>
      </c>
      <c r="K6" s="18">
        <v>617</v>
      </c>
      <c r="L6" s="18">
        <v>3411</v>
      </c>
      <c r="M6" s="18">
        <v>1224</v>
      </c>
      <c r="N6" s="18">
        <v>295</v>
      </c>
      <c r="O6" s="18">
        <v>11</v>
      </c>
      <c r="P6" s="18">
        <v>169</v>
      </c>
      <c r="Q6" s="18">
        <v>536</v>
      </c>
      <c r="R6" s="18">
        <v>251</v>
      </c>
      <c r="S6" s="18">
        <v>222</v>
      </c>
      <c r="T6" s="18">
        <v>366</v>
      </c>
      <c r="U6" s="145">
        <v>198</v>
      </c>
      <c r="V6" s="145">
        <v>85</v>
      </c>
      <c r="W6" s="145">
        <v>346</v>
      </c>
      <c r="X6" s="145">
        <v>41</v>
      </c>
      <c r="Y6" s="32">
        <f t="shared" si="0"/>
        <v>14207</v>
      </c>
    </row>
    <row r="7" spans="1:25" x14ac:dyDescent="0.35">
      <c r="A7" s="146" t="s">
        <v>32</v>
      </c>
      <c r="B7" s="148" t="s">
        <v>1337</v>
      </c>
      <c r="C7" s="18"/>
      <c r="D7" s="18">
        <v>4</v>
      </c>
      <c r="E7" s="18">
        <v>59</v>
      </c>
      <c r="F7" s="18">
        <v>4</v>
      </c>
      <c r="G7" s="18">
        <v>7</v>
      </c>
      <c r="H7" s="18">
        <v>2</v>
      </c>
      <c r="I7" s="18">
        <v>140</v>
      </c>
      <c r="J7" s="18">
        <v>9</v>
      </c>
      <c r="K7" s="18">
        <v>4</v>
      </c>
      <c r="L7" s="18">
        <v>9</v>
      </c>
      <c r="M7" s="18">
        <v>14</v>
      </c>
      <c r="N7" s="18"/>
      <c r="O7" s="18"/>
      <c r="P7" s="18">
        <v>3</v>
      </c>
      <c r="Q7" s="18">
        <v>5</v>
      </c>
      <c r="R7" s="18">
        <v>2</v>
      </c>
      <c r="S7" s="18"/>
      <c r="T7" s="18">
        <v>3</v>
      </c>
      <c r="U7" s="145">
        <v>1</v>
      </c>
      <c r="V7" s="145"/>
      <c r="W7" s="145">
        <v>5</v>
      </c>
      <c r="X7" s="145">
        <v>1</v>
      </c>
      <c r="Y7" s="32">
        <f t="shared" si="0"/>
        <v>272</v>
      </c>
    </row>
    <row r="8" spans="1:25" x14ac:dyDescent="0.35">
      <c r="A8" s="146" t="s">
        <v>34</v>
      </c>
      <c r="B8" s="148" t="s">
        <v>1338</v>
      </c>
      <c r="C8" s="18">
        <v>3</v>
      </c>
      <c r="D8" s="18">
        <v>37</v>
      </c>
      <c r="E8" s="18">
        <v>26</v>
      </c>
      <c r="F8" s="18">
        <v>10</v>
      </c>
      <c r="G8" s="18">
        <v>16</v>
      </c>
      <c r="H8" s="18">
        <v>17</v>
      </c>
      <c r="I8" s="18">
        <v>30</v>
      </c>
      <c r="J8" s="18">
        <v>37</v>
      </c>
      <c r="K8" s="18">
        <v>19</v>
      </c>
      <c r="L8" s="18">
        <v>73</v>
      </c>
      <c r="M8" s="18">
        <v>33</v>
      </c>
      <c r="N8" s="18">
        <v>12</v>
      </c>
      <c r="O8" s="18"/>
      <c r="P8" s="18">
        <v>9</v>
      </c>
      <c r="Q8" s="18">
        <v>13</v>
      </c>
      <c r="R8" s="18">
        <v>11</v>
      </c>
      <c r="S8" s="18">
        <v>2</v>
      </c>
      <c r="T8" s="18">
        <v>4</v>
      </c>
      <c r="U8" s="145">
        <v>19</v>
      </c>
      <c r="V8" s="145">
        <v>1</v>
      </c>
      <c r="W8" s="145">
        <v>4</v>
      </c>
      <c r="X8" s="145">
        <v>2</v>
      </c>
      <c r="Y8" s="32">
        <f t="shared" si="0"/>
        <v>378</v>
      </c>
    </row>
    <row r="9" spans="1:25" x14ac:dyDescent="0.35">
      <c r="A9" s="146" t="s">
        <v>36</v>
      </c>
      <c r="B9" s="148" t="s">
        <v>1339</v>
      </c>
      <c r="C9" s="18">
        <v>106</v>
      </c>
      <c r="D9" s="18">
        <v>214</v>
      </c>
      <c r="E9" s="18">
        <v>623</v>
      </c>
      <c r="F9" s="18">
        <v>313</v>
      </c>
      <c r="G9" s="18">
        <v>251</v>
      </c>
      <c r="H9" s="18">
        <v>239</v>
      </c>
      <c r="I9" s="18">
        <v>1161</v>
      </c>
      <c r="J9" s="18">
        <v>285</v>
      </c>
      <c r="K9" s="18">
        <v>316</v>
      </c>
      <c r="L9" s="18">
        <v>678</v>
      </c>
      <c r="M9" s="18">
        <v>642</v>
      </c>
      <c r="N9" s="18">
        <v>204</v>
      </c>
      <c r="O9" s="18">
        <v>2</v>
      </c>
      <c r="P9" s="18">
        <v>143</v>
      </c>
      <c r="Q9" s="18">
        <v>341</v>
      </c>
      <c r="R9" s="18">
        <v>123</v>
      </c>
      <c r="S9" s="18">
        <v>165</v>
      </c>
      <c r="T9" s="18">
        <v>233</v>
      </c>
      <c r="U9" s="145">
        <v>153</v>
      </c>
      <c r="V9" s="145">
        <v>58</v>
      </c>
      <c r="W9" s="145">
        <v>271</v>
      </c>
      <c r="X9" s="145">
        <v>43</v>
      </c>
      <c r="Y9" s="32">
        <f t="shared" si="0"/>
        <v>6564</v>
      </c>
    </row>
    <row r="10" spans="1:25" x14ac:dyDescent="0.35">
      <c r="A10" s="146" t="s">
        <v>38</v>
      </c>
      <c r="B10" s="148" t="s">
        <v>1340</v>
      </c>
      <c r="C10" s="18">
        <v>328</v>
      </c>
      <c r="D10" s="18">
        <v>1792</v>
      </c>
      <c r="E10" s="18">
        <v>3129</v>
      </c>
      <c r="F10" s="18">
        <v>1565</v>
      </c>
      <c r="G10" s="18">
        <v>1504</v>
      </c>
      <c r="H10" s="18">
        <v>1241</v>
      </c>
      <c r="I10" s="18">
        <v>3649</v>
      </c>
      <c r="J10" s="18">
        <v>1870</v>
      </c>
      <c r="K10" s="18">
        <v>1577</v>
      </c>
      <c r="L10" s="18">
        <v>10438</v>
      </c>
      <c r="M10" s="18">
        <v>3077</v>
      </c>
      <c r="N10" s="18">
        <v>1096</v>
      </c>
      <c r="O10" s="18">
        <v>30</v>
      </c>
      <c r="P10" s="18">
        <v>735</v>
      </c>
      <c r="Q10" s="18">
        <v>1480</v>
      </c>
      <c r="R10" s="18">
        <v>650</v>
      </c>
      <c r="S10" s="18">
        <v>608</v>
      </c>
      <c r="T10" s="18">
        <v>1029</v>
      </c>
      <c r="U10" s="145">
        <v>867</v>
      </c>
      <c r="V10" s="145">
        <v>201</v>
      </c>
      <c r="W10" s="145">
        <v>1082</v>
      </c>
      <c r="X10" s="145">
        <v>112</v>
      </c>
      <c r="Y10" s="32">
        <f t="shared" si="0"/>
        <v>38060</v>
      </c>
    </row>
    <row r="11" spans="1:25" x14ac:dyDescent="0.35">
      <c r="A11" s="146" t="s">
        <v>40</v>
      </c>
      <c r="B11" s="148" t="s">
        <v>1341</v>
      </c>
      <c r="C11" s="18">
        <v>24</v>
      </c>
      <c r="D11" s="18">
        <v>100</v>
      </c>
      <c r="E11" s="18">
        <v>236</v>
      </c>
      <c r="F11" s="18">
        <v>125</v>
      </c>
      <c r="G11" s="18">
        <v>154</v>
      </c>
      <c r="H11" s="18">
        <v>57</v>
      </c>
      <c r="I11" s="18">
        <v>356</v>
      </c>
      <c r="J11" s="18">
        <v>210</v>
      </c>
      <c r="K11" s="18">
        <v>104</v>
      </c>
      <c r="L11" s="18">
        <v>531</v>
      </c>
      <c r="M11" s="18">
        <v>269</v>
      </c>
      <c r="N11" s="18">
        <v>61</v>
      </c>
      <c r="O11" s="18">
        <v>1</v>
      </c>
      <c r="P11" s="18">
        <v>43</v>
      </c>
      <c r="Q11" s="18">
        <v>137</v>
      </c>
      <c r="R11" s="18">
        <v>40</v>
      </c>
      <c r="S11" s="18">
        <v>46</v>
      </c>
      <c r="T11" s="18">
        <v>52</v>
      </c>
      <c r="U11" s="145">
        <v>36</v>
      </c>
      <c r="V11" s="145">
        <v>15</v>
      </c>
      <c r="W11" s="145">
        <v>63</v>
      </c>
      <c r="X11" s="145">
        <v>9</v>
      </c>
      <c r="Y11" s="32">
        <f t="shared" si="0"/>
        <v>2669</v>
      </c>
    </row>
    <row r="12" spans="1:25" x14ac:dyDescent="0.35">
      <c r="A12" s="146" t="s">
        <v>42</v>
      </c>
      <c r="B12" s="148" t="s">
        <v>1342</v>
      </c>
      <c r="C12" s="18">
        <v>95</v>
      </c>
      <c r="D12" s="18">
        <v>600</v>
      </c>
      <c r="E12" s="18">
        <v>851</v>
      </c>
      <c r="F12" s="18">
        <v>483</v>
      </c>
      <c r="G12" s="18">
        <v>442</v>
      </c>
      <c r="H12" s="18">
        <v>283</v>
      </c>
      <c r="I12" s="18">
        <v>1733</v>
      </c>
      <c r="J12" s="18">
        <v>445</v>
      </c>
      <c r="K12" s="18">
        <v>411</v>
      </c>
      <c r="L12" s="18">
        <v>1988</v>
      </c>
      <c r="M12" s="18">
        <v>1260</v>
      </c>
      <c r="N12" s="18">
        <v>309</v>
      </c>
      <c r="O12" s="18">
        <v>24</v>
      </c>
      <c r="P12" s="18">
        <v>226</v>
      </c>
      <c r="Q12" s="18">
        <v>376</v>
      </c>
      <c r="R12" s="18">
        <v>227</v>
      </c>
      <c r="S12" s="18">
        <v>168</v>
      </c>
      <c r="T12" s="18">
        <v>331</v>
      </c>
      <c r="U12" s="145">
        <v>201</v>
      </c>
      <c r="V12" s="145">
        <v>130</v>
      </c>
      <c r="W12" s="145">
        <v>279</v>
      </c>
      <c r="X12" s="145">
        <v>22</v>
      </c>
      <c r="Y12" s="32">
        <f t="shared" si="0"/>
        <v>10884</v>
      </c>
    </row>
    <row r="13" spans="1:25" x14ac:dyDescent="0.35">
      <c r="A13" s="146" t="s">
        <v>44</v>
      </c>
      <c r="B13" s="148" t="s">
        <v>1343</v>
      </c>
      <c r="C13" s="18">
        <v>40</v>
      </c>
      <c r="D13" s="18">
        <v>96</v>
      </c>
      <c r="E13" s="18">
        <v>411</v>
      </c>
      <c r="F13" s="18">
        <v>165</v>
      </c>
      <c r="G13" s="18">
        <v>75</v>
      </c>
      <c r="H13" s="18">
        <v>49</v>
      </c>
      <c r="I13" s="18">
        <v>1290</v>
      </c>
      <c r="J13" s="18">
        <v>159</v>
      </c>
      <c r="K13" s="18">
        <v>192</v>
      </c>
      <c r="L13" s="18">
        <v>424</v>
      </c>
      <c r="M13" s="18">
        <v>517</v>
      </c>
      <c r="N13" s="18">
        <v>61</v>
      </c>
      <c r="O13" s="18">
        <v>2</v>
      </c>
      <c r="P13" s="18">
        <v>45</v>
      </c>
      <c r="Q13" s="18">
        <v>146</v>
      </c>
      <c r="R13" s="18">
        <v>72</v>
      </c>
      <c r="S13" s="18">
        <v>44</v>
      </c>
      <c r="T13" s="18">
        <v>62</v>
      </c>
      <c r="U13" s="145">
        <v>25</v>
      </c>
      <c r="V13" s="145">
        <v>38</v>
      </c>
      <c r="W13" s="145">
        <v>84</v>
      </c>
      <c r="X13" s="145">
        <v>18</v>
      </c>
      <c r="Y13" s="32">
        <f t="shared" si="0"/>
        <v>4015</v>
      </c>
    </row>
    <row r="14" spans="1:25" x14ac:dyDescent="0.35">
      <c r="A14" s="146" t="s">
        <v>46</v>
      </c>
      <c r="B14" s="148" t="s">
        <v>1344</v>
      </c>
      <c r="C14" s="18">
        <v>28</v>
      </c>
      <c r="D14" s="18">
        <v>26</v>
      </c>
      <c r="E14" s="18">
        <v>182</v>
      </c>
      <c r="F14" s="18">
        <v>70</v>
      </c>
      <c r="G14" s="18">
        <v>39</v>
      </c>
      <c r="H14" s="18">
        <v>15</v>
      </c>
      <c r="I14" s="18">
        <v>909</v>
      </c>
      <c r="J14" s="18">
        <v>72</v>
      </c>
      <c r="K14" s="18">
        <v>76</v>
      </c>
      <c r="L14" s="18">
        <v>263</v>
      </c>
      <c r="M14" s="18">
        <v>239</v>
      </c>
      <c r="N14" s="18">
        <v>9</v>
      </c>
      <c r="O14" s="18"/>
      <c r="P14" s="18">
        <v>18</v>
      </c>
      <c r="Q14" s="18">
        <v>38</v>
      </c>
      <c r="R14" s="18">
        <v>31</v>
      </c>
      <c r="S14" s="18">
        <v>7</v>
      </c>
      <c r="T14" s="18">
        <v>20</v>
      </c>
      <c r="U14" s="145">
        <v>6</v>
      </c>
      <c r="V14" s="145">
        <v>17</v>
      </c>
      <c r="W14" s="145">
        <v>21</v>
      </c>
      <c r="X14" s="145">
        <v>10</v>
      </c>
      <c r="Y14" s="32">
        <f t="shared" si="0"/>
        <v>2096</v>
      </c>
    </row>
    <row r="15" spans="1:25" x14ac:dyDescent="0.35">
      <c r="A15" s="146" t="s">
        <v>48</v>
      </c>
      <c r="B15" s="148" t="s">
        <v>1345</v>
      </c>
      <c r="C15" s="18">
        <v>68</v>
      </c>
      <c r="D15" s="18">
        <v>64</v>
      </c>
      <c r="E15" s="18">
        <v>656</v>
      </c>
      <c r="F15" s="18">
        <v>215</v>
      </c>
      <c r="G15" s="18">
        <v>125</v>
      </c>
      <c r="H15" s="18">
        <v>27</v>
      </c>
      <c r="I15" s="18">
        <v>4519</v>
      </c>
      <c r="J15" s="18">
        <v>397</v>
      </c>
      <c r="K15" s="18">
        <v>211</v>
      </c>
      <c r="L15" s="18">
        <v>1222</v>
      </c>
      <c r="M15" s="18">
        <v>886</v>
      </c>
      <c r="N15" s="18">
        <v>57</v>
      </c>
      <c r="O15" s="18">
        <v>3</v>
      </c>
      <c r="P15" s="18">
        <v>50</v>
      </c>
      <c r="Q15" s="18">
        <v>100</v>
      </c>
      <c r="R15" s="18">
        <v>74</v>
      </c>
      <c r="S15" s="18">
        <v>40</v>
      </c>
      <c r="T15" s="18">
        <v>41</v>
      </c>
      <c r="U15" s="145">
        <v>24</v>
      </c>
      <c r="V15" s="145">
        <v>163</v>
      </c>
      <c r="W15" s="145">
        <v>61</v>
      </c>
      <c r="X15" s="145">
        <v>71</v>
      </c>
      <c r="Y15" s="32">
        <f t="shared" si="0"/>
        <v>9074</v>
      </c>
    </row>
    <row r="16" spans="1:25" x14ac:dyDescent="0.35">
      <c r="A16" s="146" t="s">
        <v>50</v>
      </c>
      <c r="B16" s="148" t="s">
        <v>1346</v>
      </c>
      <c r="C16" s="18">
        <v>161</v>
      </c>
      <c r="D16" s="18">
        <v>183</v>
      </c>
      <c r="E16" s="18">
        <v>1145</v>
      </c>
      <c r="F16" s="18">
        <v>396</v>
      </c>
      <c r="G16" s="18">
        <v>218</v>
      </c>
      <c r="H16" s="18">
        <v>115</v>
      </c>
      <c r="I16" s="18">
        <v>4611</v>
      </c>
      <c r="J16" s="18">
        <v>575</v>
      </c>
      <c r="K16" s="18">
        <v>514</v>
      </c>
      <c r="L16" s="18">
        <v>1548</v>
      </c>
      <c r="M16" s="18">
        <v>1242</v>
      </c>
      <c r="N16" s="18">
        <v>136</v>
      </c>
      <c r="O16" s="18">
        <v>3</v>
      </c>
      <c r="P16" s="18">
        <v>112</v>
      </c>
      <c r="Q16" s="18">
        <v>338</v>
      </c>
      <c r="R16" s="18">
        <v>147</v>
      </c>
      <c r="S16" s="18">
        <v>75</v>
      </c>
      <c r="T16" s="18">
        <v>154</v>
      </c>
      <c r="U16" s="145">
        <v>47</v>
      </c>
      <c r="V16" s="145">
        <v>171</v>
      </c>
      <c r="W16" s="145">
        <v>166</v>
      </c>
      <c r="X16" s="145">
        <v>73</v>
      </c>
      <c r="Y16" s="32">
        <f t="shared" si="0"/>
        <v>12130</v>
      </c>
    </row>
    <row r="17" spans="1:25" x14ac:dyDescent="0.35">
      <c r="A17" s="146" t="s">
        <v>52</v>
      </c>
      <c r="B17" s="148" t="s">
        <v>1347</v>
      </c>
      <c r="C17" s="18">
        <v>56</v>
      </c>
      <c r="D17" s="18">
        <v>161</v>
      </c>
      <c r="E17" s="18">
        <v>539</v>
      </c>
      <c r="F17" s="18">
        <v>246</v>
      </c>
      <c r="G17" s="18">
        <v>182</v>
      </c>
      <c r="H17" s="18">
        <v>111</v>
      </c>
      <c r="I17" s="18">
        <v>1321</v>
      </c>
      <c r="J17" s="18">
        <v>270</v>
      </c>
      <c r="K17" s="18">
        <v>267</v>
      </c>
      <c r="L17" s="18">
        <v>774</v>
      </c>
      <c r="M17" s="18">
        <v>569</v>
      </c>
      <c r="N17" s="18">
        <v>107</v>
      </c>
      <c r="O17" s="18">
        <v>6</v>
      </c>
      <c r="P17" s="18">
        <v>66</v>
      </c>
      <c r="Q17" s="18">
        <v>222</v>
      </c>
      <c r="R17" s="18">
        <v>70</v>
      </c>
      <c r="S17" s="18">
        <v>74</v>
      </c>
      <c r="T17" s="18">
        <v>167</v>
      </c>
      <c r="U17" s="145">
        <v>54</v>
      </c>
      <c r="V17" s="145">
        <v>53</v>
      </c>
      <c r="W17" s="145">
        <v>151</v>
      </c>
      <c r="X17" s="145">
        <v>33</v>
      </c>
      <c r="Y17" s="32">
        <f t="shared" si="0"/>
        <v>5499</v>
      </c>
    </row>
    <row r="18" spans="1:25" x14ac:dyDescent="0.35">
      <c r="A18" s="146" t="s">
        <v>54</v>
      </c>
      <c r="B18" s="148" t="s">
        <v>1348</v>
      </c>
      <c r="C18" s="18"/>
      <c r="D18" s="18">
        <v>3</v>
      </c>
      <c r="E18" s="18">
        <v>1</v>
      </c>
      <c r="F18" s="18">
        <v>1</v>
      </c>
      <c r="G18" s="18">
        <v>1</v>
      </c>
      <c r="H18" s="18"/>
      <c r="I18" s="18">
        <v>4</v>
      </c>
      <c r="J18" s="18">
        <v>1</v>
      </c>
      <c r="K18" s="18"/>
      <c r="L18" s="18">
        <v>9</v>
      </c>
      <c r="M18" s="18">
        <v>3</v>
      </c>
      <c r="N18" s="18"/>
      <c r="O18" s="18"/>
      <c r="P18" s="18"/>
      <c r="Q18" s="18">
        <v>2</v>
      </c>
      <c r="R18" s="18"/>
      <c r="S18" s="18"/>
      <c r="T18" s="18"/>
      <c r="U18" s="145"/>
      <c r="V18" s="145">
        <v>1</v>
      </c>
      <c r="W18" s="145">
        <v>1</v>
      </c>
      <c r="X18" s="145"/>
      <c r="Y18" s="32">
        <f t="shared" si="0"/>
        <v>27</v>
      </c>
    </row>
    <row r="19" spans="1:25" x14ac:dyDescent="0.35">
      <c r="A19" s="146" t="s">
        <v>56</v>
      </c>
      <c r="B19" s="148" t="s">
        <v>1349</v>
      </c>
      <c r="C19" s="18">
        <v>8</v>
      </c>
      <c r="D19" s="18">
        <v>30</v>
      </c>
      <c r="E19" s="18">
        <v>137</v>
      </c>
      <c r="F19" s="18">
        <v>59</v>
      </c>
      <c r="G19" s="18">
        <v>43</v>
      </c>
      <c r="H19" s="18">
        <v>15</v>
      </c>
      <c r="I19" s="18">
        <v>207</v>
      </c>
      <c r="J19" s="18">
        <v>42</v>
      </c>
      <c r="K19" s="18">
        <v>67</v>
      </c>
      <c r="L19" s="18">
        <v>146</v>
      </c>
      <c r="M19" s="18">
        <v>171</v>
      </c>
      <c r="N19" s="18">
        <v>16</v>
      </c>
      <c r="O19" s="18"/>
      <c r="P19" s="18">
        <v>8</v>
      </c>
      <c r="Q19" s="18">
        <v>40</v>
      </c>
      <c r="R19" s="18">
        <v>17</v>
      </c>
      <c r="S19" s="18">
        <v>9</v>
      </c>
      <c r="T19" s="18">
        <v>27</v>
      </c>
      <c r="U19" s="145">
        <v>5</v>
      </c>
      <c r="V19" s="145">
        <v>14</v>
      </c>
      <c r="W19" s="145">
        <v>15</v>
      </c>
      <c r="X19" s="145">
        <v>4</v>
      </c>
      <c r="Y19" s="32">
        <f t="shared" si="0"/>
        <v>1080</v>
      </c>
    </row>
    <row r="20" spans="1:25" x14ac:dyDescent="0.35">
      <c r="A20" s="146" t="s">
        <v>58</v>
      </c>
      <c r="B20" s="148" t="s">
        <v>1350</v>
      </c>
      <c r="C20" s="18">
        <v>25</v>
      </c>
      <c r="D20" s="18">
        <v>44</v>
      </c>
      <c r="E20" s="18">
        <v>256</v>
      </c>
      <c r="F20" s="18">
        <v>75</v>
      </c>
      <c r="G20" s="18">
        <v>37</v>
      </c>
      <c r="H20" s="18">
        <v>15</v>
      </c>
      <c r="I20" s="18">
        <v>888</v>
      </c>
      <c r="J20" s="18">
        <v>66</v>
      </c>
      <c r="K20" s="18">
        <v>103</v>
      </c>
      <c r="L20" s="18">
        <v>375</v>
      </c>
      <c r="M20" s="18">
        <v>358</v>
      </c>
      <c r="N20" s="18">
        <v>17</v>
      </c>
      <c r="O20" s="18">
        <v>1</v>
      </c>
      <c r="P20" s="18">
        <v>17</v>
      </c>
      <c r="Q20" s="18">
        <v>48</v>
      </c>
      <c r="R20" s="18">
        <v>33</v>
      </c>
      <c r="S20" s="18">
        <v>17</v>
      </c>
      <c r="T20" s="18">
        <v>22</v>
      </c>
      <c r="U20" s="145">
        <v>9</v>
      </c>
      <c r="V20" s="145">
        <v>18</v>
      </c>
      <c r="W20" s="145">
        <v>28</v>
      </c>
      <c r="X20" s="145">
        <v>9</v>
      </c>
      <c r="Y20" s="32">
        <f t="shared" si="0"/>
        <v>2461</v>
      </c>
    </row>
    <row r="21" spans="1:25" x14ac:dyDescent="0.35">
      <c r="A21" s="146" t="s">
        <v>60</v>
      </c>
      <c r="B21" s="148" t="s">
        <v>1351</v>
      </c>
      <c r="C21" s="18">
        <v>22</v>
      </c>
      <c r="D21" s="18">
        <v>82</v>
      </c>
      <c r="E21" s="18">
        <v>195</v>
      </c>
      <c r="F21" s="18">
        <v>93</v>
      </c>
      <c r="G21" s="18">
        <v>60</v>
      </c>
      <c r="H21" s="18">
        <v>51</v>
      </c>
      <c r="I21" s="18">
        <v>335</v>
      </c>
      <c r="J21" s="18">
        <v>80</v>
      </c>
      <c r="K21" s="18">
        <v>109</v>
      </c>
      <c r="L21" s="18">
        <v>193</v>
      </c>
      <c r="M21" s="18">
        <v>187</v>
      </c>
      <c r="N21" s="18">
        <v>57</v>
      </c>
      <c r="O21" s="18">
        <v>1</v>
      </c>
      <c r="P21" s="18">
        <v>59</v>
      </c>
      <c r="Q21" s="18">
        <v>73</v>
      </c>
      <c r="R21" s="18">
        <v>40</v>
      </c>
      <c r="S21" s="18">
        <v>35</v>
      </c>
      <c r="T21" s="18">
        <v>85</v>
      </c>
      <c r="U21" s="145">
        <v>38</v>
      </c>
      <c r="V21" s="145">
        <v>20</v>
      </c>
      <c r="W21" s="145">
        <v>60</v>
      </c>
      <c r="X21" s="145">
        <v>10</v>
      </c>
      <c r="Y21" s="32">
        <f t="shared" si="0"/>
        <v>1885</v>
      </c>
    </row>
    <row r="22" spans="1:25" x14ac:dyDescent="0.35">
      <c r="A22" s="146" t="s">
        <v>62</v>
      </c>
      <c r="B22" s="148" t="s">
        <v>1352</v>
      </c>
      <c r="C22" s="18">
        <v>35</v>
      </c>
      <c r="D22" s="18">
        <v>216</v>
      </c>
      <c r="E22" s="18">
        <v>452</v>
      </c>
      <c r="F22" s="18">
        <v>201</v>
      </c>
      <c r="G22" s="18">
        <v>179</v>
      </c>
      <c r="H22" s="18">
        <v>126</v>
      </c>
      <c r="I22" s="18">
        <v>503</v>
      </c>
      <c r="J22" s="18">
        <v>161</v>
      </c>
      <c r="K22" s="18">
        <v>265</v>
      </c>
      <c r="L22" s="18">
        <v>673</v>
      </c>
      <c r="M22" s="18">
        <v>597</v>
      </c>
      <c r="N22" s="18">
        <v>138</v>
      </c>
      <c r="O22" s="18">
        <v>4</v>
      </c>
      <c r="P22" s="18">
        <v>71</v>
      </c>
      <c r="Q22" s="18">
        <v>167</v>
      </c>
      <c r="R22" s="18">
        <v>95</v>
      </c>
      <c r="S22" s="18">
        <v>72</v>
      </c>
      <c r="T22" s="18">
        <v>153</v>
      </c>
      <c r="U22" s="145">
        <v>69</v>
      </c>
      <c r="V22" s="145">
        <v>16</v>
      </c>
      <c r="W22" s="145">
        <v>136</v>
      </c>
      <c r="X22" s="145">
        <v>14</v>
      </c>
      <c r="Y22" s="32">
        <f t="shared" si="0"/>
        <v>4343</v>
      </c>
    </row>
    <row r="23" spans="1:25" x14ac:dyDescent="0.35">
      <c r="A23" s="146" t="s">
        <v>64</v>
      </c>
      <c r="B23" s="148" t="s">
        <v>1352</v>
      </c>
      <c r="C23" s="18">
        <v>1</v>
      </c>
      <c r="D23" s="18">
        <v>2</v>
      </c>
      <c r="E23" s="18"/>
      <c r="F23" s="18">
        <v>1</v>
      </c>
      <c r="G23" s="18"/>
      <c r="H23" s="18">
        <v>1</v>
      </c>
      <c r="I23" s="18">
        <v>7</v>
      </c>
      <c r="J23" s="18"/>
      <c r="K23" s="18">
        <v>1</v>
      </c>
      <c r="L23" s="18">
        <v>3</v>
      </c>
      <c r="M23" s="18">
        <v>4</v>
      </c>
      <c r="N23" s="18"/>
      <c r="O23" s="18"/>
      <c r="P23" s="18"/>
      <c r="Q23" s="18">
        <v>3</v>
      </c>
      <c r="R23" s="18"/>
      <c r="S23" s="18">
        <v>1</v>
      </c>
      <c r="T23" s="18"/>
      <c r="U23" s="145"/>
      <c r="V23" s="145"/>
      <c r="W23" s="145"/>
      <c r="X23" s="145"/>
      <c r="Y23" s="32">
        <f t="shared" si="0"/>
        <v>24</v>
      </c>
    </row>
    <row r="24" spans="1:25" x14ac:dyDescent="0.35">
      <c r="A24" s="146" t="s">
        <v>1193</v>
      </c>
      <c r="B24" s="148" t="s">
        <v>1193</v>
      </c>
      <c r="C24" s="18"/>
      <c r="D24" s="18">
        <v>6</v>
      </c>
      <c r="E24" s="18">
        <v>14</v>
      </c>
      <c r="F24" s="18">
        <v>9</v>
      </c>
      <c r="G24" s="18">
        <v>3</v>
      </c>
      <c r="H24" s="18">
        <v>2</v>
      </c>
      <c r="I24" s="18">
        <v>35</v>
      </c>
      <c r="J24" s="18">
        <v>5</v>
      </c>
      <c r="K24" s="18">
        <v>7</v>
      </c>
      <c r="L24" s="18">
        <v>20</v>
      </c>
      <c r="M24" s="18">
        <v>23</v>
      </c>
      <c r="N24" s="18">
        <v>4</v>
      </c>
      <c r="O24" s="18"/>
      <c r="P24" s="18">
        <v>1</v>
      </c>
      <c r="Q24" s="18">
        <v>6</v>
      </c>
      <c r="R24" s="18">
        <v>2</v>
      </c>
      <c r="S24" s="18">
        <v>1</v>
      </c>
      <c r="T24" s="18"/>
      <c r="U24" s="145">
        <v>1</v>
      </c>
      <c r="V24" s="145">
        <v>3</v>
      </c>
      <c r="W24" s="145">
        <v>5</v>
      </c>
      <c r="X24" s="145"/>
      <c r="Y24" s="32">
        <f t="shared" si="0"/>
        <v>147</v>
      </c>
    </row>
    <row r="25" spans="1:25" x14ac:dyDescent="0.35">
      <c r="A25" s="53" t="s">
        <v>16</v>
      </c>
      <c r="B25" s="54"/>
      <c r="C25" s="19">
        <f>SUM(C4:C24)</f>
        <v>1172</v>
      </c>
      <c r="D25" s="19">
        <f>SUM(D4:D24)</f>
        <v>4360</v>
      </c>
      <c r="E25" s="19">
        <f>SUM(E4:E24)</f>
        <v>10346</v>
      </c>
      <c r="F25" s="19">
        <f>SUM(F4:F24)</f>
        <v>4620</v>
      </c>
      <c r="G25" s="19">
        <f>SUM(G4:G24)</f>
        <v>3944</v>
      </c>
      <c r="H25" s="19">
        <f>SUM(H4:H24)</f>
        <v>2781</v>
      </c>
      <c r="I25" s="19">
        <f>SUM(I4:I24)</f>
        <v>24290</v>
      </c>
      <c r="J25" s="19">
        <f>SUM(J4:J24)</f>
        <v>6287</v>
      </c>
      <c r="K25" s="19">
        <f>SUM(K4:K24)</f>
        <v>4929</v>
      </c>
      <c r="L25" s="19">
        <f>SUM(L4:L24)</f>
        <v>23098</v>
      </c>
      <c r="M25" s="19">
        <f>SUM(M4:M24)</f>
        <v>11587</v>
      </c>
      <c r="N25" s="19">
        <f>SUM(N4:N24)</f>
        <v>2595</v>
      </c>
      <c r="O25" s="19">
        <f>SUM(O4:O24)</f>
        <v>92</v>
      </c>
      <c r="P25" s="19">
        <f>SUM(P4:P24)</f>
        <v>1796</v>
      </c>
      <c r="Q25" s="19">
        <f>SUM(Q4:Q24)</f>
        <v>4119</v>
      </c>
      <c r="R25" s="19">
        <f>SUM(R4:R24)</f>
        <v>1930</v>
      </c>
      <c r="S25" s="19">
        <f>SUM(S4:S24)</f>
        <v>1612</v>
      </c>
      <c r="T25" s="19">
        <f>SUM(T4:T24)</f>
        <v>2781</v>
      </c>
      <c r="U25" s="19">
        <f>SUM(U4:U24)</f>
        <v>1763</v>
      </c>
      <c r="V25" s="19">
        <f>SUM(V4:V24)</f>
        <v>1048</v>
      </c>
      <c r="W25" s="19">
        <f>SUM(W4:W24)</f>
        <v>2797</v>
      </c>
      <c r="X25" s="19">
        <f>SUM(X4:X24)</f>
        <v>494</v>
      </c>
      <c r="Y25" s="19">
        <f>SUM(Y4:Y24)</f>
        <v>118441</v>
      </c>
    </row>
    <row r="27" spans="1:25" x14ac:dyDescent="0.35">
      <c r="A27" t="s">
        <v>1355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 spans="1:25" x14ac:dyDescent="0.35">
      <c r="A28" t="s">
        <v>17</v>
      </c>
    </row>
    <row r="29" spans="1:25" x14ac:dyDescent="0.35">
      <c r="A29" t="s">
        <v>1320</v>
      </c>
    </row>
  </sheetData>
  <mergeCells count="1">
    <mergeCell ref="A25:B25"/>
  </mergeCells>
  <hyperlinks>
    <hyperlink ref="F1" location="Índice!A1" display="Volver al índice" xr:uid="{F1828C0E-26EB-4335-9D8B-12FF5B72F10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DBDB-E78B-4AEF-841F-0D623CAEC447}">
  <dimension ref="A1:Y94"/>
  <sheetViews>
    <sheetView workbookViewId="0">
      <selection activeCell="G1" sqref="G1"/>
    </sheetView>
  </sheetViews>
  <sheetFormatPr baseColWidth="10" defaultColWidth="11.453125" defaultRowHeight="14.5" x14ac:dyDescent="0.35"/>
  <cols>
    <col min="2" max="2" width="59.81640625" customWidth="1"/>
    <col min="12" max="12" width="12.26953125" bestFit="1" customWidth="1"/>
    <col min="18" max="18" width="16" customWidth="1"/>
    <col min="24" max="24" width="15.81640625" customWidth="1"/>
  </cols>
  <sheetData>
    <row r="1" spans="1:25" ht="18.5" x14ac:dyDescent="0.45">
      <c r="A1" s="21" t="s">
        <v>1438</v>
      </c>
      <c r="B1" s="21"/>
      <c r="G1" s="17" t="s">
        <v>1</v>
      </c>
    </row>
    <row r="3" spans="1:25" s="24" customFormat="1" ht="33.75" customHeight="1" x14ac:dyDescent="0.35">
      <c r="A3" s="20" t="s">
        <v>89</v>
      </c>
      <c r="B3" s="20" t="s">
        <v>1436</v>
      </c>
      <c r="C3" s="22" t="s">
        <v>1277</v>
      </c>
      <c r="D3" s="22" t="s">
        <v>1166</v>
      </c>
      <c r="E3" s="22" t="s">
        <v>1167</v>
      </c>
      <c r="F3" s="22" t="s">
        <v>1168</v>
      </c>
      <c r="G3" s="22" t="s">
        <v>1169</v>
      </c>
      <c r="H3" s="22" t="s">
        <v>1170</v>
      </c>
      <c r="I3" s="22" t="s">
        <v>1171</v>
      </c>
      <c r="J3" s="22" t="s">
        <v>1172</v>
      </c>
      <c r="K3" s="22" t="s">
        <v>1173</v>
      </c>
      <c r="L3" s="22" t="s">
        <v>1174</v>
      </c>
      <c r="M3" s="22" t="s">
        <v>1278</v>
      </c>
      <c r="N3" s="22" t="s">
        <v>1175</v>
      </c>
      <c r="O3" s="22" t="s">
        <v>1279</v>
      </c>
      <c r="P3" s="22" t="s">
        <v>1176</v>
      </c>
      <c r="Q3" s="22" t="s">
        <v>1177</v>
      </c>
      <c r="R3" s="22" t="s">
        <v>1280</v>
      </c>
      <c r="S3" s="22" t="s">
        <v>1281</v>
      </c>
      <c r="T3" s="22" t="s">
        <v>1178</v>
      </c>
      <c r="U3" s="22" t="s">
        <v>1179</v>
      </c>
      <c r="V3" s="22" t="s">
        <v>1282</v>
      </c>
      <c r="W3" s="22" t="s">
        <v>1180</v>
      </c>
      <c r="X3" s="22" t="s">
        <v>1435</v>
      </c>
      <c r="Y3" s="22" t="s">
        <v>1284</v>
      </c>
    </row>
    <row r="4" spans="1:25" x14ac:dyDescent="0.35">
      <c r="A4" s="156" t="s">
        <v>90</v>
      </c>
      <c r="B4" s="3" t="s">
        <v>91</v>
      </c>
      <c r="C4" s="18">
        <v>32</v>
      </c>
      <c r="D4" s="18">
        <v>29</v>
      </c>
      <c r="E4" s="18">
        <v>146</v>
      </c>
      <c r="F4" s="18">
        <v>53</v>
      </c>
      <c r="G4" s="18">
        <v>47</v>
      </c>
      <c r="H4" s="18">
        <v>17</v>
      </c>
      <c r="I4" s="18">
        <v>964</v>
      </c>
      <c r="J4" s="18">
        <v>100</v>
      </c>
      <c r="K4" s="18">
        <v>51</v>
      </c>
      <c r="L4" s="18">
        <v>234</v>
      </c>
      <c r="M4" s="18">
        <v>227</v>
      </c>
      <c r="N4" s="18">
        <v>10</v>
      </c>
      <c r="O4" s="18">
        <v>4</v>
      </c>
      <c r="P4" s="18">
        <v>17</v>
      </c>
      <c r="Q4" s="18">
        <v>34</v>
      </c>
      <c r="R4" s="18">
        <v>41</v>
      </c>
      <c r="S4" s="18">
        <v>21</v>
      </c>
      <c r="T4" s="18">
        <v>26</v>
      </c>
      <c r="U4" s="18">
        <v>10</v>
      </c>
      <c r="V4" s="18">
        <v>37</v>
      </c>
      <c r="W4" s="18">
        <v>17</v>
      </c>
      <c r="X4" s="18">
        <v>17</v>
      </c>
      <c r="Y4" s="32">
        <f>SUM(C4:X4)</f>
        <v>2134</v>
      </c>
    </row>
    <row r="5" spans="1:25" x14ac:dyDescent="0.35">
      <c r="A5" s="156" t="s">
        <v>92</v>
      </c>
      <c r="B5" s="3" t="s">
        <v>93</v>
      </c>
      <c r="C5" s="18">
        <v>1</v>
      </c>
      <c r="D5" s="18">
        <v>1</v>
      </c>
      <c r="E5" s="18">
        <v>8</v>
      </c>
      <c r="F5" s="18">
        <v>2</v>
      </c>
      <c r="G5" s="18">
        <v>1</v>
      </c>
      <c r="H5" s="18"/>
      <c r="I5" s="18">
        <v>50</v>
      </c>
      <c r="J5" s="18">
        <v>6</v>
      </c>
      <c r="K5" s="18">
        <v>3</v>
      </c>
      <c r="L5" s="18">
        <v>22</v>
      </c>
      <c r="M5" s="18">
        <v>9</v>
      </c>
      <c r="N5" s="18">
        <v>2</v>
      </c>
      <c r="O5" s="18"/>
      <c r="P5" s="18">
        <v>1</v>
      </c>
      <c r="Q5" s="18">
        <v>7</v>
      </c>
      <c r="R5" s="18">
        <v>1</v>
      </c>
      <c r="S5" s="18">
        <v>2</v>
      </c>
      <c r="T5" s="18">
        <v>1</v>
      </c>
      <c r="U5" s="18"/>
      <c r="V5" s="18">
        <v>2</v>
      </c>
      <c r="W5" s="18"/>
      <c r="X5" s="18">
        <v>1</v>
      </c>
      <c r="Y5" s="32">
        <f t="shared" ref="Y5:Y68" si="0">SUM(C5:X5)</f>
        <v>120</v>
      </c>
    </row>
    <row r="6" spans="1:25" x14ac:dyDescent="0.35">
      <c r="A6" s="156" t="s">
        <v>94</v>
      </c>
      <c r="B6" s="3" t="s">
        <v>95</v>
      </c>
      <c r="C6" s="18"/>
      <c r="D6" s="18">
        <v>1</v>
      </c>
      <c r="E6" s="18">
        <v>2</v>
      </c>
      <c r="F6" s="18">
        <v>3</v>
      </c>
      <c r="G6" s="18"/>
      <c r="H6" s="18"/>
      <c r="I6" s="18">
        <v>4</v>
      </c>
      <c r="J6" s="18"/>
      <c r="K6" s="18"/>
      <c r="L6" s="18">
        <v>10</v>
      </c>
      <c r="M6" s="18">
        <v>3</v>
      </c>
      <c r="N6" s="18"/>
      <c r="O6" s="18"/>
      <c r="P6" s="18"/>
      <c r="Q6" s="18">
        <v>2</v>
      </c>
      <c r="R6" s="18">
        <v>1</v>
      </c>
      <c r="S6" s="18"/>
      <c r="T6" s="18"/>
      <c r="U6" s="18"/>
      <c r="V6" s="18">
        <v>1</v>
      </c>
      <c r="W6" s="18"/>
      <c r="X6" s="18"/>
      <c r="Y6" s="32">
        <f t="shared" si="0"/>
        <v>27</v>
      </c>
    </row>
    <row r="7" spans="1:25" x14ac:dyDescent="0.35">
      <c r="A7" s="156" t="s">
        <v>96</v>
      </c>
      <c r="B7" s="3" t="s">
        <v>97</v>
      </c>
      <c r="C7" s="18"/>
      <c r="D7" s="18"/>
      <c r="E7" s="18"/>
      <c r="F7" s="18">
        <v>1</v>
      </c>
      <c r="G7" s="18">
        <v>1</v>
      </c>
      <c r="H7" s="18"/>
      <c r="I7" s="18">
        <v>4</v>
      </c>
      <c r="J7" s="18"/>
      <c r="K7" s="18">
        <v>2</v>
      </c>
      <c r="L7" s="18">
        <v>3</v>
      </c>
      <c r="M7" s="18"/>
      <c r="N7" s="18">
        <v>1</v>
      </c>
      <c r="O7" s="18"/>
      <c r="P7" s="18">
        <v>1</v>
      </c>
      <c r="Q7" s="18"/>
      <c r="R7" s="18"/>
      <c r="S7" s="18">
        <v>1</v>
      </c>
      <c r="T7" s="18"/>
      <c r="U7" s="18"/>
      <c r="V7" s="18"/>
      <c r="W7" s="18"/>
      <c r="X7" s="18"/>
      <c r="Y7" s="32">
        <f t="shared" si="0"/>
        <v>14</v>
      </c>
    </row>
    <row r="8" spans="1:25" x14ac:dyDescent="0.35">
      <c r="A8" s="156" t="s">
        <v>98</v>
      </c>
      <c r="B8" s="3" t="s">
        <v>99</v>
      </c>
      <c r="C8" s="18">
        <v>2</v>
      </c>
      <c r="D8" s="18">
        <v>3</v>
      </c>
      <c r="E8" s="18">
        <v>14</v>
      </c>
      <c r="F8" s="18">
        <v>3</v>
      </c>
      <c r="G8" s="18">
        <v>3</v>
      </c>
      <c r="H8" s="18">
        <v>3</v>
      </c>
      <c r="I8" s="18">
        <v>80</v>
      </c>
      <c r="J8" s="18">
        <v>7</v>
      </c>
      <c r="K8" s="18">
        <v>6</v>
      </c>
      <c r="L8" s="18">
        <v>30</v>
      </c>
      <c r="M8" s="18">
        <v>18</v>
      </c>
      <c r="N8" s="18">
        <v>1</v>
      </c>
      <c r="O8" s="18"/>
      <c r="P8" s="18">
        <v>2</v>
      </c>
      <c r="Q8" s="18"/>
      <c r="R8" s="18">
        <v>1</v>
      </c>
      <c r="S8" s="18">
        <v>1</v>
      </c>
      <c r="T8" s="18">
        <v>1</v>
      </c>
      <c r="U8" s="18"/>
      <c r="V8" s="18">
        <v>1</v>
      </c>
      <c r="W8" s="18"/>
      <c r="X8" s="18">
        <v>1</v>
      </c>
      <c r="Y8" s="32">
        <f t="shared" si="0"/>
        <v>177</v>
      </c>
    </row>
    <row r="9" spans="1:25" x14ac:dyDescent="0.35">
      <c r="A9" s="156" t="s">
        <v>100</v>
      </c>
      <c r="B9" s="3" t="s">
        <v>101</v>
      </c>
      <c r="C9" s="18">
        <v>3</v>
      </c>
      <c r="D9" s="18">
        <v>2</v>
      </c>
      <c r="E9" s="18">
        <v>4</v>
      </c>
      <c r="F9" s="18">
        <v>2</v>
      </c>
      <c r="G9" s="18">
        <v>1</v>
      </c>
      <c r="H9" s="18">
        <v>1</v>
      </c>
      <c r="I9" s="18">
        <v>36</v>
      </c>
      <c r="J9" s="18">
        <v>2</v>
      </c>
      <c r="K9" s="18">
        <v>2</v>
      </c>
      <c r="L9" s="18">
        <v>10</v>
      </c>
      <c r="M9" s="18">
        <v>7</v>
      </c>
      <c r="N9" s="18">
        <v>1</v>
      </c>
      <c r="O9" s="18"/>
      <c r="P9" s="18"/>
      <c r="Q9" s="18">
        <v>1</v>
      </c>
      <c r="R9" s="18"/>
      <c r="S9" s="18">
        <v>1</v>
      </c>
      <c r="T9" s="18">
        <v>3</v>
      </c>
      <c r="U9" s="18"/>
      <c r="V9" s="18">
        <v>3</v>
      </c>
      <c r="W9" s="18">
        <v>2</v>
      </c>
      <c r="X9" s="18">
        <v>3</v>
      </c>
      <c r="Y9" s="32">
        <f t="shared" si="0"/>
        <v>84</v>
      </c>
    </row>
    <row r="10" spans="1:25" x14ac:dyDescent="0.35">
      <c r="A10" s="156" t="s">
        <v>102</v>
      </c>
      <c r="B10" s="3" t="s">
        <v>103</v>
      </c>
      <c r="C10" s="18"/>
      <c r="D10" s="18"/>
      <c r="E10" s="18">
        <v>4</v>
      </c>
      <c r="F10" s="18">
        <v>2</v>
      </c>
      <c r="G10" s="18">
        <v>1</v>
      </c>
      <c r="H10" s="18"/>
      <c r="I10" s="18">
        <v>30</v>
      </c>
      <c r="J10" s="18">
        <v>2</v>
      </c>
      <c r="K10" s="18">
        <v>5</v>
      </c>
      <c r="L10" s="18">
        <v>11</v>
      </c>
      <c r="M10" s="18">
        <v>8</v>
      </c>
      <c r="N10" s="18">
        <v>1</v>
      </c>
      <c r="O10" s="18"/>
      <c r="P10" s="18"/>
      <c r="Q10" s="18">
        <v>4</v>
      </c>
      <c r="R10" s="18">
        <v>1</v>
      </c>
      <c r="S10" s="18"/>
      <c r="T10" s="18">
        <v>1</v>
      </c>
      <c r="U10" s="18"/>
      <c r="V10" s="18"/>
      <c r="W10" s="18"/>
      <c r="X10" s="18"/>
      <c r="Y10" s="32">
        <f t="shared" si="0"/>
        <v>70</v>
      </c>
    </row>
    <row r="11" spans="1:25" x14ac:dyDescent="0.35">
      <c r="A11" s="156" t="s">
        <v>104</v>
      </c>
      <c r="B11" s="3" t="s">
        <v>105</v>
      </c>
      <c r="C11" s="18">
        <v>36</v>
      </c>
      <c r="D11" s="18">
        <v>193</v>
      </c>
      <c r="E11" s="18">
        <v>339</v>
      </c>
      <c r="F11" s="18">
        <v>163</v>
      </c>
      <c r="G11" s="18">
        <v>168</v>
      </c>
      <c r="H11" s="18">
        <v>121</v>
      </c>
      <c r="I11" s="18">
        <v>366</v>
      </c>
      <c r="J11" s="18">
        <v>223</v>
      </c>
      <c r="K11" s="18">
        <v>168</v>
      </c>
      <c r="L11" s="18">
        <v>426</v>
      </c>
      <c r="M11" s="18">
        <v>295</v>
      </c>
      <c r="N11" s="18">
        <v>86</v>
      </c>
      <c r="O11" s="18">
        <v>4</v>
      </c>
      <c r="P11" s="18">
        <v>63</v>
      </c>
      <c r="Q11" s="18">
        <v>155</v>
      </c>
      <c r="R11" s="18">
        <v>61</v>
      </c>
      <c r="S11" s="18">
        <v>63</v>
      </c>
      <c r="T11" s="18">
        <v>105</v>
      </c>
      <c r="U11" s="18">
        <v>78</v>
      </c>
      <c r="V11" s="18">
        <v>28</v>
      </c>
      <c r="W11" s="18">
        <v>111</v>
      </c>
      <c r="X11" s="18">
        <v>9</v>
      </c>
      <c r="Y11" s="32">
        <f t="shared" si="0"/>
        <v>3261</v>
      </c>
    </row>
    <row r="12" spans="1:25" x14ac:dyDescent="0.35">
      <c r="A12" s="156" t="s">
        <v>106</v>
      </c>
      <c r="B12" s="3" t="s">
        <v>107</v>
      </c>
      <c r="C12" s="18">
        <v>2</v>
      </c>
      <c r="D12" s="18">
        <v>6</v>
      </c>
      <c r="E12" s="18">
        <v>11</v>
      </c>
      <c r="F12" s="18">
        <v>4</v>
      </c>
      <c r="G12" s="18">
        <v>2</v>
      </c>
      <c r="H12" s="18">
        <v>2</v>
      </c>
      <c r="I12" s="18">
        <v>37</v>
      </c>
      <c r="J12" s="18">
        <v>16</v>
      </c>
      <c r="K12" s="18">
        <v>7</v>
      </c>
      <c r="L12" s="18">
        <v>12</v>
      </c>
      <c r="M12" s="18">
        <v>14</v>
      </c>
      <c r="N12" s="18">
        <v>4</v>
      </c>
      <c r="O12" s="18">
        <v>2</v>
      </c>
      <c r="P12" s="18"/>
      <c r="Q12" s="18">
        <v>5</v>
      </c>
      <c r="R12" s="18">
        <v>2</v>
      </c>
      <c r="S12" s="18">
        <v>1</v>
      </c>
      <c r="T12" s="18">
        <v>3</v>
      </c>
      <c r="U12" s="18">
        <v>2</v>
      </c>
      <c r="V12" s="18">
        <v>2</v>
      </c>
      <c r="W12" s="18">
        <v>2</v>
      </c>
      <c r="X12" s="18"/>
      <c r="Y12" s="32">
        <f t="shared" si="0"/>
        <v>136</v>
      </c>
    </row>
    <row r="13" spans="1:25" x14ac:dyDescent="0.35">
      <c r="A13" s="156" t="s">
        <v>110</v>
      </c>
      <c r="B13" s="3" t="s">
        <v>111</v>
      </c>
      <c r="C13" s="18">
        <v>4</v>
      </c>
      <c r="D13" s="18">
        <v>30</v>
      </c>
      <c r="E13" s="18">
        <v>76</v>
      </c>
      <c r="F13" s="18">
        <v>40</v>
      </c>
      <c r="G13" s="18">
        <v>35</v>
      </c>
      <c r="H13" s="18">
        <v>21</v>
      </c>
      <c r="I13" s="18">
        <v>60</v>
      </c>
      <c r="J13" s="18">
        <v>105</v>
      </c>
      <c r="K13" s="18">
        <v>39</v>
      </c>
      <c r="L13" s="18">
        <v>203</v>
      </c>
      <c r="M13" s="18">
        <v>65</v>
      </c>
      <c r="N13" s="18">
        <v>10</v>
      </c>
      <c r="O13" s="18"/>
      <c r="P13" s="18">
        <v>4</v>
      </c>
      <c r="Q13" s="18">
        <v>26</v>
      </c>
      <c r="R13" s="18">
        <v>20</v>
      </c>
      <c r="S13" s="18">
        <v>5</v>
      </c>
      <c r="T13" s="18">
        <v>28</v>
      </c>
      <c r="U13" s="18">
        <v>11</v>
      </c>
      <c r="V13" s="18"/>
      <c r="W13" s="18">
        <v>22</v>
      </c>
      <c r="X13" s="18">
        <v>1</v>
      </c>
      <c r="Y13" s="32">
        <f t="shared" si="0"/>
        <v>805</v>
      </c>
    </row>
    <row r="14" spans="1:25" x14ac:dyDescent="0.35">
      <c r="A14" s="156" t="s">
        <v>112</v>
      </c>
      <c r="B14" s="3" t="s">
        <v>113</v>
      </c>
      <c r="C14" s="18">
        <v>14</v>
      </c>
      <c r="D14" s="18">
        <v>99</v>
      </c>
      <c r="E14" s="18">
        <v>291</v>
      </c>
      <c r="F14" s="18">
        <v>92</v>
      </c>
      <c r="G14" s="18">
        <v>109</v>
      </c>
      <c r="H14" s="18">
        <v>68</v>
      </c>
      <c r="I14" s="18">
        <v>318</v>
      </c>
      <c r="J14" s="18">
        <v>290</v>
      </c>
      <c r="K14" s="18">
        <v>139</v>
      </c>
      <c r="L14" s="18">
        <v>1020</v>
      </c>
      <c r="M14" s="18">
        <v>269</v>
      </c>
      <c r="N14" s="18">
        <v>60</v>
      </c>
      <c r="O14" s="18">
        <v>1</v>
      </c>
      <c r="P14" s="18">
        <v>38</v>
      </c>
      <c r="Q14" s="18">
        <v>107</v>
      </c>
      <c r="R14" s="18">
        <v>57</v>
      </c>
      <c r="S14" s="18">
        <v>27</v>
      </c>
      <c r="T14" s="18">
        <v>83</v>
      </c>
      <c r="U14" s="18">
        <v>36</v>
      </c>
      <c r="V14" s="18">
        <v>13</v>
      </c>
      <c r="W14" s="18">
        <v>66</v>
      </c>
      <c r="X14" s="18">
        <v>13</v>
      </c>
      <c r="Y14" s="32">
        <f t="shared" si="0"/>
        <v>3210</v>
      </c>
    </row>
    <row r="15" spans="1:25" x14ac:dyDescent="0.35">
      <c r="A15" s="156" t="s">
        <v>114</v>
      </c>
      <c r="B15" s="3" t="s">
        <v>115</v>
      </c>
      <c r="C15" s="18">
        <v>4</v>
      </c>
      <c r="D15" s="18">
        <v>19</v>
      </c>
      <c r="E15" s="18">
        <v>27</v>
      </c>
      <c r="F15" s="18">
        <v>19</v>
      </c>
      <c r="G15" s="18">
        <v>15</v>
      </c>
      <c r="H15" s="18">
        <v>14</v>
      </c>
      <c r="I15" s="18">
        <v>40</v>
      </c>
      <c r="J15" s="18">
        <v>33</v>
      </c>
      <c r="K15" s="18">
        <v>6</v>
      </c>
      <c r="L15" s="18">
        <v>116</v>
      </c>
      <c r="M15" s="18">
        <v>23</v>
      </c>
      <c r="N15" s="18">
        <v>12</v>
      </c>
      <c r="O15" s="18"/>
      <c r="P15" s="18">
        <v>8</v>
      </c>
      <c r="Q15" s="18">
        <v>15</v>
      </c>
      <c r="R15" s="18">
        <v>5</v>
      </c>
      <c r="S15" s="18">
        <v>7</v>
      </c>
      <c r="T15" s="18">
        <v>16</v>
      </c>
      <c r="U15" s="18">
        <v>10</v>
      </c>
      <c r="V15" s="18">
        <v>3</v>
      </c>
      <c r="W15" s="18">
        <v>18</v>
      </c>
      <c r="X15" s="18"/>
      <c r="Y15" s="32">
        <f t="shared" si="0"/>
        <v>410</v>
      </c>
    </row>
    <row r="16" spans="1:25" x14ac:dyDescent="0.35">
      <c r="A16" s="156" t="s">
        <v>116</v>
      </c>
      <c r="B16" s="3" t="s">
        <v>117</v>
      </c>
      <c r="C16" s="18">
        <v>7</v>
      </c>
      <c r="D16" s="18">
        <v>35</v>
      </c>
      <c r="E16" s="18">
        <v>25</v>
      </c>
      <c r="F16" s="18">
        <v>17</v>
      </c>
      <c r="G16" s="18">
        <v>10</v>
      </c>
      <c r="H16" s="18">
        <v>19</v>
      </c>
      <c r="I16" s="18">
        <v>32</v>
      </c>
      <c r="J16" s="18">
        <v>32</v>
      </c>
      <c r="K16" s="18">
        <v>15</v>
      </c>
      <c r="L16" s="18">
        <v>94</v>
      </c>
      <c r="M16" s="18">
        <v>15</v>
      </c>
      <c r="N16" s="18">
        <v>10</v>
      </c>
      <c r="O16" s="18">
        <v>1</v>
      </c>
      <c r="P16" s="18">
        <v>5</v>
      </c>
      <c r="Q16" s="18">
        <v>18</v>
      </c>
      <c r="R16" s="18">
        <v>8</v>
      </c>
      <c r="S16" s="18">
        <v>16</v>
      </c>
      <c r="T16" s="18">
        <v>7</v>
      </c>
      <c r="U16" s="18">
        <v>9</v>
      </c>
      <c r="V16" s="18">
        <v>4</v>
      </c>
      <c r="W16" s="18">
        <v>14</v>
      </c>
      <c r="X16" s="18"/>
      <c r="Y16" s="32">
        <f t="shared" si="0"/>
        <v>393</v>
      </c>
    </row>
    <row r="17" spans="1:25" x14ac:dyDescent="0.35">
      <c r="A17" s="156" t="s">
        <v>118</v>
      </c>
      <c r="B17" s="3" t="s">
        <v>119</v>
      </c>
      <c r="C17" s="18"/>
      <c r="D17" s="18">
        <v>2</v>
      </c>
      <c r="E17" s="18">
        <v>8</v>
      </c>
      <c r="F17" s="18">
        <v>4</v>
      </c>
      <c r="G17" s="18">
        <v>4</v>
      </c>
      <c r="H17" s="18">
        <v>2</v>
      </c>
      <c r="I17" s="18">
        <v>9</v>
      </c>
      <c r="J17" s="18">
        <v>9</v>
      </c>
      <c r="K17" s="18">
        <v>6</v>
      </c>
      <c r="L17" s="18">
        <v>25</v>
      </c>
      <c r="M17" s="18">
        <v>11</v>
      </c>
      <c r="N17" s="18">
        <v>1</v>
      </c>
      <c r="O17" s="18"/>
      <c r="P17" s="18"/>
      <c r="Q17" s="18">
        <v>1</v>
      </c>
      <c r="R17" s="18"/>
      <c r="S17" s="18">
        <v>2</v>
      </c>
      <c r="T17" s="18">
        <v>1</v>
      </c>
      <c r="U17" s="18"/>
      <c r="V17" s="18"/>
      <c r="W17" s="18">
        <v>2</v>
      </c>
      <c r="X17" s="18"/>
      <c r="Y17" s="32">
        <f t="shared" si="0"/>
        <v>87</v>
      </c>
    </row>
    <row r="18" spans="1:25" x14ac:dyDescent="0.35">
      <c r="A18" s="156" t="s">
        <v>120</v>
      </c>
      <c r="B18" s="3" t="s">
        <v>121</v>
      </c>
      <c r="C18" s="18">
        <v>4</v>
      </c>
      <c r="D18" s="18">
        <v>21</v>
      </c>
      <c r="E18" s="18">
        <v>52</v>
      </c>
      <c r="F18" s="18">
        <v>14</v>
      </c>
      <c r="G18" s="18">
        <v>17</v>
      </c>
      <c r="H18" s="18">
        <v>13</v>
      </c>
      <c r="I18" s="18">
        <v>60</v>
      </c>
      <c r="J18" s="18">
        <v>67</v>
      </c>
      <c r="K18" s="18">
        <v>33</v>
      </c>
      <c r="L18" s="18">
        <v>359</v>
      </c>
      <c r="M18" s="18">
        <v>72</v>
      </c>
      <c r="N18" s="18">
        <v>13</v>
      </c>
      <c r="O18" s="18"/>
      <c r="P18" s="18">
        <v>5</v>
      </c>
      <c r="Q18" s="18">
        <v>19</v>
      </c>
      <c r="R18" s="18">
        <v>7</v>
      </c>
      <c r="S18" s="18">
        <v>6</v>
      </c>
      <c r="T18" s="18">
        <v>9</v>
      </c>
      <c r="U18" s="18">
        <v>4</v>
      </c>
      <c r="V18" s="18">
        <v>1</v>
      </c>
      <c r="W18" s="18">
        <v>9</v>
      </c>
      <c r="X18" s="18">
        <v>3</v>
      </c>
      <c r="Y18" s="32">
        <f t="shared" si="0"/>
        <v>788</v>
      </c>
    </row>
    <row r="19" spans="1:25" x14ac:dyDescent="0.35">
      <c r="A19" s="156" t="s">
        <v>122</v>
      </c>
      <c r="B19" s="3" t="s">
        <v>123</v>
      </c>
      <c r="C19" s="18"/>
      <c r="D19" s="18"/>
      <c r="E19" s="18">
        <v>2</v>
      </c>
      <c r="F19" s="18"/>
      <c r="G19" s="18">
        <v>3</v>
      </c>
      <c r="H19" s="18"/>
      <c r="I19" s="18">
        <v>2</v>
      </c>
      <c r="J19" s="18">
        <v>2</v>
      </c>
      <c r="K19" s="18">
        <v>4</v>
      </c>
      <c r="L19" s="18">
        <v>4</v>
      </c>
      <c r="M19" s="18">
        <v>1</v>
      </c>
      <c r="N19" s="18">
        <v>1</v>
      </c>
      <c r="O19" s="18"/>
      <c r="P19" s="18"/>
      <c r="Q19" s="18"/>
      <c r="R19" s="18"/>
      <c r="S19" s="18">
        <v>1</v>
      </c>
      <c r="T19" s="18">
        <v>1</v>
      </c>
      <c r="U19" s="18"/>
      <c r="V19" s="18"/>
      <c r="W19" s="18"/>
      <c r="X19" s="18"/>
      <c r="Y19" s="32">
        <f t="shared" si="0"/>
        <v>21</v>
      </c>
    </row>
    <row r="20" spans="1:25" x14ac:dyDescent="0.35">
      <c r="A20" s="156" t="s">
        <v>124</v>
      </c>
      <c r="B20" s="3" t="s">
        <v>125</v>
      </c>
      <c r="C20" s="18">
        <v>3</v>
      </c>
      <c r="D20" s="18">
        <v>22</v>
      </c>
      <c r="E20" s="18">
        <v>43</v>
      </c>
      <c r="F20" s="18">
        <v>18</v>
      </c>
      <c r="G20" s="18">
        <v>13</v>
      </c>
      <c r="H20" s="18">
        <v>10</v>
      </c>
      <c r="I20" s="18">
        <v>71</v>
      </c>
      <c r="J20" s="18">
        <v>57</v>
      </c>
      <c r="K20" s="18">
        <v>19</v>
      </c>
      <c r="L20" s="18">
        <v>57</v>
      </c>
      <c r="M20" s="18">
        <v>51</v>
      </c>
      <c r="N20" s="18">
        <v>10</v>
      </c>
      <c r="O20" s="18"/>
      <c r="P20" s="18">
        <v>9</v>
      </c>
      <c r="Q20" s="18">
        <v>12</v>
      </c>
      <c r="R20" s="18">
        <v>16</v>
      </c>
      <c r="S20" s="18">
        <v>6</v>
      </c>
      <c r="T20" s="18">
        <v>16</v>
      </c>
      <c r="U20" s="18">
        <v>5</v>
      </c>
      <c r="V20" s="18">
        <v>7</v>
      </c>
      <c r="W20" s="18">
        <v>13</v>
      </c>
      <c r="X20" s="18"/>
      <c r="Y20" s="32">
        <f t="shared" si="0"/>
        <v>458</v>
      </c>
    </row>
    <row r="21" spans="1:25" x14ac:dyDescent="0.35">
      <c r="A21" s="156" t="s">
        <v>126</v>
      </c>
      <c r="B21" s="3" t="s">
        <v>127</v>
      </c>
      <c r="C21" s="18">
        <v>1</v>
      </c>
      <c r="D21" s="18">
        <v>2</v>
      </c>
      <c r="E21" s="18">
        <v>12</v>
      </c>
      <c r="F21" s="18">
        <v>2</v>
      </c>
      <c r="G21" s="18">
        <v>2</v>
      </c>
      <c r="H21" s="18">
        <v>4</v>
      </c>
      <c r="I21" s="18">
        <v>28</v>
      </c>
      <c r="J21" s="18">
        <v>11</v>
      </c>
      <c r="K21" s="18">
        <v>4</v>
      </c>
      <c r="L21" s="18">
        <v>12</v>
      </c>
      <c r="M21" s="18">
        <v>13</v>
      </c>
      <c r="N21" s="18"/>
      <c r="O21" s="18"/>
      <c r="P21" s="18"/>
      <c r="Q21" s="18"/>
      <c r="R21" s="18">
        <v>1</v>
      </c>
      <c r="S21" s="18"/>
      <c r="T21" s="18">
        <v>1</v>
      </c>
      <c r="U21" s="18"/>
      <c r="V21" s="18">
        <v>3</v>
      </c>
      <c r="W21" s="18">
        <v>3</v>
      </c>
      <c r="X21" s="18"/>
      <c r="Y21" s="32">
        <f t="shared" si="0"/>
        <v>99</v>
      </c>
    </row>
    <row r="22" spans="1:25" x14ac:dyDescent="0.35">
      <c r="A22" s="156" t="s">
        <v>128</v>
      </c>
      <c r="B22" s="3" t="s">
        <v>129</v>
      </c>
      <c r="C22" s="18">
        <v>1</v>
      </c>
      <c r="D22" s="18">
        <v>41</v>
      </c>
      <c r="E22" s="18">
        <v>18</v>
      </c>
      <c r="F22" s="18">
        <v>8</v>
      </c>
      <c r="G22" s="18">
        <v>12</v>
      </c>
      <c r="H22" s="18">
        <v>9</v>
      </c>
      <c r="I22" s="18">
        <v>28</v>
      </c>
      <c r="J22" s="18">
        <v>96</v>
      </c>
      <c r="K22" s="18">
        <v>18</v>
      </c>
      <c r="L22" s="18">
        <v>74</v>
      </c>
      <c r="M22" s="18">
        <v>29</v>
      </c>
      <c r="N22" s="18">
        <v>5</v>
      </c>
      <c r="O22" s="18"/>
      <c r="P22" s="18">
        <v>1</v>
      </c>
      <c r="Q22" s="18">
        <v>12</v>
      </c>
      <c r="R22" s="18">
        <v>7</v>
      </c>
      <c r="S22" s="18">
        <v>15</v>
      </c>
      <c r="T22" s="18">
        <v>4</v>
      </c>
      <c r="U22" s="18">
        <v>5</v>
      </c>
      <c r="V22" s="18">
        <v>4</v>
      </c>
      <c r="W22" s="18">
        <v>2</v>
      </c>
      <c r="X22" s="18">
        <v>1</v>
      </c>
      <c r="Y22" s="32">
        <f t="shared" si="0"/>
        <v>390</v>
      </c>
    </row>
    <row r="23" spans="1:25" x14ac:dyDescent="0.35">
      <c r="A23" s="156" t="s">
        <v>130</v>
      </c>
      <c r="B23" s="3" t="s">
        <v>131</v>
      </c>
      <c r="C23" s="18">
        <v>10</v>
      </c>
      <c r="D23" s="18">
        <v>16</v>
      </c>
      <c r="E23" s="18">
        <v>17</v>
      </c>
      <c r="F23" s="18">
        <v>6</v>
      </c>
      <c r="G23" s="18">
        <v>6</v>
      </c>
      <c r="H23" s="18">
        <v>3</v>
      </c>
      <c r="I23" s="18">
        <v>24</v>
      </c>
      <c r="J23" s="18">
        <v>16</v>
      </c>
      <c r="K23" s="18">
        <v>2</v>
      </c>
      <c r="L23" s="18">
        <v>38</v>
      </c>
      <c r="M23" s="18">
        <v>15</v>
      </c>
      <c r="N23" s="18">
        <v>3</v>
      </c>
      <c r="O23" s="18"/>
      <c r="P23" s="18">
        <v>4</v>
      </c>
      <c r="Q23" s="18">
        <v>11</v>
      </c>
      <c r="R23" s="18">
        <v>5</v>
      </c>
      <c r="S23" s="18">
        <v>9</v>
      </c>
      <c r="T23" s="18">
        <v>7</v>
      </c>
      <c r="U23" s="18">
        <v>1</v>
      </c>
      <c r="V23" s="18">
        <v>2</v>
      </c>
      <c r="W23" s="18">
        <v>3</v>
      </c>
      <c r="X23" s="18">
        <v>2</v>
      </c>
      <c r="Y23" s="32">
        <f t="shared" si="0"/>
        <v>200</v>
      </c>
    </row>
    <row r="24" spans="1:25" x14ac:dyDescent="0.35">
      <c r="A24" s="156" t="s">
        <v>132</v>
      </c>
      <c r="B24" s="3" t="s">
        <v>133</v>
      </c>
      <c r="C24" s="18">
        <v>1</v>
      </c>
      <c r="D24" s="18">
        <v>3</v>
      </c>
      <c r="E24" s="18">
        <v>3</v>
      </c>
      <c r="F24" s="18">
        <v>1</v>
      </c>
      <c r="G24" s="18">
        <v>4</v>
      </c>
      <c r="H24" s="18">
        <v>2</v>
      </c>
      <c r="I24" s="18">
        <v>12</v>
      </c>
      <c r="J24" s="18">
        <v>15</v>
      </c>
      <c r="K24" s="18">
        <v>2</v>
      </c>
      <c r="L24" s="18">
        <v>33</v>
      </c>
      <c r="M24" s="18">
        <v>3</v>
      </c>
      <c r="N24" s="18">
        <v>2</v>
      </c>
      <c r="O24" s="18"/>
      <c r="P24" s="18">
        <v>1</v>
      </c>
      <c r="Q24" s="18">
        <v>7</v>
      </c>
      <c r="R24" s="18">
        <v>1</v>
      </c>
      <c r="S24" s="18">
        <v>3</v>
      </c>
      <c r="T24" s="18">
        <v>2</v>
      </c>
      <c r="U24" s="18">
        <v>2</v>
      </c>
      <c r="V24" s="18"/>
      <c r="W24" s="18">
        <v>1</v>
      </c>
      <c r="X24" s="18"/>
      <c r="Y24" s="32">
        <f t="shared" si="0"/>
        <v>98</v>
      </c>
    </row>
    <row r="25" spans="1:25" x14ac:dyDescent="0.35">
      <c r="A25" s="156" t="s">
        <v>134</v>
      </c>
      <c r="B25" s="3" t="s">
        <v>135</v>
      </c>
      <c r="C25" s="18">
        <v>9</v>
      </c>
      <c r="D25" s="18">
        <v>43</v>
      </c>
      <c r="E25" s="18">
        <v>63</v>
      </c>
      <c r="F25" s="18">
        <v>25</v>
      </c>
      <c r="G25" s="18">
        <v>38</v>
      </c>
      <c r="H25" s="18">
        <v>22</v>
      </c>
      <c r="I25" s="18">
        <v>45</v>
      </c>
      <c r="J25" s="18">
        <v>181</v>
      </c>
      <c r="K25" s="18">
        <v>25</v>
      </c>
      <c r="L25" s="18">
        <v>206</v>
      </c>
      <c r="M25" s="18">
        <v>57</v>
      </c>
      <c r="N25" s="18">
        <v>16</v>
      </c>
      <c r="O25" s="18">
        <v>1</v>
      </c>
      <c r="P25" s="18">
        <v>7</v>
      </c>
      <c r="Q25" s="18">
        <v>39</v>
      </c>
      <c r="R25" s="18">
        <v>13</v>
      </c>
      <c r="S25" s="18">
        <v>14</v>
      </c>
      <c r="T25" s="18">
        <v>22</v>
      </c>
      <c r="U25" s="18">
        <v>9</v>
      </c>
      <c r="V25" s="18">
        <v>4</v>
      </c>
      <c r="W25" s="18">
        <v>22</v>
      </c>
      <c r="X25" s="18">
        <v>3</v>
      </c>
      <c r="Y25" s="32">
        <f t="shared" si="0"/>
        <v>864</v>
      </c>
    </row>
    <row r="26" spans="1:25" x14ac:dyDescent="0.35">
      <c r="A26" s="156" t="s">
        <v>136</v>
      </c>
      <c r="B26" s="3" t="s">
        <v>137</v>
      </c>
      <c r="C26" s="18"/>
      <c r="D26" s="18">
        <v>1</v>
      </c>
      <c r="E26" s="18">
        <v>11</v>
      </c>
      <c r="F26" s="18">
        <v>1</v>
      </c>
      <c r="G26" s="18"/>
      <c r="H26" s="18">
        <v>1</v>
      </c>
      <c r="I26" s="18">
        <v>6</v>
      </c>
      <c r="J26" s="18">
        <v>6</v>
      </c>
      <c r="K26" s="18">
        <v>4</v>
      </c>
      <c r="L26" s="18">
        <v>24</v>
      </c>
      <c r="M26" s="18">
        <v>10</v>
      </c>
      <c r="N26" s="18"/>
      <c r="O26" s="18"/>
      <c r="P26" s="18"/>
      <c r="Q26" s="18">
        <v>2</v>
      </c>
      <c r="R26" s="18"/>
      <c r="S26" s="18">
        <v>2</v>
      </c>
      <c r="T26" s="18">
        <v>4</v>
      </c>
      <c r="U26" s="18"/>
      <c r="V26" s="18"/>
      <c r="W26" s="18">
        <v>1</v>
      </c>
      <c r="X26" s="18"/>
      <c r="Y26" s="32">
        <f t="shared" si="0"/>
        <v>73</v>
      </c>
    </row>
    <row r="27" spans="1:25" x14ac:dyDescent="0.35">
      <c r="A27" s="156" t="s">
        <v>138</v>
      </c>
      <c r="B27" s="3" t="s">
        <v>139</v>
      </c>
      <c r="C27" s="18">
        <v>2</v>
      </c>
      <c r="D27" s="18">
        <v>5</v>
      </c>
      <c r="E27" s="18">
        <v>10</v>
      </c>
      <c r="F27" s="18">
        <v>4</v>
      </c>
      <c r="G27" s="18">
        <v>4</v>
      </c>
      <c r="H27" s="18">
        <v>3</v>
      </c>
      <c r="I27" s="18">
        <v>13</v>
      </c>
      <c r="J27" s="18">
        <v>21</v>
      </c>
      <c r="K27" s="18">
        <v>5</v>
      </c>
      <c r="L27" s="18">
        <v>19</v>
      </c>
      <c r="M27" s="18">
        <v>8</v>
      </c>
      <c r="N27" s="18">
        <v>2</v>
      </c>
      <c r="O27" s="18"/>
      <c r="P27" s="18">
        <v>2</v>
      </c>
      <c r="Q27" s="18">
        <v>6</v>
      </c>
      <c r="R27" s="18"/>
      <c r="S27" s="18"/>
      <c r="T27" s="18"/>
      <c r="U27" s="18"/>
      <c r="V27" s="18"/>
      <c r="W27" s="18">
        <v>1</v>
      </c>
      <c r="X27" s="18"/>
      <c r="Y27" s="32">
        <f t="shared" si="0"/>
        <v>105</v>
      </c>
    </row>
    <row r="28" spans="1:25" x14ac:dyDescent="0.35">
      <c r="A28" s="156" t="s">
        <v>140</v>
      </c>
      <c r="B28" s="3" t="s">
        <v>141</v>
      </c>
      <c r="C28" s="18">
        <v>1</v>
      </c>
      <c r="D28" s="18">
        <v>4</v>
      </c>
      <c r="E28" s="18">
        <v>11</v>
      </c>
      <c r="F28" s="18">
        <v>5</v>
      </c>
      <c r="G28" s="18">
        <v>19</v>
      </c>
      <c r="H28" s="18">
        <v>4</v>
      </c>
      <c r="I28" s="18">
        <v>22</v>
      </c>
      <c r="J28" s="18">
        <v>55</v>
      </c>
      <c r="K28" s="18">
        <v>7</v>
      </c>
      <c r="L28" s="18">
        <v>43</v>
      </c>
      <c r="M28" s="18">
        <v>14</v>
      </c>
      <c r="N28" s="18">
        <v>2</v>
      </c>
      <c r="O28" s="18"/>
      <c r="P28" s="18">
        <v>2</v>
      </c>
      <c r="Q28" s="18">
        <v>7</v>
      </c>
      <c r="R28" s="18">
        <v>5</v>
      </c>
      <c r="S28" s="18">
        <v>4</v>
      </c>
      <c r="T28" s="18">
        <v>3</v>
      </c>
      <c r="U28" s="18">
        <v>1</v>
      </c>
      <c r="V28" s="18">
        <v>1</v>
      </c>
      <c r="W28" s="18">
        <v>1</v>
      </c>
      <c r="X28" s="18"/>
      <c r="Y28" s="32">
        <f t="shared" si="0"/>
        <v>211</v>
      </c>
    </row>
    <row r="29" spans="1:25" x14ac:dyDescent="0.35">
      <c r="A29" s="156" t="s">
        <v>142</v>
      </c>
      <c r="B29" s="3" t="s">
        <v>143</v>
      </c>
      <c r="C29" s="18">
        <v>1</v>
      </c>
      <c r="D29" s="18">
        <v>3</v>
      </c>
      <c r="E29" s="18">
        <v>4</v>
      </c>
      <c r="F29" s="18"/>
      <c r="G29" s="18">
        <v>6</v>
      </c>
      <c r="H29" s="18">
        <v>1</v>
      </c>
      <c r="I29" s="18">
        <v>7</v>
      </c>
      <c r="J29" s="18">
        <v>18</v>
      </c>
      <c r="K29" s="18">
        <v>3</v>
      </c>
      <c r="L29" s="18">
        <v>33</v>
      </c>
      <c r="M29" s="18">
        <v>4</v>
      </c>
      <c r="N29" s="18">
        <v>2</v>
      </c>
      <c r="O29" s="18"/>
      <c r="P29" s="18"/>
      <c r="Q29" s="18">
        <v>3</v>
      </c>
      <c r="R29" s="18">
        <v>1</v>
      </c>
      <c r="S29" s="18">
        <v>1</v>
      </c>
      <c r="T29" s="18">
        <v>4</v>
      </c>
      <c r="U29" s="18">
        <v>3</v>
      </c>
      <c r="V29" s="18"/>
      <c r="W29" s="18">
        <v>1</v>
      </c>
      <c r="X29" s="18">
        <v>1</v>
      </c>
      <c r="Y29" s="32">
        <f t="shared" si="0"/>
        <v>96</v>
      </c>
    </row>
    <row r="30" spans="1:25" x14ac:dyDescent="0.35">
      <c r="A30" s="156" t="s">
        <v>144</v>
      </c>
      <c r="B30" s="3" t="s">
        <v>145</v>
      </c>
      <c r="C30" s="18"/>
      <c r="D30" s="18"/>
      <c r="E30" s="18">
        <v>3</v>
      </c>
      <c r="F30" s="18">
        <v>1</v>
      </c>
      <c r="G30" s="18">
        <v>1</v>
      </c>
      <c r="H30" s="18"/>
      <c r="I30" s="18">
        <v>4</v>
      </c>
      <c r="J30" s="18">
        <v>5</v>
      </c>
      <c r="K30" s="18">
        <v>2</v>
      </c>
      <c r="L30" s="18">
        <v>7</v>
      </c>
      <c r="M30" s="18">
        <v>2</v>
      </c>
      <c r="N30" s="18">
        <v>1</v>
      </c>
      <c r="O30" s="18">
        <v>1</v>
      </c>
      <c r="P30" s="18"/>
      <c r="Q30" s="18"/>
      <c r="R30" s="18"/>
      <c r="S30" s="18"/>
      <c r="T30" s="18"/>
      <c r="U30" s="18"/>
      <c r="V30" s="18"/>
      <c r="W30" s="18">
        <v>1</v>
      </c>
      <c r="X30" s="18"/>
      <c r="Y30" s="32">
        <f t="shared" si="0"/>
        <v>28</v>
      </c>
    </row>
    <row r="31" spans="1:25" x14ac:dyDescent="0.35">
      <c r="A31" s="156" t="s">
        <v>146</v>
      </c>
      <c r="B31" s="3" t="s">
        <v>147</v>
      </c>
      <c r="C31" s="18">
        <v>10</v>
      </c>
      <c r="D31" s="18">
        <v>58</v>
      </c>
      <c r="E31" s="18">
        <v>52</v>
      </c>
      <c r="F31" s="18">
        <v>26</v>
      </c>
      <c r="G31" s="18">
        <v>19</v>
      </c>
      <c r="H31" s="18">
        <v>15</v>
      </c>
      <c r="I31" s="18">
        <v>43</v>
      </c>
      <c r="J31" s="18">
        <v>59</v>
      </c>
      <c r="K31" s="18">
        <v>25</v>
      </c>
      <c r="L31" s="18">
        <v>136</v>
      </c>
      <c r="M31" s="18">
        <v>72</v>
      </c>
      <c r="N31" s="18">
        <v>15</v>
      </c>
      <c r="O31" s="18"/>
      <c r="P31" s="18">
        <v>7</v>
      </c>
      <c r="Q31" s="18">
        <v>20</v>
      </c>
      <c r="R31" s="18">
        <v>10</v>
      </c>
      <c r="S31" s="18">
        <v>9</v>
      </c>
      <c r="T31" s="18">
        <v>9</v>
      </c>
      <c r="U31" s="18">
        <v>6</v>
      </c>
      <c r="V31" s="18">
        <v>4</v>
      </c>
      <c r="W31" s="18">
        <v>13</v>
      </c>
      <c r="X31" s="18">
        <v>3</v>
      </c>
      <c r="Y31" s="32">
        <f t="shared" si="0"/>
        <v>611</v>
      </c>
    </row>
    <row r="32" spans="1:25" x14ac:dyDescent="0.35">
      <c r="A32" s="156" t="s">
        <v>148</v>
      </c>
      <c r="B32" s="3" t="s">
        <v>149</v>
      </c>
      <c r="C32" s="18">
        <v>9</v>
      </c>
      <c r="D32" s="18">
        <v>24</v>
      </c>
      <c r="E32" s="18">
        <v>75</v>
      </c>
      <c r="F32" s="18">
        <v>33</v>
      </c>
      <c r="G32" s="18">
        <v>20</v>
      </c>
      <c r="H32" s="18">
        <v>27</v>
      </c>
      <c r="I32" s="18">
        <v>115</v>
      </c>
      <c r="J32" s="18">
        <v>57</v>
      </c>
      <c r="K32" s="18">
        <v>31</v>
      </c>
      <c r="L32" s="18">
        <v>265</v>
      </c>
      <c r="M32" s="18">
        <v>75</v>
      </c>
      <c r="N32" s="18">
        <v>14</v>
      </c>
      <c r="O32" s="18"/>
      <c r="P32" s="18">
        <v>6</v>
      </c>
      <c r="Q32" s="18">
        <v>22</v>
      </c>
      <c r="R32" s="18">
        <v>9</v>
      </c>
      <c r="S32" s="18">
        <v>15</v>
      </c>
      <c r="T32" s="18">
        <v>12</v>
      </c>
      <c r="U32" s="18">
        <v>4</v>
      </c>
      <c r="V32" s="18">
        <v>7</v>
      </c>
      <c r="W32" s="18">
        <v>18</v>
      </c>
      <c r="X32" s="18">
        <v>1</v>
      </c>
      <c r="Y32" s="32">
        <f t="shared" si="0"/>
        <v>839</v>
      </c>
    </row>
    <row r="33" spans="1:25" x14ac:dyDescent="0.35">
      <c r="A33" s="156" t="s">
        <v>150</v>
      </c>
      <c r="B33" s="3" t="s">
        <v>151</v>
      </c>
      <c r="C33" s="18">
        <v>15</v>
      </c>
      <c r="D33" s="18">
        <v>37</v>
      </c>
      <c r="E33" s="18">
        <v>103</v>
      </c>
      <c r="F33" s="18">
        <v>40</v>
      </c>
      <c r="G33" s="18">
        <v>47</v>
      </c>
      <c r="H33" s="18">
        <v>33</v>
      </c>
      <c r="I33" s="18">
        <v>82</v>
      </c>
      <c r="J33" s="18">
        <v>112</v>
      </c>
      <c r="K33" s="18">
        <v>53</v>
      </c>
      <c r="L33" s="18">
        <v>205</v>
      </c>
      <c r="M33" s="18">
        <v>106</v>
      </c>
      <c r="N33" s="18">
        <v>26</v>
      </c>
      <c r="O33" s="18">
        <v>1</v>
      </c>
      <c r="P33" s="18">
        <v>7</v>
      </c>
      <c r="Q33" s="18">
        <v>49</v>
      </c>
      <c r="R33" s="18">
        <v>23</v>
      </c>
      <c r="S33" s="18">
        <v>16</v>
      </c>
      <c r="T33" s="18">
        <v>29</v>
      </c>
      <c r="U33" s="18">
        <v>12</v>
      </c>
      <c r="V33" s="18">
        <v>2</v>
      </c>
      <c r="W33" s="18">
        <v>22</v>
      </c>
      <c r="X33" s="18">
        <v>4</v>
      </c>
      <c r="Y33" s="32">
        <f t="shared" si="0"/>
        <v>1024</v>
      </c>
    </row>
    <row r="34" spans="1:25" x14ac:dyDescent="0.35">
      <c r="A34" s="156" t="s">
        <v>152</v>
      </c>
      <c r="B34" s="3" t="s">
        <v>33</v>
      </c>
      <c r="C34" s="18"/>
      <c r="D34" s="18">
        <v>4</v>
      </c>
      <c r="E34" s="18">
        <v>59</v>
      </c>
      <c r="F34" s="18">
        <v>4</v>
      </c>
      <c r="G34" s="18">
        <v>7</v>
      </c>
      <c r="H34" s="18">
        <v>2</v>
      </c>
      <c r="I34" s="18">
        <v>140</v>
      </c>
      <c r="J34" s="18">
        <v>9</v>
      </c>
      <c r="K34" s="18">
        <v>4</v>
      </c>
      <c r="L34" s="18">
        <v>9</v>
      </c>
      <c r="M34" s="18">
        <v>14</v>
      </c>
      <c r="N34" s="18"/>
      <c r="O34" s="18"/>
      <c r="P34" s="18">
        <v>3</v>
      </c>
      <c r="Q34" s="18">
        <v>5</v>
      </c>
      <c r="R34" s="18">
        <v>2</v>
      </c>
      <c r="S34" s="18"/>
      <c r="T34" s="18">
        <v>3</v>
      </c>
      <c r="U34" s="18">
        <v>1</v>
      </c>
      <c r="V34" s="18"/>
      <c r="W34" s="18">
        <v>5</v>
      </c>
      <c r="X34" s="18">
        <v>1</v>
      </c>
      <c r="Y34" s="32">
        <f t="shared" si="0"/>
        <v>272</v>
      </c>
    </row>
    <row r="35" spans="1:25" x14ac:dyDescent="0.35">
      <c r="A35" s="156" t="s">
        <v>153</v>
      </c>
      <c r="B35" s="3" t="s">
        <v>154</v>
      </c>
      <c r="C35" s="18"/>
      <c r="D35" s="18">
        <v>1</v>
      </c>
      <c r="E35" s="18">
        <v>2</v>
      </c>
      <c r="F35" s="18"/>
      <c r="G35" s="18">
        <v>3</v>
      </c>
      <c r="H35" s="18">
        <v>1</v>
      </c>
      <c r="I35" s="18">
        <v>5</v>
      </c>
      <c r="J35" s="18">
        <v>2</v>
      </c>
      <c r="K35" s="18">
        <v>5</v>
      </c>
      <c r="L35" s="18">
        <v>1</v>
      </c>
      <c r="M35" s="18">
        <v>8</v>
      </c>
      <c r="N35" s="18"/>
      <c r="O35" s="18"/>
      <c r="P35" s="18">
        <v>1</v>
      </c>
      <c r="Q35" s="18">
        <v>1</v>
      </c>
      <c r="R35" s="18">
        <v>1</v>
      </c>
      <c r="S35" s="18"/>
      <c r="T35" s="18"/>
      <c r="U35" s="18">
        <v>1</v>
      </c>
      <c r="V35" s="18"/>
      <c r="W35" s="18">
        <v>1</v>
      </c>
      <c r="X35" s="18"/>
      <c r="Y35" s="32">
        <f t="shared" si="0"/>
        <v>33</v>
      </c>
    </row>
    <row r="36" spans="1:25" x14ac:dyDescent="0.35">
      <c r="A36" s="156" t="s">
        <v>155</v>
      </c>
      <c r="B36" s="3" t="s">
        <v>156</v>
      </c>
      <c r="C36" s="18"/>
      <c r="D36" s="18"/>
      <c r="E36" s="18">
        <v>3</v>
      </c>
      <c r="F36" s="18"/>
      <c r="G36" s="18">
        <v>1</v>
      </c>
      <c r="H36" s="18">
        <v>1</v>
      </c>
      <c r="I36" s="18">
        <v>2</v>
      </c>
      <c r="J36" s="18">
        <v>2</v>
      </c>
      <c r="K36" s="18">
        <v>2</v>
      </c>
      <c r="L36" s="18">
        <v>1</v>
      </c>
      <c r="M36" s="18">
        <v>5</v>
      </c>
      <c r="N36" s="18"/>
      <c r="O36" s="18"/>
      <c r="P36" s="18"/>
      <c r="Q36" s="18">
        <v>1</v>
      </c>
      <c r="R36" s="18">
        <v>3</v>
      </c>
      <c r="S36" s="18"/>
      <c r="T36" s="18"/>
      <c r="U36" s="18"/>
      <c r="V36" s="18"/>
      <c r="W36" s="18"/>
      <c r="X36" s="18"/>
      <c r="Y36" s="32">
        <f t="shared" si="0"/>
        <v>21</v>
      </c>
    </row>
    <row r="37" spans="1:25" x14ac:dyDescent="0.35">
      <c r="A37" s="156" t="s">
        <v>157</v>
      </c>
      <c r="B37" s="3" t="s">
        <v>158</v>
      </c>
      <c r="C37" s="18">
        <v>3</v>
      </c>
      <c r="D37" s="18">
        <v>35</v>
      </c>
      <c r="E37" s="18">
        <v>20</v>
      </c>
      <c r="F37" s="18">
        <v>9</v>
      </c>
      <c r="G37" s="18">
        <v>10</v>
      </c>
      <c r="H37" s="18">
        <v>14</v>
      </c>
      <c r="I37" s="18">
        <v>20</v>
      </c>
      <c r="J37" s="18">
        <v>31</v>
      </c>
      <c r="K37" s="18">
        <v>9</v>
      </c>
      <c r="L37" s="18">
        <v>69</v>
      </c>
      <c r="M37" s="18">
        <v>15</v>
      </c>
      <c r="N37" s="18">
        <v>11</v>
      </c>
      <c r="O37" s="18"/>
      <c r="P37" s="18">
        <v>8</v>
      </c>
      <c r="Q37" s="18">
        <v>11</v>
      </c>
      <c r="R37" s="18">
        <v>7</v>
      </c>
      <c r="S37" s="18">
        <v>1</v>
      </c>
      <c r="T37" s="18">
        <v>4</v>
      </c>
      <c r="U37" s="18">
        <v>17</v>
      </c>
      <c r="V37" s="18">
        <v>1</v>
      </c>
      <c r="W37" s="18">
        <v>2</v>
      </c>
      <c r="X37" s="18">
        <v>1</v>
      </c>
      <c r="Y37" s="32">
        <f t="shared" si="0"/>
        <v>298</v>
      </c>
    </row>
    <row r="38" spans="1:25" x14ac:dyDescent="0.35">
      <c r="A38" s="156" t="s">
        <v>159</v>
      </c>
      <c r="B38" s="3" t="s">
        <v>160</v>
      </c>
      <c r="C38" s="18"/>
      <c r="D38" s="18">
        <v>1</v>
      </c>
      <c r="E38" s="18">
        <v>1</v>
      </c>
      <c r="F38" s="18">
        <v>1</v>
      </c>
      <c r="G38" s="18">
        <v>2</v>
      </c>
      <c r="H38" s="18">
        <v>1</v>
      </c>
      <c r="I38" s="18">
        <v>3</v>
      </c>
      <c r="J38" s="18">
        <v>2</v>
      </c>
      <c r="K38" s="18">
        <v>3</v>
      </c>
      <c r="L38" s="18">
        <v>2</v>
      </c>
      <c r="M38" s="18">
        <v>5</v>
      </c>
      <c r="N38" s="18">
        <v>1</v>
      </c>
      <c r="O38" s="18"/>
      <c r="P38" s="18"/>
      <c r="Q38" s="18"/>
      <c r="R38" s="18"/>
      <c r="S38" s="18">
        <v>1</v>
      </c>
      <c r="T38" s="18"/>
      <c r="U38" s="18">
        <v>1</v>
      </c>
      <c r="V38" s="18"/>
      <c r="W38" s="18">
        <v>1</v>
      </c>
      <c r="X38" s="18">
        <v>1</v>
      </c>
      <c r="Y38" s="32">
        <f t="shared" si="0"/>
        <v>26</v>
      </c>
    </row>
    <row r="39" spans="1:25" x14ac:dyDescent="0.35">
      <c r="A39" s="156" t="s">
        <v>161</v>
      </c>
      <c r="B39" s="3" t="s">
        <v>162</v>
      </c>
      <c r="C39" s="18">
        <v>32</v>
      </c>
      <c r="D39" s="18">
        <v>58</v>
      </c>
      <c r="E39" s="18">
        <v>176</v>
      </c>
      <c r="F39" s="18">
        <v>77</v>
      </c>
      <c r="G39" s="18">
        <v>65</v>
      </c>
      <c r="H39" s="18">
        <v>48</v>
      </c>
      <c r="I39" s="18">
        <v>512</v>
      </c>
      <c r="J39" s="18">
        <v>63</v>
      </c>
      <c r="K39" s="18">
        <v>75</v>
      </c>
      <c r="L39" s="18">
        <v>215</v>
      </c>
      <c r="M39" s="18">
        <v>198</v>
      </c>
      <c r="N39" s="18">
        <v>58</v>
      </c>
      <c r="O39" s="18">
        <v>1</v>
      </c>
      <c r="P39" s="18">
        <v>36</v>
      </c>
      <c r="Q39" s="18">
        <v>85</v>
      </c>
      <c r="R39" s="18">
        <v>35</v>
      </c>
      <c r="S39" s="18">
        <v>55</v>
      </c>
      <c r="T39" s="18">
        <v>63</v>
      </c>
      <c r="U39" s="18">
        <v>39</v>
      </c>
      <c r="V39" s="18">
        <v>28</v>
      </c>
      <c r="W39" s="18">
        <v>81</v>
      </c>
      <c r="X39" s="18">
        <v>11</v>
      </c>
      <c r="Y39" s="32">
        <f t="shared" si="0"/>
        <v>2011</v>
      </c>
    </row>
    <row r="40" spans="1:25" x14ac:dyDescent="0.35">
      <c r="A40" s="156" t="s">
        <v>163</v>
      </c>
      <c r="B40" s="3" t="s">
        <v>164</v>
      </c>
      <c r="C40" s="18">
        <v>17</v>
      </c>
      <c r="D40" s="18">
        <v>26</v>
      </c>
      <c r="E40" s="18">
        <v>152</v>
      </c>
      <c r="F40" s="18">
        <v>62</v>
      </c>
      <c r="G40" s="18">
        <v>53</v>
      </c>
      <c r="H40" s="18">
        <v>48</v>
      </c>
      <c r="I40" s="18">
        <v>347</v>
      </c>
      <c r="J40" s="18">
        <v>76</v>
      </c>
      <c r="K40" s="18">
        <v>94</v>
      </c>
      <c r="L40" s="18">
        <v>179</v>
      </c>
      <c r="M40" s="18">
        <v>188</v>
      </c>
      <c r="N40" s="18">
        <v>22</v>
      </c>
      <c r="O40" s="18"/>
      <c r="P40" s="18">
        <v>23</v>
      </c>
      <c r="Q40" s="18">
        <v>71</v>
      </c>
      <c r="R40" s="18">
        <v>34</v>
      </c>
      <c r="S40" s="18">
        <v>27</v>
      </c>
      <c r="T40" s="18">
        <v>54</v>
      </c>
      <c r="U40" s="18">
        <v>27</v>
      </c>
      <c r="V40" s="18">
        <v>12</v>
      </c>
      <c r="W40" s="18">
        <v>49</v>
      </c>
      <c r="X40" s="18">
        <v>6</v>
      </c>
      <c r="Y40" s="32">
        <f t="shared" si="0"/>
        <v>1567</v>
      </c>
    </row>
    <row r="41" spans="1:25" x14ac:dyDescent="0.35">
      <c r="A41" s="156" t="s">
        <v>165</v>
      </c>
      <c r="B41" s="3" t="s">
        <v>166</v>
      </c>
      <c r="C41" s="18">
        <v>57</v>
      </c>
      <c r="D41" s="18">
        <v>130</v>
      </c>
      <c r="E41" s="18">
        <v>295</v>
      </c>
      <c r="F41" s="18">
        <v>174</v>
      </c>
      <c r="G41" s="18">
        <v>133</v>
      </c>
      <c r="H41" s="18">
        <v>143</v>
      </c>
      <c r="I41" s="18">
        <v>302</v>
      </c>
      <c r="J41" s="18">
        <v>146</v>
      </c>
      <c r="K41" s="18">
        <v>147</v>
      </c>
      <c r="L41" s="18">
        <v>284</v>
      </c>
      <c r="M41" s="18">
        <v>256</v>
      </c>
      <c r="N41" s="18">
        <v>124</v>
      </c>
      <c r="O41" s="18">
        <v>1</v>
      </c>
      <c r="P41" s="18">
        <v>84</v>
      </c>
      <c r="Q41" s="18">
        <v>185</v>
      </c>
      <c r="R41" s="18">
        <v>54</v>
      </c>
      <c r="S41" s="18">
        <v>83</v>
      </c>
      <c r="T41" s="18">
        <v>116</v>
      </c>
      <c r="U41" s="18">
        <v>87</v>
      </c>
      <c r="V41" s="18">
        <v>18</v>
      </c>
      <c r="W41" s="18">
        <v>141</v>
      </c>
      <c r="X41" s="18">
        <v>26</v>
      </c>
      <c r="Y41" s="32">
        <f t="shared" si="0"/>
        <v>2986</v>
      </c>
    </row>
    <row r="42" spans="1:25" x14ac:dyDescent="0.35">
      <c r="A42" s="156" t="s">
        <v>167</v>
      </c>
      <c r="B42" s="3" t="s">
        <v>168</v>
      </c>
      <c r="C42" s="18">
        <v>25</v>
      </c>
      <c r="D42" s="18">
        <v>228</v>
      </c>
      <c r="E42" s="18">
        <v>327</v>
      </c>
      <c r="F42" s="18">
        <v>146</v>
      </c>
      <c r="G42" s="18">
        <v>202</v>
      </c>
      <c r="H42" s="18">
        <v>98</v>
      </c>
      <c r="I42" s="18">
        <v>459</v>
      </c>
      <c r="J42" s="18">
        <v>227</v>
      </c>
      <c r="K42" s="18">
        <v>162</v>
      </c>
      <c r="L42" s="18">
        <v>1428</v>
      </c>
      <c r="M42" s="18">
        <v>432</v>
      </c>
      <c r="N42" s="18">
        <v>80</v>
      </c>
      <c r="O42" s="18">
        <v>1</v>
      </c>
      <c r="P42" s="18">
        <v>41</v>
      </c>
      <c r="Q42" s="18">
        <v>157</v>
      </c>
      <c r="R42" s="18">
        <v>45</v>
      </c>
      <c r="S42" s="18">
        <v>43</v>
      </c>
      <c r="T42" s="18">
        <v>50</v>
      </c>
      <c r="U42" s="18">
        <v>53</v>
      </c>
      <c r="V42" s="18">
        <v>9</v>
      </c>
      <c r="W42" s="18">
        <v>67</v>
      </c>
      <c r="X42" s="18">
        <v>11</v>
      </c>
      <c r="Y42" s="32">
        <f t="shared" si="0"/>
        <v>4291</v>
      </c>
    </row>
    <row r="43" spans="1:25" x14ac:dyDescent="0.35">
      <c r="A43" s="156" t="s">
        <v>169</v>
      </c>
      <c r="B43" s="3" t="s">
        <v>170</v>
      </c>
      <c r="C43" s="18">
        <v>61</v>
      </c>
      <c r="D43" s="18">
        <v>169</v>
      </c>
      <c r="E43" s="18">
        <v>605</v>
      </c>
      <c r="F43" s="18">
        <v>187</v>
      </c>
      <c r="G43" s="18">
        <v>166</v>
      </c>
      <c r="H43" s="18">
        <v>99</v>
      </c>
      <c r="I43" s="18">
        <v>1221</v>
      </c>
      <c r="J43" s="18">
        <v>507</v>
      </c>
      <c r="K43" s="18">
        <v>269</v>
      </c>
      <c r="L43" s="18">
        <v>1728</v>
      </c>
      <c r="M43" s="18">
        <v>658</v>
      </c>
      <c r="N43" s="18">
        <v>67</v>
      </c>
      <c r="O43" s="18">
        <v>1</v>
      </c>
      <c r="P43" s="18">
        <v>50</v>
      </c>
      <c r="Q43" s="18">
        <v>156</v>
      </c>
      <c r="R43" s="18">
        <v>85</v>
      </c>
      <c r="S43" s="18">
        <v>50</v>
      </c>
      <c r="T43" s="18">
        <v>85</v>
      </c>
      <c r="U43" s="18">
        <v>67</v>
      </c>
      <c r="V43" s="18">
        <v>44</v>
      </c>
      <c r="W43" s="18">
        <v>97</v>
      </c>
      <c r="X43" s="18">
        <v>28</v>
      </c>
      <c r="Y43" s="32">
        <f t="shared" si="0"/>
        <v>6400</v>
      </c>
    </row>
    <row r="44" spans="1:25" x14ac:dyDescent="0.35">
      <c r="A44" s="156" t="s">
        <v>171</v>
      </c>
      <c r="B44" s="3" t="s">
        <v>172</v>
      </c>
      <c r="C44" s="18">
        <v>242</v>
      </c>
      <c r="D44" s="18">
        <v>1395</v>
      </c>
      <c r="E44" s="18">
        <v>2197</v>
      </c>
      <c r="F44" s="18">
        <v>1232</v>
      </c>
      <c r="G44" s="18">
        <v>1136</v>
      </c>
      <c r="H44" s="18">
        <v>1044</v>
      </c>
      <c r="I44" s="18">
        <v>1969</v>
      </c>
      <c r="J44" s="18">
        <v>1136</v>
      </c>
      <c r="K44" s="18">
        <v>1146</v>
      </c>
      <c r="L44" s="18">
        <v>7282</v>
      </c>
      <c r="M44" s="18">
        <v>1987</v>
      </c>
      <c r="N44" s="18">
        <v>949</v>
      </c>
      <c r="O44" s="18">
        <v>28</v>
      </c>
      <c r="P44" s="18">
        <v>644</v>
      </c>
      <c r="Q44" s="18">
        <v>1167</v>
      </c>
      <c r="R44" s="18">
        <v>520</v>
      </c>
      <c r="S44" s="18">
        <v>515</v>
      </c>
      <c r="T44" s="18">
        <v>894</v>
      </c>
      <c r="U44" s="18">
        <v>747</v>
      </c>
      <c r="V44" s="18">
        <v>148</v>
      </c>
      <c r="W44" s="18">
        <v>918</v>
      </c>
      <c r="X44" s="18">
        <v>73</v>
      </c>
      <c r="Y44" s="32">
        <f t="shared" si="0"/>
        <v>27369</v>
      </c>
    </row>
    <row r="45" spans="1:25" x14ac:dyDescent="0.35">
      <c r="A45" s="156" t="s">
        <v>173</v>
      </c>
      <c r="B45" s="3" t="s">
        <v>174</v>
      </c>
      <c r="C45" s="18">
        <v>16</v>
      </c>
      <c r="D45" s="18">
        <v>57</v>
      </c>
      <c r="E45" s="18">
        <v>131</v>
      </c>
      <c r="F45" s="18">
        <v>68</v>
      </c>
      <c r="G45" s="18">
        <v>94</v>
      </c>
      <c r="H45" s="18">
        <v>33</v>
      </c>
      <c r="I45" s="18">
        <v>189</v>
      </c>
      <c r="J45" s="18">
        <v>143</v>
      </c>
      <c r="K45" s="18">
        <v>65</v>
      </c>
      <c r="L45" s="18">
        <v>216</v>
      </c>
      <c r="M45" s="18">
        <v>167</v>
      </c>
      <c r="N45" s="18">
        <v>29</v>
      </c>
      <c r="O45" s="18"/>
      <c r="P45" s="18">
        <v>23</v>
      </c>
      <c r="Q45" s="18">
        <v>94</v>
      </c>
      <c r="R45" s="18">
        <v>20</v>
      </c>
      <c r="S45" s="18">
        <v>28</v>
      </c>
      <c r="T45" s="18">
        <v>25</v>
      </c>
      <c r="U45" s="18">
        <v>22</v>
      </c>
      <c r="V45" s="18">
        <v>11</v>
      </c>
      <c r="W45" s="18">
        <v>42</v>
      </c>
      <c r="X45" s="18">
        <v>6</v>
      </c>
      <c r="Y45" s="32">
        <f t="shared" si="0"/>
        <v>1479</v>
      </c>
    </row>
    <row r="46" spans="1:25" x14ac:dyDescent="0.35">
      <c r="A46" s="156" t="s">
        <v>175</v>
      </c>
      <c r="B46" s="3" t="s">
        <v>176</v>
      </c>
      <c r="C46" s="18"/>
      <c r="D46" s="18"/>
      <c r="E46" s="18"/>
      <c r="F46" s="18">
        <v>1</v>
      </c>
      <c r="G46" s="18"/>
      <c r="H46" s="18"/>
      <c r="I46" s="18">
        <v>8</v>
      </c>
      <c r="J46" s="18">
        <v>1</v>
      </c>
      <c r="K46" s="18"/>
      <c r="L46" s="18">
        <v>2</v>
      </c>
      <c r="M46" s="18"/>
      <c r="N46" s="18"/>
      <c r="O46" s="18"/>
      <c r="P46" s="18"/>
      <c r="Q46" s="18"/>
      <c r="R46" s="18">
        <v>1</v>
      </c>
      <c r="S46" s="18"/>
      <c r="T46" s="18">
        <v>1</v>
      </c>
      <c r="U46" s="18"/>
      <c r="V46" s="18">
        <v>1</v>
      </c>
      <c r="W46" s="18"/>
      <c r="X46" s="18">
        <v>1</v>
      </c>
      <c r="Y46" s="32">
        <f t="shared" si="0"/>
        <v>16</v>
      </c>
    </row>
    <row r="47" spans="1:25" x14ac:dyDescent="0.35">
      <c r="A47" s="156" t="s">
        <v>177</v>
      </c>
      <c r="B47" s="3" t="s">
        <v>178</v>
      </c>
      <c r="C47" s="18"/>
      <c r="D47" s="18"/>
      <c r="E47" s="18">
        <v>4</v>
      </c>
      <c r="F47" s="18"/>
      <c r="G47" s="18"/>
      <c r="H47" s="18"/>
      <c r="I47" s="18">
        <v>12</v>
      </c>
      <c r="J47" s="18">
        <v>7</v>
      </c>
      <c r="K47" s="18"/>
      <c r="L47" s="18">
        <v>1</v>
      </c>
      <c r="M47" s="18">
        <v>2</v>
      </c>
      <c r="N47" s="18"/>
      <c r="O47" s="18"/>
      <c r="P47" s="18"/>
      <c r="Q47" s="18">
        <v>2</v>
      </c>
      <c r="R47" s="18">
        <v>6</v>
      </c>
      <c r="S47" s="18"/>
      <c r="T47" s="18"/>
      <c r="U47" s="18"/>
      <c r="V47" s="18"/>
      <c r="W47" s="18"/>
      <c r="X47" s="18"/>
      <c r="Y47" s="32">
        <f t="shared" si="0"/>
        <v>34</v>
      </c>
    </row>
    <row r="48" spans="1:25" x14ac:dyDescent="0.35">
      <c r="A48" s="156" t="s">
        <v>179</v>
      </c>
      <c r="B48" s="3" t="s">
        <v>180</v>
      </c>
      <c r="C48" s="18">
        <v>5</v>
      </c>
      <c r="D48" s="18">
        <v>31</v>
      </c>
      <c r="E48" s="18">
        <v>61</v>
      </c>
      <c r="F48" s="18">
        <v>31</v>
      </c>
      <c r="G48" s="18">
        <v>36</v>
      </c>
      <c r="H48" s="18">
        <v>10</v>
      </c>
      <c r="I48" s="18">
        <v>127</v>
      </c>
      <c r="J48" s="18">
        <v>38</v>
      </c>
      <c r="K48" s="18">
        <v>25</v>
      </c>
      <c r="L48" s="18">
        <v>262</v>
      </c>
      <c r="M48" s="18">
        <v>75</v>
      </c>
      <c r="N48" s="18">
        <v>11</v>
      </c>
      <c r="O48" s="18"/>
      <c r="P48" s="18">
        <v>6</v>
      </c>
      <c r="Q48" s="18">
        <v>23</v>
      </c>
      <c r="R48" s="18">
        <v>9</v>
      </c>
      <c r="S48" s="18">
        <v>12</v>
      </c>
      <c r="T48" s="18">
        <v>15</v>
      </c>
      <c r="U48" s="18">
        <v>10</v>
      </c>
      <c r="V48" s="18">
        <v>3</v>
      </c>
      <c r="W48" s="18">
        <v>11</v>
      </c>
      <c r="X48" s="18">
        <v>1</v>
      </c>
      <c r="Y48" s="32">
        <f t="shared" si="0"/>
        <v>802</v>
      </c>
    </row>
    <row r="49" spans="1:25" x14ac:dyDescent="0.35">
      <c r="A49" s="156" t="s">
        <v>181</v>
      </c>
      <c r="B49" s="3" t="s">
        <v>182</v>
      </c>
      <c r="C49" s="18">
        <v>3</v>
      </c>
      <c r="D49" s="18">
        <v>12</v>
      </c>
      <c r="E49" s="18">
        <v>40</v>
      </c>
      <c r="F49" s="18">
        <v>25</v>
      </c>
      <c r="G49" s="18">
        <v>24</v>
      </c>
      <c r="H49" s="18">
        <v>14</v>
      </c>
      <c r="I49" s="18">
        <v>20</v>
      </c>
      <c r="J49" s="18">
        <v>21</v>
      </c>
      <c r="K49" s="18">
        <v>14</v>
      </c>
      <c r="L49" s="18">
        <v>50</v>
      </c>
      <c r="M49" s="18">
        <v>25</v>
      </c>
      <c r="N49" s="18">
        <v>21</v>
      </c>
      <c r="O49" s="18">
        <v>1</v>
      </c>
      <c r="P49" s="18">
        <v>14</v>
      </c>
      <c r="Q49" s="18">
        <v>18</v>
      </c>
      <c r="R49" s="18">
        <v>4</v>
      </c>
      <c r="S49" s="18">
        <v>6</v>
      </c>
      <c r="T49" s="18">
        <v>11</v>
      </c>
      <c r="U49" s="18">
        <v>4</v>
      </c>
      <c r="V49" s="18"/>
      <c r="W49" s="18">
        <v>10</v>
      </c>
      <c r="X49" s="18">
        <v>1</v>
      </c>
      <c r="Y49" s="32">
        <f t="shared" si="0"/>
        <v>338</v>
      </c>
    </row>
    <row r="50" spans="1:25" x14ac:dyDescent="0.35">
      <c r="A50" s="156" t="s">
        <v>183</v>
      </c>
      <c r="B50" s="3" t="s">
        <v>184</v>
      </c>
      <c r="C50" s="18">
        <v>6</v>
      </c>
      <c r="D50" s="18">
        <v>33</v>
      </c>
      <c r="E50" s="18">
        <v>115</v>
      </c>
      <c r="F50" s="18">
        <v>49</v>
      </c>
      <c r="G50" s="18">
        <v>42</v>
      </c>
      <c r="H50" s="18">
        <v>4</v>
      </c>
      <c r="I50" s="18">
        <v>526</v>
      </c>
      <c r="J50" s="18">
        <v>53</v>
      </c>
      <c r="K50" s="18">
        <v>56</v>
      </c>
      <c r="L50" s="18">
        <v>416</v>
      </c>
      <c r="M50" s="18">
        <v>328</v>
      </c>
      <c r="N50" s="18">
        <v>9</v>
      </c>
      <c r="O50" s="18">
        <v>2</v>
      </c>
      <c r="P50" s="18">
        <v>4</v>
      </c>
      <c r="Q50" s="18">
        <v>12</v>
      </c>
      <c r="R50" s="18">
        <v>20</v>
      </c>
      <c r="S50" s="18">
        <v>13</v>
      </c>
      <c r="T50" s="18">
        <v>11</v>
      </c>
      <c r="U50" s="18">
        <v>4</v>
      </c>
      <c r="V50" s="18">
        <v>36</v>
      </c>
      <c r="W50" s="18">
        <v>22</v>
      </c>
      <c r="X50" s="18">
        <v>6</v>
      </c>
      <c r="Y50" s="32">
        <f t="shared" si="0"/>
        <v>1767</v>
      </c>
    </row>
    <row r="51" spans="1:25" x14ac:dyDescent="0.35">
      <c r="A51" s="156" t="s">
        <v>185</v>
      </c>
      <c r="B51" s="3" t="s">
        <v>186</v>
      </c>
      <c r="C51" s="18">
        <v>89</v>
      </c>
      <c r="D51" s="18">
        <v>567</v>
      </c>
      <c r="E51" s="18">
        <v>736</v>
      </c>
      <c r="F51" s="18">
        <v>434</v>
      </c>
      <c r="G51" s="18">
        <v>400</v>
      </c>
      <c r="H51" s="18">
        <v>279</v>
      </c>
      <c r="I51" s="18">
        <v>1207</v>
      </c>
      <c r="J51" s="18">
        <v>392</v>
      </c>
      <c r="K51" s="18">
        <v>355</v>
      </c>
      <c r="L51" s="18">
        <v>1572</v>
      </c>
      <c r="M51" s="18">
        <v>932</v>
      </c>
      <c r="N51" s="18">
        <v>300</v>
      </c>
      <c r="O51" s="18">
        <v>22</v>
      </c>
      <c r="P51" s="18">
        <v>222</v>
      </c>
      <c r="Q51" s="18">
        <v>364</v>
      </c>
      <c r="R51" s="18">
        <v>207</v>
      </c>
      <c r="S51" s="18">
        <v>155</v>
      </c>
      <c r="T51" s="18">
        <v>320</v>
      </c>
      <c r="U51" s="18">
        <v>197</v>
      </c>
      <c r="V51" s="18">
        <v>94</v>
      </c>
      <c r="W51" s="18">
        <v>257</v>
      </c>
      <c r="X51" s="18">
        <v>16</v>
      </c>
      <c r="Y51" s="32">
        <f t="shared" si="0"/>
        <v>9117</v>
      </c>
    </row>
    <row r="52" spans="1:25" x14ac:dyDescent="0.35">
      <c r="A52" s="156" t="s">
        <v>187</v>
      </c>
      <c r="B52" s="3" t="s">
        <v>188</v>
      </c>
      <c r="C52" s="18">
        <v>3</v>
      </c>
      <c r="D52" s="18">
        <v>3</v>
      </c>
      <c r="E52" s="18">
        <v>18</v>
      </c>
      <c r="F52" s="18">
        <v>3</v>
      </c>
      <c r="G52" s="18">
        <v>6</v>
      </c>
      <c r="H52" s="18">
        <v>2</v>
      </c>
      <c r="I52" s="18">
        <v>81</v>
      </c>
      <c r="J52" s="18">
        <v>9</v>
      </c>
      <c r="K52" s="18">
        <v>9</v>
      </c>
      <c r="L52" s="18">
        <v>29</v>
      </c>
      <c r="M52" s="18">
        <v>30</v>
      </c>
      <c r="N52" s="18">
        <v>2</v>
      </c>
      <c r="O52" s="18"/>
      <c r="P52" s="18">
        <v>3</v>
      </c>
      <c r="Q52" s="18">
        <v>10</v>
      </c>
      <c r="R52" s="18">
        <v>3</v>
      </c>
      <c r="S52" s="18"/>
      <c r="T52" s="18">
        <v>3</v>
      </c>
      <c r="U52" s="18">
        <v>1</v>
      </c>
      <c r="V52" s="18"/>
      <c r="W52" s="18">
        <v>4</v>
      </c>
      <c r="X52" s="18">
        <v>3</v>
      </c>
      <c r="Y52" s="32">
        <f t="shared" si="0"/>
        <v>222</v>
      </c>
    </row>
    <row r="53" spans="1:25" x14ac:dyDescent="0.35">
      <c r="A53" s="156" t="s">
        <v>189</v>
      </c>
      <c r="B53" s="3" t="s">
        <v>190</v>
      </c>
      <c r="C53" s="18">
        <v>4</v>
      </c>
      <c r="D53" s="18">
        <v>5</v>
      </c>
      <c r="E53" s="18">
        <v>54</v>
      </c>
      <c r="F53" s="18">
        <v>17</v>
      </c>
      <c r="G53" s="18">
        <v>6</v>
      </c>
      <c r="H53" s="18">
        <v>7</v>
      </c>
      <c r="I53" s="18">
        <v>119</v>
      </c>
      <c r="J53" s="18">
        <v>13</v>
      </c>
      <c r="K53" s="18">
        <v>16</v>
      </c>
      <c r="L53" s="18">
        <v>42</v>
      </c>
      <c r="M53" s="18">
        <v>53</v>
      </c>
      <c r="N53" s="18">
        <v>5</v>
      </c>
      <c r="O53" s="18"/>
      <c r="P53" s="18">
        <v>5</v>
      </c>
      <c r="Q53" s="18">
        <v>9</v>
      </c>
      <c r="R53" s="18">
        <v>3</v>
      </c>
      <c r="S53" s="18">
        <v>5</v>
      </c>
      <c r="T53" s="18">
        <v>2</v>
      </c>
      <c r="U53" s="18">
        <v>4</v>
      </c>
      <c r="V53" s="18">
        <v>10</v>
      </c>
      <c r="W53" s="18">
        <v>4</v>
      </c>
      <c r="X53" s="18">
        <v>2</v>
      </c>
      <c r="Y53" s="32">
        <f t="shared" si="0"/>
        <v>385</v>
      </c>
    </row>
    <row r="54" spans="1:25" x14ac:dyDescent="0.35">
      <c r="A54" s="156" t="s">
        <v>191</v>
      </c>
      <c r="B54" s="3" t="s">
        <v>192</v>
      </c>
      <c r="C54" s="18"/>
      <c r="D54" s="18"/>
      <c r="E54" s="18">
        <v>2</v>
      </c>
      <c r="F54" s="18">
        <v>3</v>
      </c>
      <c r="G54" s="18"/>
      <c r="H54" s="18"/>
      <c r="I54" s="18">
        <v>9</v>
      </c>
      <c r="J54" s="18">
        <v>1</v>
      </c>
      <c r="K54" s="18">
        <v>3</v>
      </c>
      <c r="L54" s="18">
        <v>4</v>
      </c>
      <c r="M54" s="18">
        <v>15</v>
      </c>
      <c r="N54" s="18">
        <v>1</v>
      </c>
      <c r="O54" s="18"/>
      <c r="P54" s="18"/>
      <c r="Q54" s="18">
        <v>2</v>
      </c>
      <c r="R54" s="18">
        <v>1</v>
      </c>
      <c r="S54" s="18">
        <v>2</v>
      </c>
      <c r="T54" s="18"/>
      <c r="U54" s="18">
        <v>1</v>
      </c>
      <c r="V54" s="18"/>
      <c r="W54" s="18"/>
      <c r="X54" s="18"/>
      <c r="Y54" s="32">
        <f t="shared" si="0"/>
        <v>44</v>
      </c>
    </row>
    <row r="55" spans="1:25" x14ac:dyDescent="0.35">
      <c r="A55" s="156" t="s">
        <v>193</v>
      </c>
      <c r="B55" s="3" t="s">
        <v>194</v>
      </c>
      <c r="C55" s="18">
        <v>6</v>
      </c>
      <c r="D55" s="18">
        <v>13</v>
      </c>
      <c r="E55" s="18">
        <v>32</v>
      </c>
      <c r="F55" s="18">
        <v>14</v>
      </c>
      <c r="G55" s="18">
        <v>11</v>
      </c>
      <c r="H55" s="18">
        <v>11</v>
      </c>
      <c r="I55" s="18">
        <v>39</v>
      </c>
      <c r="J55" s="18">
        <v>15</v>
      </c>
      <c r="K55" s="18">
        <v>13</v>
      </c>
      <c r="L55" s="18">
        <v>102</v>
      </c>
      <c r="M55" s="18">
        <v>44</v>
      </c>
      <c r="N55" s="18">
        <v>20</v>
      </c>
      <c r="O55" s="18">
        <v>1</v>
      </c>
      <c r="P55" s="18">
        <v>5</v>
      </c>
      <c r="Q55" s="18">
        <v>23</v>
      </c>
      <c r="R55" s="18">
        <v>9</v>
      </c>
      <c r="S55" s="18">
        <v>7</v>
      </c>
      <c r="T55" s="18">
        <v>14</v>
      </c>
      <c r="U55" s="18">
        <v>4</v>
      </c>
      <c r="V55" s="18">
        <v>2</v>
      </c>
      <c r="W55" s="18">
        <v>20</v>
      </c>
      <c r="X55" s="18">
        <v>2</v>
      </c>
      <c r="Y55" s="32">
        <f t="shared" si="0"/>
        <v>407</v>
      </c>
    </row>
    <row r="56" spans="1:25" x14ac:dyDescent="0.35">
      <c r="A56" s="156" t="s">
        <v>195</v>
      </c>
      <c r="B56" s="3" t="s">
        <v>196</v>
      </c>
      <c r="C56" s="18">
        <v>26</v>
      </c>
      <c r="D56" s="18">
        <v>63</v>
      </c>
      <c r="E56" s="18">
        <v>257</v>
      </c>
      <c r="F56" s="18">
        <v>108</v>
      </c>
      <c r="G56" s="18">
        <v>45</v>
      </c>
      <c r="H56" s="18">
        <v>23</v>
      </c>
      <c r="I56" s="18">
        <v>906</v>
      </c>
      <c r="J56" s="18">
        <v>103</v>
      </c>
      <c r="K56" s="18">
        <v>121</v>
      </c>
      <c r="L56" s="18">
        <v>206</v>
      </c>
      <c r="M56" s="18">
        <v>306</v>
      </c>
      <c r="N56" s="18">
        <v>29</v>
      </c>
      <c r="O56" s="18">
        <v>1</v>
      </c>
      <c r="P56" s="18">
        <v>28</v>
      </c>
      <c r="Q56" s="18">
        <v>86</v>
      </c>
      <c r="R56" s="18">
        <v>48</v>
      </c>
      <c r="S56" s="18">
        <v>24</v>
      </c>
      <c r="T56" s="18">
        <v>39</v>
      </c>
      <c r="U56" s="18">
        <v>13</v>
      </c>
      <c r="V56" s="18">
        <v>20</v>
      </c>
      <c r="W56" s="18">
        <v>48</v>
      </c>
      <c r="X56" s="18">
        <v>10</v>
      </c>
      <c r="Y56" s="32">
        <f t="shared" si="0"/>
        <v>2510</v>
      </c>
    </row>
    <row r="57" spans="1:25" x14ac:dyDescent="0.35">
      <c r="A57" s="156" t="s">
        <v>197</v>
      </c>
      <c r="B57" s="3" t="s">
        <v>198</v>
      </c>
      <c r="C57" s="18">
        <v>1</v>
      </c>
      <c r="D57" s="18">
        <v>12</v>
      </c>
      <c r="E57" s="18">
        <v>48</v>
      </c>
      <c r="F57" s="18">
        <v>20</v>
      </c>
      <c r="G57" s="18">
        <v>7</v>
      </c>
      <c r="H57" s="18">
        <v>6</v>
      </c>
      <c r="I57" s="18">
        <v>136</v>
      </c>
      <c r="J57" s="18">
        <v>18</v>
      </c>
      <c r="K57" s="18">
        <v>30</v>
      </c>
      <c r="L57" s="18">
        <v>41</v>
      </c>
      <c r="M57" s="18">
        <v>69</v>
      </c>
      <c r="N57" s="18">
        <v>4</v>
      </c>
      <c r="O57" s="18"/>
      <c r="P57" s="18">
        <v>4</v>
      </c>
      <c r="Q57" s="18">
        <v>16</v>
      </c>
      <c r="R57" s="18">
        <v>8</v>
      </c>
      <c r="S57" s="18">
        <v>6</v>
      </c>
      <c r="T57" s="18">
        <v>4</v>
      </c>
      <c r="U57" s="18">
        <v>2</v>
      </c>
      <c r="V57" s="18">
        <v>6</v>
      </c>
      <c r="W57" s="18">
        <v>8</v>
      </c>
      <c r="X57" s="18">
        <v>1</v>
      </c>
      <c r="Y57" s="32">
        <f t="shared" si="0"/>
        <v>447</v>
      </c>
    </row>
    <row r="58" spans="1:25" x14ac:dyDescent="0.35">
      <c r="A58" s="156" t="s">
        <v>199</v>
      </c>
      <c r="B58" s="3" t="s">
        <v>200</v>
      </c>
      <c r="C58" s="18">
        <v>4</v>
      </c>
      <c r="D58" s="18">
        <v>1</v>
      </c>
      <c r="E58" s="18">
        <v>21</v>
      </c>
      <c r="F58" s="18">
        <v>12</v>
      </c>
      <c r="G58" s="18">
        <v>6</v>
      </c>
      <c r="H58" s="18">
        <v>5</v>
      </c>
      <c r="I58" s="18">
        <v>316</v>
      </c>
      <c r="J58" s="18">
        <v>24</v>
      </c>
      <c r="K58" s="18">
        <v>9</v>
      </c>
      <c r="L58" s="18">
        <v>78</v>
      </c>
      <c r="M58" s="18">
        <v>38</v>
      </c>
      <c r="N58" s="18"/>
      <c r="O58" s="18"/>
      <c r="P58" s="18">
        <v>4</v>
      </c>
      <c r="Q58" s="18">
        <v>6</v>
      </c>
      <c r="R58" s="18">
        <v>7</v>
      </c>
      <c r="S58" s="18">
        <v>1</v>
      </c>
      <c r="T58" s="18">
        <v>1</v>
      </c>
      <c r="U58" s="18">
        <v>1</v>
      </c>
      <c r="V58" s="18">
        <v>6</v>
      </c>
      <c r="W58" s="18">
        <v>4</v>
      </c>
      <c r="X58" s="18">
        <v>2</v>
      </c>
      <c r="Y58" s="32">
        <f t="shared" si="0"/>
        <v>546</v>
      </c>
    </row>
    <row r="59" spans="1:25" x14ac:dyDescent="0.35">
      <c r="A59" s="156" t="s">
        <v>201</v>
      </c>
      <c r="B59" s="3" t="s">
        <v>202</v>
      </c>
      <c r="C59" s="18"/>
      <c r="D59" s="18">
        <v>3</v>
      </c>
      <c r="E59" s="18">
        <v>8</v>
      </c>
      <c r="F59" s="18">
        <v>6</v>
      </c>
      <c r="G59" s="18">
        <v>4</v>
      </c>
      <c r="H59" s="18"/>
      <c r="I59" s="18">
        <v>15</v>
      </c>
      <c r="J59" s="18">
        <v>2</v>
      </c>
      <c r="K59" s="18"/>
      <c r="L59" s="18">
        <v>8</v>
      </c>
      <c r="M59" s="18">
        <v>6</v>
      </c>
      <c r="N59" s="18"/>
      <c r="O59" s="18"/>
      <c r="P59" s="18">
        <v>1</v>
      </c>
      <c r="Q59" s="18">
        <v>1</v>
      </c>
      <c r="R59" s="18">
        <v>1</v>
      </c>
      <c r="S59" s="18"/>
      <c r="T59" s="18"/>
      <c r="U59" s="18">
        <v>1</v>
      </c>
      <c r="V59" s="18"/>
      <c r="W59" s="18">
        <v>1</v>
      </c>
      <c r="X59" s="18"/>
      <c r="Y59" s="32">
        <f t="shared" si="0"/>
        <v>57</v>
      </c>
    </row>
    <row r="60" spans="1:25" x14ac:dyDescent="0.35">
      <c r="A60" s="156" t="s">
        <v>203</v>
      </c>
      <c r="B60" s="3" t="s">
        <v>204</v>
      </c>
      <c r="C60" s="18">
        <v>24</v>
      </c>
      <c r="D60" s="18">
        <v>22</v>
      </c>
      <c r="E60" s="18">
        <v>153</v>
      </c>
      <c r="F60" s="18">
        <v>52</v>
      </c>
      <c r="G60" s="18">
        <v>29</v>
      </c>
      <c r="H60" s="18">
        <v>10</v>
      </c>
      <c r="I60" s="18">
        <v>578</v>
      </c>
      <c r="J60" s="18">
        <v>46</v>
      </c>
      <c r="K60" s="18">
        <v>67</v>
      </c>
      <c r="L60" s="18">
        <v>177</v>
      </c>
      <c r="M60" s="18">
        <v>195</v>
      </c>
      <c r="N60" s="18">
        <v>9</v>
      </c>
      <c r="O60" s="18"/>
      <c r="P60" s="18">
        <v>13</v>
      </c>
      <c r="Q60" s="18">
        <v>31</v>
      </c>
      <c r="R60" s="18">
        <v>23</v>
      </c>
      <c r="S60" s="18">
        <v>6</v>
      </c>
      <c r="T60" s="18">
        <v>19</v>
      </c>
      <c r="U60" s="18">
        <v>4</v>
      </c>
      <c r="V60" s="18">
        <v>11</v>
      </c>
      <c r="W60" s="18">
        <v>16</v>
      </c>
      <c r="X60" s="18">
        <v>8</v>
      </c>
      <c r="Y60" s="32">
        <f t="shared" si="0"/>
        <v>1493</v>
      </c>
    </row>
    <row r="61" spans="1:25" x14ac:dyDescent="0.35">
      <c r="A61" s="156" t="s">
        <v>205</v>
      </c>
      <c r="B61" s="3" t="s">
        <v>49</v>
      </c>
      <c r="C61" s="18">
        <v>68</v>
      </c>
      <c r="D61" s="18">
        <v>64</v>
      </c>
      <c r="E61" s="18">
        <v>656</v>
      </c>
      <c r="F61" s="18">
        <v>215</v>
      </c>
      <c r="G61" s="18">
        <v>125</v>
      </c>
      <c r="H61" s="18">
        <v>27</v>
      </c>
      <c r="I61" s="18">
        <v>4519</v>
      </c>
      <c r="J61" s="18">
        <v>397</v>
      </c>
      <c r="K61" s="18">
        <v>211</v>
      </c>
      <c r="L61" s="18">
        <v>1222</v>
      </c>
      <c r="M61" s="18">
        <v>886</v>
      </c>
      <c r="N61" s="18">
        <v>57</v>
      </c>
      <c r="O61" s="18">
        <v>3</v>
      </c>
      <c r="P61" s="18">
        <v>50</v>
      </c>
      <c r="Q61" s="18">
        <v>100</v>
      </c>
      <c r="R61" s="18">
        <v>74</v>
      </c>
      <c r="S61" s="18">
        <v>40</v>
      </c>
      <c r="T61" s="18">
        <v>41</v>
      </c>
      <c r="U61" s="18">
        <v>24</v>
      </c>
      <c r="V61" s="18">
        <v>163</v>
      </c>
      <c r="W61" s="18">
        <v>61</v>
      </c>
      <c r="X61" s="18">
        <v>71</v>
      </c>
      <c r="Y61" s="32">
        <f t="shared" si="0"/>
        <v>9074</v>
      </c>
    </row>
    <row r="62" spans="1:25" x14ac:dyDescent="0.35">
      <c r="A62" s="156" t="s">
        <v>206</v>
      </c>
      <c r="B62" s="3" t="s">
        <v>207</v>
      </c>
      <c r="C62" s="18">
        <v>25</v>
      </c>
      <c r="D62" s="18">
        <v>24</v>
      </c>
      <c r="E62" s="18">
        <v>152</v>
      </c>
      <c r="F62" s="18">
        <v>52</v>
      </c>
      <c r="G62" s="18">
        <v>30</v>
      </c>
      <c r="H62" s="18">
        <v>17</v>
      </c>
      <c r="I62" s="18">
        <v>664</v>
      </c>
      <c r="J62" s="18">
        <v>58</v>
      </c>
      <c r="K62" s="18">
        <v>69</v>
      </c>
      <c r="L62" s="18">
        <v>367</v>
      </c>
      <c r="M62" s="18">
        <v>241</v>
      </c>
      <c r="N62" s="18">
        <v>18</v>
      </c>
      <c r="O62" s="18"/>
      <c r="P62" s="18">
        <v>8</v>
      </c>
      <c r="Q62" s="18">
        <v>36</v>
      </c>
      <c r="R62" s="18">
        <v>17</v>
      </c>
      <c r="S62" s="18">
        <v>11</v>
      </c>
      <c r="T62" s="18">
        <v>19</v>
      </c>
      <c r="U62" s="18">
        <v>8</v>
      </c>
      <c r="V62" s="18">
        <v>17</v>
      </c>
      <c r="W62" s="18">
        <v>22</v>
      </c>
      <c r="X62" s="18">
        <v>9</v>
      </c>
      <c r="Y62" s="32">
        <f t="shared" si="0"/>
        <v>1864</v>
      </c>
    </row>
    <row r="63" spans="1:25" x14ac:dyDescent="0.35">
      <c r="A63" s="156" t="s">
        <v>208</v>
      </c>
      <c r="B63" s="3" t="s">
        <v>209</v>
      </c>
      <c r="C63" s="18">
        <v>56</v>
      </c>
      <c r="D63" s="18">
        <v>40</v>
      </c>
      <c r="E63" s="18">
        <v>375</v>
      </c>
      <c r="F63" s="18">
        <v>132</v>
      </c>
      <c r="G63" s="18">
        <v>64</v>
      </c>
      <c r="H63" s="18">
        <v>30</v>
      </c>
      <c r="I63" s="18">
        <v>2230</v>
      </c>
      <c r="J63" s="18">
        <v>216</v>
      </c>
      <c r="K63" s="18">
        <v>140</v>
      </c>
      <c r="L63" s="18">
        <v>485</v>
      </c>
      <c r="M63" s="18">
        <v>364</v>
      </c>
      <c r="N63" s="18">
        <v>36</v>
      </c>
      <c r="O63" s="18">
        <v>1</v>
      </c>
      <c r="P63" s="18">
        <v>43</v>
      </c>
      <c r="Q63" s="18">
        <v>86</v>
      </c>
      <c r="R63" s="18">
        <v>54</v>
      </c>
      <c r="S63" s="18">
        <v>15</v>
      </c>
      <c r="T63" s="18">
        <v>44</v>
      </c>
      <c r="U63" s="18">
        <v>10</v>
      </c>
      <c r="V63" s="18">
        <v>82</v>
      </c>
      <c r="W63" s="18">
        <v>51</v>
      </c>
      <c r="X63" s="18">
        <v>28</v>
      </c>
      <c r="Y63" s="32">
        <f t="shared" si="0"/>
        <v>4582</v>
      </c>
    </row>
    <row r="64" spans="1:25" x14ac:dyDescent="0.35">
      <c r="A64" s="156" t="s">
        <v>210</v>
      </c>
      <c r="B64" s="3" t="s">
        <v>211</v>
      </c>
      <c r="C64" s="18">
        <v>29</v>
      </c>
      <c r="D64" s="18">
        <v>33</v>
      </c>
      <c r="E64" s="18">
        <v>227</v>
      </c>
      <c r="F64" s="18">
        <v>55</v>
      </c>
      <c r="G64" s="18">
        <v>36</v>
      </c>
      <c r="H64" s="18">
        <v>10</v>
      </c>
      <c r="I64" s="18">
        <v>540</v>
      </c>
      <c r="J64" s="18">
        <v>88</v>
      </c>
      <c r="K64" s="18">
        <v>112</v>
      </c>
      <c r="L64" s="18">
        <v>196</v>
      </c>
      <c r="M64" s="18">
        <v>238</v>
      </c>
      <c r="N64" s="18">
        <v>30</v>
      </c>
      <c r="O64" s="18"/>
      <c r="P64" s="18">
        <v>16</v>
      </c>
      <c r="Q64" s="18">
        <v>82</v>
      </c>
      <c r="R64" s="18">
        <v>22</v>
      </c>
      <c r="S64" s="18">
        <v>19</v>
      </c>
      <c r="T64" s="18">
        <v>33</v>
      </c>
      <c r="U64" s="18">
        <v>10</v>
      </c>
      <c r="V64" s="18">
        <v>20</v>
      </c>
      <c r="W64" s="18">
        <v>30</v>
      </c>
      <c r="X64" s="18">
        <v>9</v>
      </c>
      <c r="Y64" s="32">
        <f t="shared" si="0"/>
        <v>1835</v>
      </c>
    </row>
    <row r="65" spans="1:25" x14ac:dyDescent="0.35">
      <c r="A65" s="156" t="s">
        <v>212</v>
      </c>
      <c r="B65" s="3" t="s">
        <v>213</v>
      </c>
      <c r="C65" s="18">
        <v>1</v>
      </c>
      <c r="D65" s="18">
        <v>4</v>
      </c>
      <c r="E65" s="18">
        <v>13</v>
      </c>
      <c r="F65" s="18">
        <v>6</v>
      </c>
      <c r="G65" s="18">
        <v>5</v>
      </c>
      <c r="H65" s="18">
        <v>3</v>
      </c>
      <c r="I65" s="18">
        <v>39</v>
      </c>
      <c r="J65" s="18">
        <v>4</v>
      </c>
      <c r="K65" s="18">
        <v>10</v>
      </c>
      <c r="L65" s="18">
        <v>15</v>
      </c>
      <c r="M65" s="18">
        <v>16</v>
      </c>
      <c r="N65" s="18">
        <v>2</v>
      </c>
      <c r="O65" s="18"/>
      <c r="P65" s="18">
        <v>1</v>
      </c>
      <c r="Q65" s="18">
        <v>6</v>
      </c>
      <c r="R65" s="18">
        <v>3</v>
      </c>
      <c r="S65" s="18"/>
      <c r="T65" s="18">
        <v>4</v>
      </c>
      <c r="U65" s="18"/>
      <c r="V65" s="18">
        <v>1</v>
      </c>
      <c r="W65" s="18">
        <v>1</v>
      </c>
      <c r="X65" s="18">
        <v>2</v>
      </c>
      <c r="Y65" s="32">
        <f t="shared" si="0"/>
        <v>136</v>
      </c>
    </row>
    <row r="66" spans="1:25" x14ac:dyDescent="0.35">
      <c r="A66" s="156" t="s">
        <v>214</v>
      </c>
      <c r="B66" s="3" t="s">
        <v>215</v>
      </c>
      <c r="C66" s="18">
        <v>23</v>
      </c>
      <c r="D66" s="18">
        <v>31</v>
      </c>
      <c r="E66" s="18">
        <v>170</v>
      </c>
      <c r="F66" s="18">
        <v>68</v>
      </c>
      <c r="G66" s="18">
        <v>35</v>
      </c>
      <c r="H66" s="18">
        <v>23</v>
      </c>
      <c r="I66" s="18">
        <v>339</v>
      </c>
      <c r="J66" s="18">
        <v>83</v>
      </c>
      <c r="K66" s="18">
        <v>78</v>
      </c>
      <c r="L66" s="18">
        <v>260</v>
      </c>
      <c r="M66" s="18">
        <v>174</v>
      </c>
      <c r="N66" s="18">
        <v>16</v>
      </c>
      <c r="O66" s="18">
        <v>1</v>
      </c>
      <c r="P66" s="18">
        <v>21</v>
      </c>
      <c r="Q66" s="18">
        <v>57</v>
      </c>
      <c r="R66" s="18">
        <v>20</v>
      </c>
      <c r="S66" s="18">
        <v>15</v>
      </c>
      <c r="T66" s="18">
        <v>25</v>
      </c>
      <c r="U66" s="18">
        <v>7</v>
      </c>
      <c r="V66" s="18">
        <v>13</v>
      </c>
      <c r="W66" s="18">
        <v>33</v>
      </c>
      <c r="X66" s="18">
        <v>13</v>
      </c>
      <c r="Y66" s="32">
        <f t="shared" si="0"/>
        <v>1505</v>
      </c>
    </row>
    <row r="67" spans="1:25" x14ac:dyDescent="0.35">
      <c r="A67" s="156" t="s">
        <v>216</v>
      </c>
      <c r="B67" s="3" t="s">
        <v>217</v>
      </c>
      <c r="C67" s="18">
        <v>24</v>
      </c>
      <c r="D67" s="18">
        <v>35</v>
      </c>
      <c r="E67" s="18">
        <v>172</v>
      </c>
      <c r="F67" s="18">
        <v>69</v>
      </c>
      <c r="G67" s="18">
        <v>35</v>
      </c>
      <c r="H67" s="18">
        <v>24</v>
      </c>
      <c r="I67" s="18">
        <v>764</v>
      </c>
      <c r="J67" s="18">
        <v>112</v>
      </c>
      <c r="K67" s="18">
        <v>78</v>
      </c>
      <c r="L67" s="18">
        <v>200</v>
      </c>
      <c r="M67" s="18">
        <v>171</v>
      </c>
      <c r="N67" s="18">
        <v>30</v>
      </c>
      <c r="O67" s="18"/>
      <c r="P67" s="18">
        <v>19</v>
      </c>
      <c r="Q67" s="18">
        <v>51</v>
      </c>
      <c r="R67" s="18">
        <v>30</v>
      </c>
      <c r="S67" s="18">
        <v>12</v>
      </c>
      <c r="T67" s="18">
        <v>24</v>
      </c>
      <c r="U67" s="18">
        <v>9</v>
      </c>
      <c r="V67" s="18">
        <v>35</v>
      </c>
      <c r="W67" s="18">
        <v>23</v>
      </c>
      <c r="X67" s="18">
        <v>10</v>
      </c>
      <c r="Y67" s="32">
        <f t="shared" si="0"/>
        <v>1927</v>
      </c>
    </row>
    <row r="68" spans="1:25" x14ac:dyDescent="0.35">
      <c r="A68" s="156" t="s">
        <v>218</v>
      </c>
      <c r="B68" s="3" t="s">
        <v>219</v>
      </c>
      <c r="C68" s="18">
        <v>3</v>
      </c>
      <c r="D68" s="18">
        <v>16</v>
      </c>
      <c r="E68" s="18">
        <v>36</v>
      </c>
      <c r="F68" s="18">
        <v>14</v>
      </c>
      <c r="G68" s="18">
        <v>13</v>
      </c>
      <c r="H68" s="18">
        <v>8</v>
      </c>
      <c r="I68" s="18">
        <v>35</v>
      </c>
      <c r="J68" s="18">
        <v>14</v>
      </c>
      <c r="K68" s="18">
        <v>27</v>
      </c>
      <c r="L68" s="18">
        <v>25</v>
      </c>
      <c r="M68" s="18">
        <v>38</v>
      </c>
      <c r="N68" s="18">
        <v>4</v>
      </c>
      <c r="O68" s="18">
        <v>1</v>
      </c>
      <c r="P68" s="18">
        <v>4</v>
      </c>
      <c r="Q68" s="18">
        <v>20</v>
      </c>
      <c r="R68" s="18">
        <v>1</v>
      </c>
      <c r="S68" s="18">
        <v>3</v>
      </c>
      <c r="T68" s="18">
        <v>5</v>
      </c>
      <c r="U68" s="18">
        <v>3</v>
      </c>
      <c r="V68" s="18">
        <v>3</v>
      </c>
      <c r="W68" s="18">
        <v>6</v>
      </c>
      <c r="X68" s="18">
        <v>2</v>
      </c>
      <c r="Y68" s="32">
        <f t="shared" si="0"/>
        <v>281</v>
      </c>
    </row>
    <row r="69" spans="1:25" x14ac:dyDescent="0.35">
      <c r="A69" s="156" t="s">
        <v>220</v>
      </c>
      <c r="B69" s="3" t="s">
        <v>221</v>
      </c>
      <c r="C69" s="18">
        <v>6</v>
      </c>
      <c r="D69" s="18">
        <v>23</v>
      </c>
      <c r="E69" s="18">
        <v>81</v>
      </c>
      <c r="F69" s="18">
        <v>25</v>
      </c>
      <c r="G69" s="18">
        <v>20</v>
      </c>
      <c r="H69" s="18">
        <v>10</v>
      </c>
      <c r="I69" s="18">
        <v>161</v>
      </c>
      <c r="J69" s="18">
        <v>58</v>
      </c>
      <c r="K69" s="18">
        <v>41</v>
      </c>
      <c r="L69" s="18">
        <v>92</v>
      </c>
      <c r="M69" s="18">
        <v>66</v>
      </c>
      <c r="N69" s="18">
        <v>6</v>
      </c>
      <c r="O69" s="18"/>
      <c r="P69" s="18">
        <v>9</v>
      </c>
      <c r="Q69" s="18">
        <v>24</v>
      </c>
      <c r="R69" s="18">
        <v>13</v>
      </c>
      <c r="S69" s="18">
        <v>9</v>
      </c>
      <c r="T69" s="18">
        <v>6</v>
      </c>
      <c r="U69" s="18">
        <v>9</v>
      </c>
      <c r="V69" s="18">
        <v>3</v>
      </c>
      <c r="W69" s="18">
        <v>14</v>
      </c>
      <c r="X69" s="18">
        <v>2</v>
      </c>
      <c r="Y69" s="32">
        <f t="shared" ref="Y69:Y89" si="1">SUM(C69:X69)</f>
        <v>678</v>
      </c>
    </row>
    <row r="70" spans="1:25" x14ac:dyDescent="0.35">
      <c r="A70" s="156" t="s">
        <v>222</v>
      </c>
      <c r="B70" s="3" t="s">
        <v>223</v>
      </c>
      <c r="C70" s="18"/>
      <c r="D70" s="18">
        <v>2</v>
      </c>
      <c r="E70" s="18">
        <v>13</v>
      </c>
      <c r="F70" s="18">
        <v>3</v>
      </c>
      <c r="G70" s="18">
        <v>5</v>
      </c>
      <c r="H70" s="18">
        <v>3</v>
      </c>
      <c r="I70" s="18">
        <v>41</v>
      </c>
      <c r="J70" s="18">
        <v>8</v>
      </c>
      <c r="K70" s="18">
        <v>12</v>
      </c>
      <c r="L70" s="18">
        <v>29</v>
      </c>
      <c r="M70" s="18">
        <v>22</v>
      </c>
      <c r="N70" s="18"/>
      <c r="O70" s="18"/>
      <c r="P70" s="18">
        <v>3</v>
      </c>
      <c r="Q70" s="18">
        <v>3</v>
      </c>
      <c r="R70" s="18">
        <v>3</v>
      </c>
      <c r="S70" s="18">
        <v>2</v>
      </c>
      <c r="T70" s="18">
        <v>5</v>
      </c>
      <c r="U70" s="18"/>
      <c r="V70" s="18">
        <v>1</v>
      </c>
      <c r="W70" s="18">
        <v>3</v>
      </c>
      <c r="X70" s="18">
        <v>1</v>
      </c>
      <c r="Y70" s="32">
        <f t="shared" si="1"/>
        <v>159</v>
      </c>
    </row>
    <row r="71" spans="1:25" x14ac:dyDescent="0.35">
      <c r="A71" s="156" t="s">
        <v>224</v>
      </c>
      <c r="B71" s="3" t="s">
        <v>225</v>
      </c>
      <c r="C71" s="18">
        <v>13</v>
      </c>
      <c r="D71" s="18">
        <v>41</v>
      </c>
      <c r="E71" s="18">
        <v>144</v>
      </c>
      <c r="F71" s="18">
        <v>70</v>
      </c>
      <c r="G71" s="18">
        <v>50</v>
      </c>
      <c r="H71" s="18">
        <v>38</v>
      </c>
      <c r="I71" s="18">
        <v>270</v>
      </c>
      <c r="J71" s="18">
        <v>52</v>
      </c>
      <c r="K71" s="18">
        <v>49</v>
      </c>
      <c r="L71" s="18">
        <v>161</v>
      </c>
      <c r="M71" s="18">
        <v>140</v>
      </c>
      <c r="N71" s="18">
        <v>29</v>
      </c>
      <c r="O71" s="18">
        <v>4</v>
      </c>
      <c r="P71" s="18">
        <v>13</v>
      </c>
      <c r="Q71" s="18">
        <v>61</v>
      </c>
      <c r="R71" s="18">
        <v>16</v>
      </c>
      <c r="S71" s="18">
        <v>23</v>
      </c>
      <c r="T71" s="18">
        <v>66</v>
      </c>
      <c r="U71" s="18">
        <v>10</v>
      </c>
      <c r="V71" s="18">
        <v>19</v>
      </c>
      <c r="W71" s="18">
        <v>41</v>
      </c>
      <c r="X71" s="18">
        <v>8</v>
      </c>
      <c r="Y71" s="32">
        <f t="shared" si="1"/>
        <v>1318</v>
      </c>
    </row>
    <row r="72" spans="1:25" x14ac:dyDescent="0.35">
      <c r="A72" s="156" t="s">
        <v>226</v>
      </c>
      <c r="B72" s="3" t="s">
        <v>227</v>
      </c>
      <c r="C72" s="18">
        <v>3</v>
      </c>
      <c r="D72" s="18">
        <v>3</v>
      </c>
      <c r="E72" s="18">
        <v>33</v>
      </c>
      <c r="F72" s="18">
        <v>10</v>
      </c>
      <c r="G72" s="18">
        <v>5</v>
      </c>
      <c r="H72" s="18">
        <v>8</v>
      </c>
      <c r="I72" s="18">
        <v>24</v>
      </c>
      <c r="J72" s="18">
        <v>15</v>
      </c>
      <c r="K72" s="18">
        <v>19</v>
      </c>
      <c r="L72" s="18">
        <v>28</v>
      </c>
      <c r="M72" s="18">
        <v>47</v>
      </c>
      <c r="N72" s="18"/>
      <c r="O72" s="18"/>
      <c r="P72" s="18">
        <v>1</v>
      </c>
      <c r="Q72" s="18">
        <v>13</v>
      </c>
      <c r="R72" s="18"/>
      <c r="S72" s="18">
        <v>2</v>
      </c>
      <c r="T72" s="18">
        <v>6</v>
      </c>
      <c r="U72" s="18">
        <v>3</v>
      </c>
      <c r="V72" s="18"/>
      <c r="W72" s="18">
        <v>6</v>
      </c>
      <c r="X72" s="18">
        <v>2</v>
      </c>
      <c r="Y72" s="32">
        <f t="shared" si="1"/>
        <v>228</v>
      </c>
    </row>
    <row r="73" spans="1:25" x14ac:dyDescent="0.35">
      <c r="A73" s="156" t="s">
        <v>228</v>
      </c>
      <c r="B73" s="3" t="s">
        <v>229</v>
      </c>
      <c r="C73" s="18">
        <v>7</v>
      </c>
      <c r="D73" s="18">
        <v>19</v>
      </c>
      <c r="E73" s="18">
        <v>45</v>
      </c>
      <c r="F73" s="18">
        <v>28</v>
      </c>
      <c r="G73" s="18">
        <v>15</v>
      </c>
      <c r="H73" s="18">
        <v>12</v>
      </c>
      <c r="I73" s="18">
        <v>51</v>
      </c>
      <c r="J73" s="18">
        <v>14</v>
      </c>
      <c r="K73" s="18">
        <v>33</v>
      </c>
      <c r="L73" s="18">
        <v>75</v>
      </c>
      <c r="M73" s="18">
        <v>56</v>
      </c>
      <c r="N73" s="18">
        <v>16</v>
      </c>
      <c r="O73" s="18">
        <v>1</v>
      </c>
      <c r="P73" s="18">
        <v>8</v>
      </c>
      <c r="Q73" s="18">
        <v>28</v>
      </c>
      <c r="R73" s="18">
        <v>9</v>
      </c>
      <c r="S73" s="18">
        <v>13</v>
      </c>
      <c r="T73" s="18">
        <v>20</v>
      </c>
      <c r="U73" s="18">
        <v>10</v>
      </c>
      <c r="V73" s="18">
        <v>4</v>
      </c>
      <c r="W73" s="18">
        <v>22</v>
      </c>
      <c r="X73" s="18">
        <v>1</v>
      </c>
      <c r="Y73" s="32">
        <f t="shared" si="1"/>
        <v>487</v>
      </c>
    </row>
    <row r="74" spans="1:25" x14ac:dyDescent="0.35">
      <c r="A74" s="156" t="s">
        <v>230</v>
      </c>
      <c r="B74" s="3" t="s">
        <v>231</v>
      </c>
      <c r="C74" s="18">
        <v>27</v>
      </c>
      <c r="D74" s="18">
        <v>73</v>
      </c>
      <c r="E74" s="18">
        <v>223</v>
      </c>
      <c r="F74" s="18">
        <v>110</v>
      </c>
      <c r="G74" s="18">
        <v>87</v>
      </c>
      <c r="H74" s="18">
        <v>40</v>
      </c>
      <c r="I74" s="18">
        <v>774</v>
      </c>
      <c r="J74" s="18">
        <v>123</v>
      </c>
      <c r="K74" s="18">
        <v>113</v>
      </c>
      <c r="L74" s="18">
        <v>389</v>
      </c>
      <c r="M74" s="18">
        <v>238</v>
      </c>
      <c r="N74" s="18">
        <v>56</v>
      </c>
      <c r="O74" s="18">
        <v>1</v>
      </c>
      <c r="P74" s="18">
        <v>32</v>
      </c>
      <c r="Q74" s="18">
        <v>93</v>
      </c>
      <c r="R74" s="18">
        <v>29</v>
      </c>
      <c r="S74" s="18">
        <v>25</v>
      </c>
      <c r="T74" s="18">
        <v>64</v>
      </c>
      <c r="U74" s="18">
        <v>22</v>
      </c>
      <c r="V74" s="18">
        <v>26</v>
      </c>
      <c r="W74" s="18">
        <v>65</v>
      </c>
      <c r="X74" s="18">
        <v>19</v>
      </c>
      <c r="Y74" s="32">
        <f t="shared" si="1"/>
        <v>2629</v>
      </c>
    </row>
    <row r="75" spans="1:25" x14ac:dyDescent="0.35">
      <c r="A75" s="156" t="s">
        <v>232</v>
      </c>
      <c r="B75" s="3" t="s">
        <v>55</v>
      </c>
      <c r="C75" s="18"/>
      <c r="D75" s="18">
        <v>3</v>
      </c>
      <c r="E75" s="18">
        <v>1</v>
      </c>
      <c r="F75" s="18">
        <v>1</v>
      </c>
      <c r="G75" s="18">
        <v>1</v>
      </c>
      <c r="H75" s="18"/>
      <c r="I75" s="18">
        <v>4</v>
      </c>
      <c r="J75" s="18">
        <v>1</v>
      </c>
      <c r="K75" s="18"/>
      <c r="L75" s="18">
        <v>9</v>
      </c>
      <c r="M75" s="18">
        <v>3</v>
      </c>
      <c r="N75" s="18"/>
      <c r="O75" s="18"/>
      <c r="P75" s="18"/>
      <c r="Q75" s="18">
        <v>2</v>
      </c>
      <c r="R75" s="18"/>
      <c r="S75" s="18"/>
      <c r="T75" s="18"/>
      <c r="U75" s="18"/>
      <c r="V75" s="18">
        <v>1</v>
      </c>
      <c r="W75" s="18">
        <v>1</v>
      </c>
      <c r="X75" s="18"/>
      <c r="Y75" s="32">
        <f t="shared" si="1"/>
        <v>27</v>
      </c>
    </row>
    <row r="76" spans="1:25" x14ac:dyDescent="0.35">
      <c r="A76" s="156" t="s">
        <v>233</v>
      </c>
      <c r="B76" s="3" t="s">
        <v>57</v>
      </c>
      <c r="C76" s="18">
        <v>8</v>
      </c>
      <c r="D76" s="18">
        <v>30</v>
      </c>
      <c r="E76" s="18">
        <v>137</v>
      </c>
      <c r="F76" s="18">
        <v>59</v>
      </c>
      <c r="G76" s="18">
        <v>43</v>
      </c>
      <c r="H76" s="18">
        <v>15</v>
      </c>
      <c r="I76" s="18">
        <v>207</v>
      </c>
      <c r="J76" s="18">
        <v>42</v>
      </c>
      <c r="K76" s="18">
        <v>67</v>
      </c>
      <c r="L76" s="18">
        <v>146</v>
      </c>
      <c r="M76" s="18">
        <v>171</v>
      </c>
      <c r="N76" s="18">
        <v>16</v>
      </c>
      <c r="O76" s="18"/>
      <c r="P76" s="18">
        <v>8</v>
      </c>
      <c r="Q76" s="18">
        <v>40</v>
      </c>
      <c r="R76" s="18">
        <v>17</v>
      </c>
      <c r="S76" s="18">
        <v>9</v>
      </c>
      <c r="T76" s="18">
        <v>27</v>
      </c>
      <c r="U76" s="18">
        <v>5</v>
      </c>
      <c r="V76" s="18">
        <v>14</v>
      </c>
      <c r="W76" s="18">
        <v>15</v>
      </c>
      <c r="X76" s="18">
        <v>4</v>
      </c>
      <c r="Y76" s="32">
        <f t="shared" si="1"/>
        <v>1080</v>
      </c>
    </row>
    <row r="77" spans="1:25" x14ac:dyDescent="0.35">
      <c r="A77" s="156" t="s">
        <v>234</v>
      </c>
      <c r="B77" s="3" t="s">
        <v>235</v>
      </c>
      <c r="C77" s="18">
        <v>24</v>
      </c>
      <c r="D77" s="18">
        <v>42</v>
      </c>
      <c r="E77" s="18">
        <v>239</v>
      </c>
      <c r="F77" s="18">
        <v>67</v>
      </c>
      <c r="G77" s="18">
        <v>37</v>
      </c>
      <c r="H77" s="18">
        <v>13</v>
      </c>
      <c r="I77" s="18">
        <v>878</v>
      </c>
      <c r="J77" s="18">
        <v>65</v>
      </c>
      <c r="K77" s="18">
        <v>87</v>
      </c>
      <c r="L77" s="18">
        <v>356</v>
      </c>
      <c r="M77" s="18">
        <v>303</v>
      </c>
      <c r="N77" s="18">
        <v>16</v>
      </c>
      <c r="O77" s="18"/>
      <c r="P77" s="18">
        <v>17</v>
      </c>
      <c r="Q77" s="18">
        <v>45</v>
      </c>
      <c r="R77" s="18">
        <v>32</v>
      </c>
      <c r="S77" s="18">
        <v>12</v>
      </c>
      <c r="T77" s="18">
        <v>19</v>
      </c>
      <c r="U77" s="18">
        <v>8</v>
      </c>
      <c r="V77" s="18">
        <v>18</v>
      </c>
      <c r="W77" s="18">
        <v>25</v>
      </c>
      <c r="X77" s="18">
        <v>8</v>
      </c>
      <c r="Y77" s="32">
        <f t="shared" si="1"/>
        <v>2311</v>
      </c>
    </row>
    <row r="78" spans="1:25" x14ac:dyDescent="0.35">
      <c r="A78" s="156" t="s">
        <v>236</v>
      </c>
      <c r="B78" s="3" t="s">
        <v>237</v>
      </c>
      <c r="C78" s="18"/>
      <c r="D78" s="18">
        <v>1</v>
      </c>
      <c r="E78" s="18">
        <v>17</v>
      </c>
      <c r="F78" s="18">
        <v>6</v>
      </c>
      <c r="G78" s="18"/>
      <c r="H78" s="18">
        <v>2</v>
      </c>
      <c r="I78" s="18">
        <v>8</v>
      </c>
      <c r="J78" s="18">
        <v>1</v>
      </c>
      <c r="K78" s="18">
        <v>16</v>
      </c>
      <c r="L78" s="18">
        <v>17</v>
      </c>
      <c r="M78" s="18">
        <v>47</v>
      </c>
      <c r="N78" s="18">
        <v>1</v>
      </c>
      <c r="O78" s="18">
        <v>1</v>
      </c>
      <c r="P78" s="18"/>
      <c r="Q78" s="18">
        <v>2</v>
      </c>
      <c r="R78" s="18">
        <v>1</v>
      </c>
      <c r="S78" s="18">
        <v>3</v>
      </c>
      <c r="T78" s="18">
        <v>2</v>
      </c>
      <c r="U78" s="18">
        <v>1</v>
      </c>
      <c r="V78" s="18"/>
      <c r="W78" s="18">
        <v>2</v>
      </c>
      <c r="X78" s="18">
        <v>1</v>
      </c>
      <c r="Y78" s="32">
        <f t="shared" si="1"/>
        <v>129</v>
      </c>
    </row>
    <row r="79" spans="1:25" x14ac:dyDescent="0.35">
      <c r="A79" s="156" t="s">
        <v>238</v>
      </c>
      <c r="B79" s="3" t="s">
        <v>239</v>
      </c>
      <c r="C79" s="18">
        <v>1</v>
      </c>
      <c r="D79" s="18">
        <v>1</v>
      </c>
      <c r="E79" s="18"/>
      <c r="F79" s="18">
        <v>2</v>
      </c>
      <c r="G79" s="18"/>
      <c r="H79" s="18"/>
      <c r="I79" s="18">
        <v>2</v>
      </c>
      <c r="J79" s="18"/>
      <c r="K79" s="18"/>
      <c r="L79" s="18">
        <v>2</v>
      </c>
      <c r="M79" s="18">
        <v>8</v>
      </c>
      <c r="N79" s="18"/>
      <c r="O79" s="18"/>
      <c r="P79" s="18"/>
      <c r="Q79" s="18">
        <v>1</v>
      </c>
      <c r="R79" s="18"/>
      <c r="S79" s="18">
        <v>2</v>
      </c>
      <c r="T79" s="18">
        <v>1</v>
      </c>
      <c r="U79" s="18"/>
      <c r="V79" s="18"/>
      <c r="W79" s="18">
        <v>1</v>
      </c>
      <c r="X79" s="18"/>
      <c r="Y79" s="32">
        <f t="shared" si="1"/>
        <v>21</v>
      </c>
    </row>
    <row r="80" spans="1:25" x14ac:dyDescent="0.35">
      <c r="A80" s="156" t="s">
        <v>240</v>
      </c>
      <c r="B80" s="3" t="s">
        <v>241</v>
      </c>
      <c r="C80" s="18">
        <v>15</v>
      </c>
      <c r="D80" s="18">
        <v>19</v>
      </c>
      <c r="E80" s="18">
        <v>105</v>
      </c>
      <c r="F80" s="18">
        <v>50</v>
      </c>
      <c r="G80" s="18">
        <v>22</v>
      </c>
      <c r="H80" s="18">
        <v>11</v>
      </c>
      <c r="I80" s="18">
        <v>214</v>
      </c>
      <c r="J80" s="18">
        <v>44</v>
      </c>
      <c r="K80" s="18">
        <v>63</v>
      </c>
      <c r="L80" s="18">
        <v>72</v>
      </c>
      <c r="M80" s="18">
        <v>101</v>
      </c>
      <c r="N80" s="18">
        <v>13</v>
      </c>
      <c r="O80" s="18"/>
      <c r="P80" s="18">
        <v>12</v>
      </c>
      <c r="Q80" s="18">
        <v>33</v>
      </c>
      <c r="R80" s="18">
        <v>15</v>
      </c>
      <c r="S80" s="18">
        <v>12</v>
      </c>
      <c r="T80" s="18">
        <v>26</v>
      </c>
      <c r="U80" s="18">
        <v>5</v>
      </c>
      <c r="V80" s="18">
        <v>10</v>
      </c>
      <c r="W80" s="18">
        <v>21</v>
      </c>
      <c r="X80" s="18">
        <v>3</v>
      </c>
      <c r="Y80" s="32">
        <f t="shared" si="1"/>
        <v>866</v>
      </c>
    </row>
    <row r="81" spans="1:25" x14ac:dyDescent="0.35">
      <c r="A81" s="156" t="s">
        <v>242</v>
      </c>
      <c r="B81" s="3" t="s">
        <v>243</v>
      </c>
      <c r="C81" s="18"/>
      <c r="D81" s="18"/>
      <c r="E81" s="18">
        <v>1</v>
      </c>
      <c r="F81" s="18"/>
      <c r="G81" s="18"/>
      <c r="H81" s="18"/>
      <c r="I81" s="18">
        <v>8</v>
      </c>
      <c r="J81" s="18">
        <v>2</v>
      </c>
      <c r="K81" s="18">
        <v>2</v>
      </c>
      <c r="L81" s="18">
        <v>2</v>
      </c>
      <c r="M81" s="18">
        <v>2</v>
      </c>
      <c r="N81" s="18"/>
      <c r="O81" s="18"/>
      <c r="P81" s="18"/>
      <c r="Q81" s="18"/>
      <c r="R81" s="18"/>
      <c r="S81" s="18"/>
      <c r="T81" s="18"/>
      <c r="U81" s="18"/>
      <c r="V81" s="18">
        <v>1</v>
      </c>
      <c r="W81" s="18">
        <v>1</v>
      </c>
      <c r="X81" s="18">
        <v>1</v>
      </c>
      <c r="Y81" s="32">
        <f t="shared" si="1"/>
        <v>20</v>
      </c>
    </row>
    <row r="82" spans="1:25" x14ac:dyDescent="0.35">
      <c r="A82" s="156" t="s">
        <v>244</v>
      </c>
      <c r="B82" s="3" t="s">
        <v>245</v>
      </c>
      <c r="C82" s="18">
        <v>1</v>
      </c>
      <c r="D82" s="18">
        <v>45</v>
      </c>
      <c r="E82" s="18">
        <v>37</v>
      </c>
      <c r="F82" s="18">
        <v>21</v>
      </c>
      <c r="G82" s="18">
        <v>24</v>
      </c>
      <c r="H82" s="18">
        <v>24</v>
      </c>
      <c r="I82" s="18">
        <v>19</v>
      </c>
      <c r="J82" s="18">
        <v>11</v>
      </c>
      <c r="K82" s="18">
        <v>12</v>
      </c>
      <c r="L82" s="18">
        <v>86</v>
      </c>
      <c r="M82" s="18">
        <v>26</v>
      </c>
      <c r="N82" s="18">
        <v>20</v>
      </c>
      <c r="O82" s="18"/>
      <c r="P82" s="18">
        <v>33</v>
      </c>
      <c r="Q82" s="18">
        <v>14</v>
      </c>
      <c r="R82" s="18">
        <v>15</v>
      </c>
      <c r="S82" s="18">
        <v>14</v>
      </c>
      <c r="T82" s="18">
        <v>39</v>
      </c>
      <c r="U82" s="18">
        <v>21</v>
      </c>
      <c r="V82" s="18">
        <v>2</v>
      </c>
      <c r="W82" s="18">
        <v>26</v>
      </c>
      <c r="X82" s="18">
        <v>1</v>
      </c>
      <c r="Y82" s="32">
        <f>SUM(C82:X82)</f>
        <v>491</v>
      </c>
    </row>
    <row r="83" spans="1:25" x14ac:dyDescent="0.35">
      <c r="A83" s="156" t="s">
        <v>246</v>
      </c>
      <c r="B83" s="3" t="s">
        <v>247</v>
      </c>
      <c r="C83" s="18">
        <v>6</v>
      </c>
      <c r="D83" s="18">
        <v>18</v>
      </c>
      <c r="E83" s="18">
        <v>52</v>
      </c>
      <c r="F83" s="18">
        <v>22</v>
      </c>
      <c r="G83" s="18">
        <v>14</v>
      </c>
      <c r="H83" s="18">
        <v>16</v>
      </c>
      <c r="I83" s="18">
        <v>94</v>
      </c>
      <c r="J83" s="18">
        <v>23</v>
      </c>
      <c r="K83" s="18">
        <v>32</v>
      </c>
      <c r="L83" s="18">
        <v>33</v>
      </c>
      <c r="M83" s="18">
        <v>58</v>
      </c>
      <c r="N83" s="18">
        <v>24</v>
      </c>
      <c r="O83" s="18">
        <v>1</v>
      </c>
      <c r="P83" s="18">
        <v>14</v>
      </c>
      <c r="Q83" s="18">
        <v>26</v>
      </c>
      <c r="R83" s="18">
        <v>10</v>
      </c>
      <c r="S83" s="18">
        <v>9</v>
      </c>
      <c r="T83" s="18">
        <v>20</v>
      </c>
      <c r="U83" s="18">
        <v>12</v>
      </c>
      <c r="V83" s="18">
        <v>7</v>
      </c>
      <c r="W83" s="18">
        <v>12</v>
      </c>
      <c r="X83" s="18">
        <v>5</v>
      </c>
      <c r="Y83" s="32">
        <f t="shared" si="1"/>
        <v>508</v>
      </c>
    </row>
    <row r="84" spans="1:25" x14ac:dyDescent="0.35">
      <c r="A84" s="156" t="s">
        <v>248</v>
      </c>
      <c r="B84" s="3" t="s">
        <v>249</v>
      </c>
      <c r="C84" s="18"/>
      <c r="D84" s="18"/>
      <c r="E84" s="18">
        <v>4</v>
      </c>
      <c r="F84" s="18">
        <v>1</v>
      </c>
      <c r="G84" s="18">
        <v>1</v>
      </c>
      <c r="H84" s="18"/>
      <c r="I84" s="18">
        <v>12</v>
      </c>
      <c r="J84" s="18">
        <v>2</v>
      </c>
      <c r="K84" s="18"/>
      <c r="L84" s="18">
        <v>5</v>
      </c>
      <c r="M84" s="18">
        <v>5</v>
      </c>
      <c r="N84" s="18">
        <v>1</v>
      </c>
      <c r="O84" s="18"/>
      <c r="P84" s="18">
        <v>1</v>
      </c>
      <c r="Q84" s="18">
        <v>3</v>
      </c>
      <c r="R84" s="18"/>
      <c r="S84" s="18"/>
      <c r="T84" s="18"/>
      <c r="U84" s="18"/>
      <c r="V84" s="18"/>
      <c r="W84" s="18">
        <v>1</v>
      </c>
      <c r="X84" s="18">
        <v>1</v>
      </c>
      <c r="Y84" s="32">
        <f t="shared" si="1"/>
        <v>37</v>
      </c>
    </row>
    <row r="85" spans="1:25" x14ac:dyDescent="0.35">
      <c r="A85" s="156" t="s">
        <v>250</v>
      </c>
      <c r="B85" s="3" t="s">
        <v>251</v>
      </c>
      <c r="C85" s="18">
        <v>6</v>
      </c>
      <c r="D85" s="18">
        <v>35</v>
      </c>
      <c r="E85" s="18">
        <v>80</v>
      </c>
      <c r="F85" s="18">
        <v>27</v>
      </c>
      <c r="G85" s="18">
        <v>32</v>
      </c>
      <c r="H85" s="18">
        <v>27</v>
      </c>
      <c r="I85" s="18">
        <v>70</v>
      </c>
      <c r="J85" s="18">
        <v>30</v>
      </c>
      <c r="K85" s="18">
        <v>35</v>
      </c>
      <c r="L85" s="18">
        <v>229</v>
      </c>
      <c r="M85" s="18">
        <v>93</v>
      </c>
      <c r="N85" s="18">
        <v>20</v>
      </c>
      <c r="O85" s="18"/>
      <c r="P85" s="18">
        <v>14</v>
      </c>
      <c r="Q85" s="18">
        <v>31</v>
      </c>
      <c r="R85" s="18">
        <v>14</v>
      </c>
      <c r="S85" s="18">
        <v>12</v>
      </c>
      <c r="T85" s="18">
        <v>26</v>
      </c>
      <c r="U85" s="18">
        <v>22</v>
      </c>
      <c r="V85" s="18">
        <v>1</v>
      </c>
      <c r="W85" s="18">
        <v>23</v>
      </c>
      <c r="X85" s="18">
        <v>1</v>
      </c>
      <c r="Y85" s="32">
        <f t="shared" si="1"/>
        <v>828</v>
      </c>
    </row>
    <row r="86" spans="1:25" x14ac:dyDescent="0.35">
      <c r="A86" s="156" t="s">
        <v>252</v>
      </c>
      <c r="B86" s="3" t="s">
        <v>253</v>
      </c>
      <c r="C86" s="18">
        <v>29</v>
      </c>
      <c r="D86" s="18">
        <v>181</v>
      </c>
      <c r="E86" s="18">
        <v>368</v>
      </c>
      <c r="F86" s="18">
        <v>173</v>
      </c>
      <c r="G86" s="18">
        <v>146</v>
      </c>
      <c r="H86" s="18">
        <v>99</v>
      </c>
      <c r="I86" s="18">
        <v>421</v>
      </c>
      <c r="J86" s="18">
        <v>129</v>
      </c>
      <c r="K86" s="18">
        <v>230</v>
      </c>
      <c r="L86" s="18">
        <v>439</v>
      </c>
      <c r="M86" s="18">
        <v>499</v>
      </c>
      <c r="N86" s="18">
        <v>117</v>
      </c>
      <c r="O86" s="18">
        <v>4</v>
      </c>
      <c r="P86" s="18">
        <v>56</v>
      </c>
      <c r="Q86" s="18">
        <v>133</v>
      </c>
      <c r="R86" s="18">
        <v>81</v>
      </c>
      <c r="S86" s="18">
        <v>60</v>
      </c>
      <c r="T86" s="18">
        <v>127</v>
      </c>
      <c r="U86" s="18">
        <v>47</v>
      </c>
      <c r="V86" s="18">
        <v>15</v>
      </c>
      <c r="W86" s="18">
        <v>112</v>
      </c>
      <c r="X86" s="18">
        <v>12</v>
      </c>
      <c r="Y86" s="32">
        <f t="shared" si="1"/>
        <v>3478</v>
      </c>
    </row>
    <row r="87" spans="1:25" x14ac:dyDescent="0.35">
      <c r="A87" s="156" t="s">
        <v>254</v>
      </c>
      <c r="B87" s="3" t="s">
        <v>255</v>
      </c>
      <c r="C87" s="18"/>
      <c r="D87" s="18">
        <v>2</v>
      </c>
      <c r="E87" s="18"/>
      <c r="F87" s="18">
        <v>1</v>
      </c>
      <c r="G87" s="18"/>
      <c r="H87" s="18">
        <v>1</v>
      </c>
      <c r="I87" s="18">
        <v>1</v>
      </c>
      <c r="J87" s="18"/>
      <c r="K87" s="18"/>
      <c r="L87" s="18">
        <v>1</v>
      </c>
      <c r="M87" s="18">
        <v>3</v>
      </c>
      <c r="N87" s="18"/>
      <c r="O87" s="18"/>
      <c r="P87" s="18"/>
      <c r="Q87" s="18">
        <v>3</v>
      </c>
      <c r="R87" s="18"/>
      <c r="S87" s="18">
        <v>1</v>
      </c>
      <c r="T87" s="18"/>
      <c r="U87" s="18"/>
      <c r="V87" s="18"/>
      <c r="W87" s="18"/>
      <c r="X87" s="18"/>
      <c r="Y87" s="32">
        <f t="shared" si="1"/>
        <v>13</v>
      </c>
    </row>
    <row r="88" spans="1:25" x14ac:dyDescent="0.35">
      <c r="A88" s="156" t="s">
        <v>256</v>
      </c>
      <c r="B88" s="3" t="s">
        <v>257</v>
      </c>
      <c r="C88" s="18">
        <v>1</v>
      </c>
      <c r="D88" s="18"/>
      <c r="E88" s="18"/>
      <c r="F88" s="18"/>
      <c r="G88" s="18"/>
      <c r="H88" s="18"/>
      <c r="I88" s="18">
        <v>6</v>
      </c>
      <c r="J88" s="18"/>
      <c r="K88" s="18">
        <v>1</v>
      </c>
      <c r="L88" s="18">
        <v>2</v>
      </c>
      <c r="M88" s="18">
        <v>1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32">
        <f t="shared" si="1"/>
        <v>11</v>
      </c>
    </row>
    <row r="89" spans="1:25" ht="13.5" customHeight="1" x14ac:dyDescent="0.35">
      <c r="A89" s="156" t="s">
        <v>1193</v>
      </c>
      <c r="B89" s="3" t="s">
        <v>1193</v>
      </c>
      <c r="C89" s="18"/>
      <c r="D89" s="18">
        <v>6</v>
      </c>
      <c r="E89" s="18">
        <v>14</v>
      </c>
      <c r="F89" s="18">
        <v>9</v>
      </c>
      <c r="G89" s="18">
        <v>3</v>
      </c>
      <c r="H89" s="18">
        <v>2</v>
      </c>
      <c r="I89" s="18">
        <v>35</v>
      </c>
      <c r="J89" s="18">
        <v>5</v>
      </c>
      <c r="K89" s="18">
        <v>7</v>
      </c>
      <c r="L89" s="18">
        <v>20</v>
      </c>
      <c r="M89" s="18">
        <v>23</v>
      </c>
      <c r="N89" s="18">
        <v>4</v>
      </c>
      <c r="O89" s="18"/>
      <c r="P89" s="18">
        <v>1</v>
      </c>
      <c r="Q89" s="18">
        <v>6</v>
      </c>
      <c r="R89" s="18">
        <v>2</v>
      </c>
      <c r="S89" s="18">
        <v>1</v>
      </c>
      <c r="T89" s="18"/>
      <c r="U89" s="18">
        <v>1</v>
      </c>
      <c r="V89" s="18">
        <v>3</v>
      </c>
      <c r="W89" s="18">
        <v>5</v>
      </c>
      <c r="X89" s="18"/>
      <c r="Y89" s="32">
        <f t="shared" si="1"/>
        <v>147</v>
      </c>
    </row>
    <row r="90" spans="1:25" x14ac:dyDescent="0.35">
      <c r="A90" s="53" t="s">
        <v>16</v>
      </c>
      <c r="B90" s="54"/>
      <c r="C90" s="19">
        <f>SUM(C4:C89)</f>
        <v>1172</v>
      </c>
      <c r="D90" s="19">
        <f>SUM(D4:D89)</f>
        <v>4360</v>
      </c>
      <c r="E90" s="19">
        <f>SUM(E4:E89)</f>
        <v>10346</v>
      </c>
      <c r="F90" s="19">
        <f>SUM(F4:F89)</f>
        <v>4620</v>
      </c>
      <c r="G90" s="19">
        <f>SUM(G4:G89)</f>
        <v>3944</v>
      </c>
      <c r="H90" s="19">
        <f>SUM(H4:H89)</f>
        <v>2781</v>
      </c>
      <c r="I90" s="19">
        <f>SUM(I4:I89)</f>
        <v>24290</v>
      </c>
      <c r="J90" s="19">
        <f>SUM(J4:J89)</f>
        <v>6287</v>
      </c>
      <c r="K90" s="19">
        <f>SUM(K4:K89)</f>
        <v>4929</v>
      </c>
      <c r="L90" s="19">
        <f>SUM(L4:L89)</f>
        <v>23098</v>
      </c>
      <c r="M90" s="19">
        <f>SUM(M4:M89)</f>
        <v>11587</v>
      </c>
      <c r="N90" s="19">
        <f>SUM(N4:N89)</f>
        <v>2595</v>
      </c>
      <c r="O90" s="19">
        <f>SUM(O4:O89)</f>
        <v>92</v>
      </c>
      <c r="P90" s="19">
        <f>SUM(P4:P89)</f>
        <v>1796</v>
      </c>
      <c r="Q90" s="19">
        <f>SUM(Q4:Q89)</f>
        <v>4119</v>
      </c>
      <c r="R90" s="19">
        <f>SUM(R4:R89)</f>
        <v>1930</v>
      </c>
      <c r="S90" s="19">
        <f>SUM(S4:S89)</f>
        <v>1612</v>
      </c>
      <c r="T90" s="19">
        <f>SUM(T4:T89)</f>
        <v>2781</v>
      </c>
      <c r="U90" s="19">
        <f>SUM(U4:U89)</f>
        <v>1763</v>
      </c>
      <c r="V90" s="19">
        <f>SUM(V4:V89)</f>
        <v>1048</v>
      </c>
      <c r="W90" s="19">
        <f>SUM(W4:W89)</f>
        <v>2797</v>
      </c>
      <c r="X90" s="19">
        <f>SUM(X4:X89)</f>
        <v>494</v>
      </c>
      <c r="Y90" s="19">
        <f>SUM(Y4:Y89)</f>
        <v>118441</v>
      </c>
    </row>
    <row r="92" spans="1:25" x14ac:dyDescent="0.35">
      <c r="A92" t="s">
        <v>1355</v>
      </c>
    </row>
    <row r="93" spans="1:25" x14ac:dyDescent="0.35">
      <c r="A93" t="s">
        <v>17</v>
      </c>
    </row>
    <row r="94" spans="1:25" x14ac:dyDescent="0.35">
      <c r="A94" t="s">
        <v>1320</v>
      </c>
    </row>
  </sheetData>
  <mergeCells count="1">
    <mergeCell ref="A90:B90"/>
  </mergeCells>
  <hyperlinks>
    <hyperlink ref="G1" location="Índice!A1" display="Volver al índice" xr:uid="{4902D6F5-1D6D-4EBF-BB38-67AAD6DB347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EED4-52B0-4E23-90D8-A6B4C362D172}">
  <dimension ref="A1:Y476"/>
  <sheetViews>
    <sheetView workbookViewId="0">
      <selection activeCell="G1" sqref="G1"/>
    </sheetView>
  </sheetViews>
  <sheetFormatPr baseColWidth="10" defaultColWidth="11.453125" defaultRowHeight="14.5" x14ac:dyDescent="0.35"/>
  <cols>
    <col min="2" max="2" width="60" customWidth="1"/>
  </cols>
  <sheetData>
    <row r="1" spans="1:25" ht="18.5" x14ac:dyDescent="0.45">
      <c r="A1" s="21" t="s">
        <v>1307</v>
      </c>
      <c r="G1" s="17" t="s">
        <v>1</v>
      </c>
    </row>
    <row r="4" spans="1:25" x14ac:dyDescent="0.35">
      <c r="A4" s="158" t="s">
        <v>327</v>
      </c>
      <c r="B4" s="161" t="s">
        <v>19</v>
      </c>
      <c r="C4" s="161" t="s">
        <v>1277</v>
      </c>
      <c r="D4" s="161" t="s">
        <v>1166</v>
      </c>
      <c r="E4" s="161" t="s">
        <v>1167</v>
      </c>
      <c r="F4" s="161" t="s">
        <v>1168</v>
      </c>
      <c r="G4" s="161" t="s">
        <v>1169</v>
      </c>
      <c r="H4" s="161" t="s">
        <v>1170</v>
      </c>
      <c r="I4" s="161" t="s">
        <v>1171</v>
      </c>
      <c r="J4" s="161" t="s">
        <v>1172</v>
      </c>
      <c r="K4" s="161" t="s">
        <v>1173</v>
      </c>
      <c r="L4" s="161" t="s">
        <v>1174</v>
      </c>
      <c r="M4" s="161" t="s">
        <v>1278</v>
      </c>
      <c r="N4" s="161" t="s">
        <v>1175</v>
      </c>
      <c r="O4" s="161" t="s">
        <v>1279</v>
      </c>
      <c r="P4" s="161" t="s">
        <v>1176</v>
      </c>
      <c r="Q4" s="161" t="s">
        <v>1177</v>
      </c>
      <c r="R4" s="161" t="s">
        <v>1280</v>
      </c>
      <c r="S4" s="161" t="s">
        <v>1281</v>
      </c>
      <c r="T4" s="161" t="s">
        <v>1178</v>
      </c>
      <c r="U4" s="161" t="s">
        <v>1179</v>
      </c>
      <c r="V4" s="161" t="s">
        <v>1282</v>
      </c>
      <c r="W4" s="161" t="s">
        <v>1180</v>
      </c>
      <c r="X4" s="161" t="s">
        <v>1435</v>
      </c>
      <c r="Y4" s="161" t="s">
        <v>1284</v>
      </c>
    </row>
    <row r="5" spans="1:25" x14ac:dyDescent="0.35">
      <c r="A5" s="157" t="s">
        <v>329</v>
      </c>
      <c r="B5" s="157" t="s">
        <v>1207</v>
      </c>
      <c r="C5" s="157"/>
      <c r="D5" s="157">
        <v>1</v>
      </c>
      <c r="E5" s="157"/>
      <c r="F5" s="157"/>
      <c r="G5" s="157">
        <v>1</v>
      </c>
      <c r="H5" s="157"/>
      <c r="I5" s="157">
        <v>10</v>
      </c>
      <c r="J5" s="157">
        <v>1</v>
      </c>
      <c r="K5" s="157">
        <v>1</v>
      </c>
      <c r="L5" s="157">
        <v>1</v>
      </c>
      <c r="M5" s="157">
        <v>2</v>
      </c>
      <c r="N5" s="157"/>
      <c r="O5" s="157"/>
      <c r="P5" s="157"/>
      <c r="Q5" s="157"/>
      <c r="R5" s="157">
        <v>2</v>
      </c>
      <c r="S5" s="157"/>
      <c r="T5" s="157">
        <v>2</v>
      </c>
      <c r="U5" s="157">
        <v>1</v>
      </c>
      <c r="V5" s="157"/>
      <c r="W5" s="157">
        <v>1</v>
      </c>
      <c r="X5" s="157">
        <v>1</v>
      </c>
      <c r="Y5" s="157">
        <f>+SUM(C5:X5)</f>
        <v>24</v>
      </c>
    </row>
    <row r="6" spans="1:25" x14ac:dyDescent="0.35">
      <c r="A6" s="157" t="s">
        <v>330</v>
      </c>
      <c r="B6" s="157" t="s">
        <v>1208</v>
      </c>
      <c r="C6" s="157"/>
      <c r="D6" s="157"/>
      <c r="E6" s="157"/>
      <c r="F6" s="157"/>
      <c r="G6" s="157"/>
      <c r="H6" s="157"/>
      <c r="I6" s="157"/>
      <c r="J6" s="157"/>
      <c r="K6" s="157">
        <v>2</v>
      </c>
      <c r="L6" s="157">
        <v>2</v>
      </c>
      <c r="M6" s="157">
        <v>1</v>
      </c>
      <c r="N6" s="157"/>
      <c r="O6" s="157"/>
      <c r="P6" s="157"/>
      <c r="Q6" s="157">
        <v>1</v>
      </c>
      <c r="R6" s="157"/>
      <c r="S6" s="157"/>
      <c r="T6" s="157"/>
      <c r="U6" s="157"/>
      <c r="V6" s="157"/>
      <c r="W6" s="157"/>
      <c r="X6" s="157"/>
      <c r="Y6" s="157">
        <f t="shared" ref="Y6:Y69" si="0">+SUM(C6:X6)</f>
        <v>6</v>
      </c>
    </row>
    <row r="7" spans="1:25" x14ac:dyDescent="0.35">
      <c r="A7" s="157" t="s">
        <v>331</v>
      </c>
      <c r="B7" s="157" t="s">
        <v>1209</v>
      </c>
      <c r="C7" s="157">
        <v>1</v>
      </c>
      <c r="D7" s="157">
        <v>1</v>
      </c>
      <c r="E7" s="157">
        <v>5</v>
      </c>
      <c r="F7" s="157">
        <v>1</v>
      </c>
      <c r="G7" s="157">
        <v>1</v>
      </c>
      <c r="H7" s="157">
        <v>2</v>
      </c>
      <c r="I7" s="157">
        <v>11</v>
      </c>
      <c r="J7" s="157">
        <v>7</v>
      </c>
      <c r="K7" s="157">
        <v>1</v>
      </c>
      <c r="L7" s="157">
        <v>4</v>
      </c>
      <c r="M7" s="157">
        <v>8</v>
      </c>
      <c r="N7" s="157">
        <v>1</v>
      </c>
      <c r="O7" s="157"/>
      <c r="P7" s="157"/>
      <c r="Q7" s="157">
        <v>2</v>
      </c>
      <c r="R7" s="157"/>
      <c r="S7" s="157">
        <v>3</v>
      </c>
      <c r="T7" s="157">
        <v>1</v>
      </c>
      <c r="U7" s="157"/>
      <c r="V7" s="157">
        <v>4</v>
      </c>
      <c r="W7" s="157">
        <v>1</v>
      </c>
      <c r="X7" s="157"/>
      <c r="Y7" s="157">
        <f t="shared" si="0"/>
        <v>54</v>
      </c>
    </row>
    <row r="8" spans="1:25" x14ac:dyDescent="0.35">
      <c r="A8" s="157" t="s">
        <v>332</v>
      </c>
      <c r="B8" s="157" t="s">
        <v>1210</v>
      </c>
      <c r="C8" s="157"/>
      <c r="D8" s="157"/>
      <c r="E8" s="157"/>
      <c r="F8" s="157"/>
      <c r="G8" s="157"/>
      <c r="H8" s="157"/>
      <c r="I8" s="157">
        <v>1</v>
      </c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>
        <v>1</v>
      </c>
      <c r="V8" s="157"/>
      <c r="W8" s="157"/>
      <c r="X8" s="157"/>
      <c r="Y8" s="157">
        <f t="shared" si="0"/>
        <v>2</v>
      </c>
    </row>
    <row r="9" spans="1:25" x14ac:dyDescent="0.35">
      <c r="A9" s="157" t="s">
        <v>333</v>
      </c>
      <c r="B9" s="157" t="s">
        <v>334</v>
      </c>
      <c r="C9" s="157"/>
      <c r="D9" s="157"/>
      <c r="E9" s="157">
        <v>2</v>
      </c>
      <c r="F9" s="157"/>
      <c r="G9" s="157"/>
      <c r="H9" s="157">
        <v>1</v>
      </c>
      <c r="I9" s="157">
        <v>8</v>
      </c>
      <c r="J9" s="157"/>
      <c r="K9" s="157"/>
      <c r="L9" s="157">
        <v>2</v>
      </c>
      <c r="M9" s="157">
        <v>3</v>
      </c>
      <c r="N9" s="157"/>
      <c r="O9" s="157"/>
      <c r="P9" s="157"/>
      <c r="Q9" s="157"/>
      <c r="R9" s="157"/>
      <c r="S9" s="157">
        <v>1</v>
      </c>
      <c r="T9" s="157">
        <v>2</v>
      </c>
      <c r="U9" s="157"/>
      <c r="V9" s="157"/>
      <c r="W9" s="157"/>
      <c r="X9" s="157"/>
      <c r="Y9" s="157">
        <f t="shared" si="0"/>
        <v>19</v>
      </c>
    </row>
    <row r="10" spans="1:25" x14ac:dyDescent="0.35">
      <c r="A10" s="157" t="s">
        <v>335</v>
      </c>
      <c r="B10" s="157" t="s">
        <v>336</v>
      </c>
      <c r="C10" s="157">
        <v>2</v>
      </c>
      <c r="D10" s="157">
        <v>2</v>
      </c>
      <c r="E10" s="157">
        <v>11</v>
      </c>
      <c r="F10" s="157">
        <v>5</v>
      </c>
      <c r="G10" s="157">
        <v>3</v>
      </c>
      <c r="H10" s="157">
        <v>2</v>
      </c>
      <c r="I10" s="157">
        <v>106</v>
      </c>
      <c r="J10" s="157">
        <v>11</v>
      </c>
      <c r="K10" s="157">
        <v>3</v>
      </c>
      <c r="L10" s="157">
        <v>23</v>
      </c>
      <c r="M10" s="157">
        <v>14</v>
      </c>
      <c r="N10" s="157">
        <v>1</v>
      </c>
      <c r="O10" s="157"/>
      <c r="P10" s="157">
        <v>2</v>
      </c>
      <c r="Q10" s="157">
        <v>4</v>
      </c>
      <c r="R10" s="157">
        <v>4</v>
      </c>
      <c r="S10" s="157"/>
      <c r="T10" s="157">
        <v>2</v>
      </c>
      <c r="U10" s="157"/>
      <c r="V10" s="157">
        <v>6</v>
      </c>
      <c r="W10" s="157"/>
      <c r="X10" s="157">
        <v>1</v>
      </c>
      <c r="Y10" s="157">
        <f t="shared" si="0"/>
        <v>202</v>
      </c>
    </row>
    <row r="11" spans="1:25" x14ac:dyDescent="0.35">
      <c r="A11" s="157" t="s">
        <v>337</v>
      </c>
      <c r="B11" s="157" t="s">
        <v>338</v>
      </c>
      <c r="C11" s="157">
        <v>8</v>
      </c>
      <c r="D11" s="157"/>
      <c r="E11" s="157">
        <v>6</v>
      </c>
      <c r="F11" s="157">
        <v>3</v>
      </c>
      <c r="G11" s="157"/>
      <c r="H11" s="157"/>
      <c r="I11" s="157">
        <v>55</v>
      </c>
      <c r="J11" s="157">
        <v>3</v>
      </c>
      <c r="K11" s="157"/>
      <c r="L11" s="157">
        <v>15</v>
      </c>
      <c r="M11" s="157">
        <v>8</v>
      </c>
      <c r="N11" s="157"/>
      <c r="O11" s="157"/>
      <c r="P11" s="157"/>
      <c r="Q11" s="157"/>
      <c r="R11" s="157"/>
      <c r="S11" s="157"/>
      <c r="T11" s="157"/>
      <c r="U11" s="157"/>
      <c r="V11" s="157"/>
      <c r="W11" s="157">
        <v>1</v>
      </c>
      <c r="X11" s="157"/>
      <c r="Y11" s="157">
        <f t="shared" si="0"/>
        <v>99</v>
      </c>
    </row>
    <row r="12" spans="1:25" x14ac:dyDescent="0.35">
      <c r="A12" s="157" t="s">
        <v>339</v>
      </c>
      <c r="B12" s="157" t="s">
        <v>340</v>
      </c>
      <c r="C12" s="157">
        <v>2</v>
      </c>
      <c r="D12" s="157">
        <v>2</v>
      </c>
      <c r="E12" s="157">
        <v>7</v>
      </c>
      <c r="F12" s="157">
        <v>4</v>
      </c>
      <c r="G12" s="157">
        <v>1</v>
      </c>
      <c r="H12" s="157"/>
      <c r="I12" s="157">
        <v>30</v>
      </c>
      <c r="J12" s="157">
        <v>3</v>
      </c>
      <c r="K12" s="157">
        <v>4</v>
      </c>
      <c r="L12" s="157">
        <v>7</v>
      </c>
      <c r="M12" s="157">
        <v>4</v>
      </c>
      <c r="N12" s="157"/>
      <c r="O12" s="157">
        <v>2</v>
      </c>
      <c r="P12" s="157"/>
      <c r="Q12" s="157">
        <v>3</v>
      </c>
      <c r="R12" s="157">
        <v>1</v>
      </c>
      <c r="S12" s="157">
        <v>1</v>
      </c>
      <c r="T12" s="157"/>
      <c r="U12" s="157">
        <v>1</v>
      </c>
      <c r="V12" s="157"/>
      <c r="W12" s="157"/>
      <c r="X12" s="157">
        <v>1</v>
      </c>
      <c r="Y12" s="157">
        <f t="shared" si="0"/>
        <v>73</v>
      </c>
    </row>
    <row r="13" spans="1:25" x14ac:dyDescent="0.35">
      <c r="A13" s="157" t="s">
        <v>341</v>
      </c>
      <c r="B13" s="157" t="s">
        <v>342</v>
      </c>
      <c r="C13" s="157"/>
      <c r="D13" s="157"/>
      <c r="E13" s="157">
        <v>1</v>
      </c>
      <c r="F13" s="157">
        <v>1</v>
      </c>
      <c r="G13" s="157"/>
      <c r="H13" s="157"/>
      <c r="I13" s="157">
        <v>4</v>
      </c>
      <c r="J13" s="157">
        <v>1</v>
      </c>
      <c r="K13" s="157"/>
      <c r="L13" s="157">
        <v>1</v>
      </c>
      <c r="M13" s="157"/>
      <c r="N13" s="157">
        <v>1</v>
      </c>
      <c r="O13" s="157"/>
      <c r="P13" s="157"/>
      <c r="Q13" s="157"/>
      <c r="R13" s="157">
        <v>2</v>
      </c>
      <c r="S13" s="157"/>
      <c r="T13" s="157"/>
      <c r="U13" s="157"/>
      <c r="V13" s="157"/>
      <c r="W13" s="157"/>
      <c r="X13" s="157"/>
      <c r="Y13" s="157">
        <f t="shared" si="0"/>
        <v>11</v>
      </c>
    </row>
    <row r="14" spans="1:25" x14ac:dyDescent="0.35">
      <c r="A14" s="157" t="s">
        <v>343</v>
      </c>
      <c r="B14" s="157" t="s">
        <v>344</v>
      </c>
      <c r="C14" s="157">
        <v>1</v>
      </c>
      <c r="D14" s="157"/>
      <c r="E14" s="157">
        <v>5</v>
      </c>
      <c r="F14" s="157">
        <v>1</v>
      </c>
      <c r="G14" s="157"/>
      <c r="H14" s="157"/>
      <c r="I14" s="157">
        <v>17</v>
      </c>
      <c r="J14" s="157">
        <v>1</v>
      </c>
      <c r="K14" s="157"/>
      <c r="L14" s="157">
        <v>5</v>
      </c>
      <c r="M14" s="157">
        <v>1</v>
      </c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>
        <v>1</v>
      </c>
      <c r="Y14" s="157">
        <f t="shared" si="0"/>
        <v>32</v>
      </c>
    </row>
    <row r="15" spans="1:25" x14ac:dyDescent="0.35">
      <c r="A15" s="157" t="s">
        <v>345</v>
      </c>
      <c r="B15" s="157" t="s">
        <v>346</v>
      </c>
      <c r="C15" s="157">
        <v>6</v>
      </c>
      <c r="D15" s="157"/>
      <c r="E15" s="157"/>
      <c r="F15" s="157"/>
      <c r="G15" s="157">
        <v>2</v>
      </c>
      <c r="H15" s="157"/>
      <c r="I15" s="157">
        <v>21</v>
      </c>
      <c r="J15" s="157">
        <v>4</v>
      </c>
      <c r="K15" s="157">
        <v>1</v>
      </c>
      <c r="L15" s="157">
        <v>3</v>
      </c>
      <c r="M15" s="157"/>
      <c r="N15" s="157"/>
      <c r="O15" s="157"/>
      <c r="P15" s="157"/>
      <c r="Q15" s="157"/>
      <c r="R15" s="157"/>
      <c r="S15" s="157"/>
      <c r="T15" s="157">
        <v>1</v>
      </c>
      <c r="U15" s="157"/>
      <c r="V15" s="157"/>
      <c r="W15" s="157"/>
      <c r="X15" s="157"/>
      <c r="Y15" s="157">
        <f t="shared" si="0"/>
        <v>38</v>
      </c>
    </row>
    <row r="16" spans="1:25" x14ac:dyDescent="0.35">
      <c r="A16" s="157" t="s">
        <v>347</v>
      </c>
      <c r="B16" s="157" t="s">
        <v>348</v>
      </c>
      <c r="C16" s="157"/>
      <c r="D16" s="157"/>
      <c r="E16" s="157">
        <v>1</v>
      </c>
      <c r="F16" s="157"/>
      <c r="G16" s="157"/>
      <c r="H16" s="157"/>
      <c r="I16" s="157">
        <v>4</v>
      </c>
      <c r="J16" s="157"/>
      <c r="K16" s="157"/>
      <c r="L16" s="157"/>
      <c r="M16" s="157">
        <v>1</v>
      </c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>
        <f t="shared" si="0"/>
        <v>6</v>
      </c>
    </row>
    <row r="17" spans="1:25" x14ac:dyDescent="0.35">
      <c r="A17" s="157" t="s">
        <v>349</v>
      </c>
      <c r="B17" s="157" t="s">
        <v>1211</v>
      </c>
      <c r="C17" s="157"/>
      <c r="D17" s="157">
        <v>1</v>
      </c>
      <c r="E17" s="157">
        <v>6</v>
      </c>
      <c r="F17" s="157">
        <v>2</v>
      </c>
      <c r="G17" s="157">
        <v>5</v>
      </c>
      <c r="H17" s="157">
        <v>1</v>
      </c>
      <c r="I17" s="157">
        <v>25</v>
      </c>
      <c r="J17" s="157">
        <v>4</v>
      </c>
      <c r="K17" s="157">
        <v>1</v>
      </c>
      <c r="L17" s="157">
        <v>8</v>
      </c>
      <c r="M17" s="157">
        <v>8</v>
      </c>
      <c r="N17" s="157">
        <v>1</v>
      </c>
      <c r="O17" s="157"/>
      <c r="P17" s="157">
        <v>1</v>
      </c>
      <c r="Q17" s="157">
        <v>1</v>
      </c>
      <c r="R17" s="157">
        <v>1</v>
      </c>
      <c r="S17" s="157"/>
      <c r="T17" s="157">
        <v>1</v>
      </c>
      <c r="U17" s="157"/>
      <c r="V17" s="157">
        <v>3</v>
      </c>
      <c r="W17" s="157">
        <v>1</v>
      </c>
      <c r="X17" s="157"/>
      <c r="Y17" s="157">
        <f t="shared" si="0"/>
        <v>70</v>
      </c>
    </row>
    <row r="18" spans="1:25" x14ac:dyDescent="0.35">
      <c r="A18" s="157" t="s">
        <v>350</v>
      </c>
      <c r="B18" s="157" t="s">
        <v>351</v>
      </c>
      <c r="C18" s="157"/>
      <c r="D18" s="157"/>
      <c r="E18" s="157">
        <v>3</v>
      </c>
      <c r="F18" s="157">
        <v>1</v>
      </c>
      <c r="G18" s="157">
        <v>1</v>
      </c>
      <c r="H18" s="157"/>
      <c r="I18" s="157">
        <v>15</v>
      </c>
      <c r="J18" s="157">
        <v>1</v>
      </c>
      <c r="K18" s="157">
        <v>1</v>
      </c>
      <c r="L18" s="157">
        <v>3</v>
      </c>
      <c r="M18" s="157">
        <v>4</v>
      </c>
      <c r="N18" s="157"/>
      <c r="O18" s="157"/>
      <c r="P18" s="157">
        <v>1</v>
      </c>
      <c r="Q18" s="157"/>
      <c r="R18" s="157"/>
      <c r="S18" s="157"/>
      <c r="T18" s="157"/>
      <c r="U18" s="157"/>
      <c r="V18" s="157"/>
      <c r="W18" s="157"/>
      <c r="X18" s="157"/>
      <c r="Y18" s="157">
        <f t="shared" si="0"/>
        <v>30</v>
      </c>
    </row>
    <row r="19" spans="1:25" x14ac:dyDescent="0.35">
      <c r="A19" s="157" t="s">
        <v>352</v>
      </c>
      <c r="B19" s="157" t="s">
        <v>1212</v>
      </c>
      <c r="C19" s="157">
        <v>1</v>
      </c>
      <c r="D19" s="157">
        <v>2</v>
      </c>
      <c r="E19" s="157">
        <v>6</v>
      </c>
      <c r="F19" s="157">
        <v>2</v>
      </c>
      <c r="G19" s="157">
        <v>4</v>
      </c>
      <c r="H19" s="157">
        <v>1</v>
      </c>
      <c r="I19" s="157">
        <v>11</v>
      </c>
      <c r="J19" s="157">
        <v>3</v>
      </c>
      <c r="K19" s="157">
        <v>6</v>
      </c>
      <c r="L19" s="157">
        <v>6</v>
      </c>
      <c r="M19" s="157">
        <v>3</v>
      </c>
      <c r="N19" s="157">
        <v>1</v>
      </c>
      <c r="O19" s="157"/>
      <c r="P19" s="157">
        <v>4</v>
      </c>
      <c r="Q19" s="157">
        <v>3</v>
      </c>
      <c r="R19" s="157">
        <v>4</v>
      </c>
      <c r="S19" s="157">
        <v>1</v>
      </c>
      <c r="T19" s="157">
        <v>3</v>
      </c>
      <c r="U19" s="157">
        <v>2</v>
      </c>
      <c r="V19" s="157">
        <v>2</v>
      </c>
      <c r="W19" s="157">
        <v>1</v>
      </c>
      <c r="X19" s="157">
        <v>1</v>
      </c>
      <c r="Y19" s="157">
        <f t="shared" si="0"/>
        <v>67</v>
      </c>
    </row>
    <row r="20" spans="1:25" x14ac:dyDescent="0.35">
      <c r="A20" s="157" t="s">
        <v>353</v>
      </c>
      <c r="B20" s="157" t="s">
        <v>354</v>
      </c>
      <c r="C20" s="157">
        <v>3</v>
      </c>
      <c r="D20" s="157">
        <v>8</v>
      </c>
      <c r="E20" s="157">
        <v>41</v>
      </c>
      <c r="F20" s="157">
        <v>18</v>
      </c>
      <c r="G20" s="157">
        <v>17</v>
      </c>
      <c r="H20" s="157">
        <v>2</v>
      </c>
      <c r="I20" s="157">
        <v>389</v>
      </c>
      <c r="J20" s="157">
        <v>25</v>
      </c>
      <c r="K20" s="157">
        <v>8</v>
      </c>
      <c r="L20" s="157">
        <v>94</v>
      </c>
      <c r="M20" s="157">
        <v>87</v>
      </c>
      <c r="N20" s="157">
        <v>4</v>
      </c>
      <c r="O20" s="157"/>
      <c r="P20" s="157">
        <v>5</v>
      </c>
      <c r="Q20" s="157">
        <v>5</v>
      </c>
      <c r="R20" s="157">
        <v>8</v>
      </c>
      <c r="S20" s="157">
        <v>6</v>
      </c>
      <c r="T20" s="157">
        <v>3</v>
      </c>
      <c r="U20" s="157"/>
      <c r="V20" s="157">
        <v>8</v>
      </c>
      <c r="W20" s="157">
        <v>4</v>
      </c>
      <c r="X20" s="157">
        <v>8</v>
      </c>
      <c r="Y20" s="157">
        <f t="shared" si="0"/>
        <v>743</v>
      </c>
    </row>
    <row r="21" spans="1:25" x14ac:dyDescent="0.35">
      <c r="A21" s="157" t="s">
        <v>355</v>
      </c>
      <c r="B21" s="157" t="s">
        <v>1213</v>
      </c>
      <c r="C21" s="157"/>
      <c r="D21" s="157"/>
      <c r="E21" s="157">
        <v>2</v>
      </c>
      <c r="F21" s="157"/>
      <c r="G21" s="157"/>
      <c r="H21" s="157"/>
      <c r="I21" s="157">
        <v>9</v>
      </c>
      <c r="J21" s="157">
        <v>3</v>
      </c>
      <c r="K21" s="157"/>
      <c r="L21" s="157">
        <v>1</v>
      </c>
      <c r="M21" s="157">
        <v>3</v>
      </c>
      <c r="N21" s="157"/>
      <c r="O21" s="157"/>
      <c r="P21" s="157">
        <v>1</v>
      </c>
      <c r="Q21" s="157"/>
      <c r="R21" s="157"/>
      <c r="S21" s="157"/>
      <c r="T21" s="157">
        <v>1</v>
      </c>
      <c r="U21" s="157"/>
      <c r="V21" s="157">
        <v>1</v>
      </c>
      <c r="W21" s="157"/>
      <c r="X21" s="157">
        <v>1</v>
      </c>
      <c r="Y21" s="157">
        <f t="shared" si="0"/>
        <v>22</v>
      </c>
    </row>
    <row r="22" spans="1:25" x14ac:dyDescent="0.35">
      <c r="A22" s="157" t="s">
        <v>356</v>
      </c>
      <c r="B22" s="157" t="s">
        <v>1214</v>
      </c>
      <c r="C22" s="157"/>
      <c r="D22" s="157"/>
      <c r="E22" s="157"/>
      <c r="F22" s="157"/>
      <c r="G22" s="157"/>
      <c r="H22" s="157"/>
      <c r="I22" s="157">
        <v>2</v>
      </c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>
        <f t="shared" si="0"/>
        <v>2</v>
      </c>
    </row>
    <row r="23" spans="1:25" x14ac:dyDescent="0.35">
      <c r="A23" s="157" t="s">
        <v>357</v>
      </c>
      <c r="B23" s="157" t="s">
        <v>358</v>
      </c>
      <c r="C23" s="157"/>
      <c r="D23" s="157">
        <v>1</v>
      </c>
      <c r="E23" s="157">
        <v>8</v>
      </c>
      <c r="F23" s="157">
        <v>1</v>
      </c>
      <c r="G23" s="157">
        <v>2</v>
      </c>
      <c r="H23" s="157"/>
      <c r="I23" s="157">
        <v>34</v>
      </c>
      <c r="J23" s="157">
        <v>8</v>
      </c>
      <c r="K23" s="157">
        <v>5</v>
      </c>
      <c r="L23" s="157">
        <v>6</v>
      </c>
      <c r="M23" s="157">
        <v>17</v>
      </c>
      <c r="N23" s="157">
        <v>1</v>
      </c>
      <c r="O23" s="157"/>
      <c r="P23" s="157"/>
      <c r="Q23" s="157">
        <v>3</v>
      </c>
      <c r="R23" s="157">
        <v>5</v>
      </c>
      <c r="S23" s="157">
        <v>1</v>
      </c>
      <c r="T23" s="157"/>
      <c r="U23" s="157">
        <v>2</v>
      </c>
      <c r="V23" s="157">
        <v>4</v>
      </c>
      <c r="W23" s="157">
        <v>3</v>
      </c>
      <c r="X23" s="157"/>
      <c r="Y23" s="157">
        <f t="shared" si="0"/>
        <v>101</v>
      </c>
    </row>
    <row r="24" spans="1:25" x14ac:dyDescent="0.35">
      <c r="A24" s="157" t="s">
        <v>359</v>
      </c>
      <c r="B24" s="157" t="s">
        <v>360</v>
      </c>
      <c r="C24" s="157">
        <v>1</v>
      </c>
      <c r="D24" s="157"/>
      <c r="E24" s="157">
        <v>3</v>
      </c>
      <c r="F24" s="157"/>
      <c r="G24" s="157">
        <v>2</v>
      </c>
      <c r="H24" s="157">
        <v>2</v>
      </c>
      <c r="I24" s="157">
        <v>3</v>
      </c>
      <c r="J24" s="157">
        <v>1</v>
      </c>
      <c r="K24" s="157">
        <v>1</v>
      </c>
      <c r="L24" s="157">
        <v>11</v>
      </c>
      <c r="M24" s="157">
        <v>2</v>
      </c>
      <c r="N24" s="157"/>
      <c r="O24" s="157">
        <v>1</v>
      </c>
      <c r="P24" s="157">
        <v>1</v>
      </c>
      <c r="Q24" s="157">
        <v>2</v>
      </c>
      <c r="R24" s="157">
        <v>7</v>
      </c>
      <c r="S24" s="157">
        <v>1</v>
      </c>
      <c r="T24" s="157">
        <v>2</v>
      </c>
      <c r="U24" s="157">
        <v>1</v>
      </c>
      <c r="V24" s="157"/>
      <c r="W24" s="157"/>
      <c r="X24" s="157"/>
      <c r="Y24" s="157">
        <f t="shared" si="0"/>
        <v>41</v>
      </c>
    </row>
    <row r="25" spans="1:25" x14ac:dyDescent="0.35">
      <c r="A25" s="157" t="s">
        <v>361</v>
      </c>
      <c r="B25" s="157" t="s">
        <v>362</v>
      </c>
      <c r="C25" s="157"/>
      <c r="D25" s="157">
        <v>1</v>
      </c>
      <c r="E25" s="157"/>
      <c r="F25" s="157">
        <v>2</v>
      </c>
      <c r="G25" s="157"/>
      <c r="H25" s="157">
        <v>1</v>
      </c>
      <c r="I25" s="157">
        <v>7</v>
      </c>
      <c r="J25" s="157">
        <v>2</v>
      </c>
      <c r="K25" s="157"/>
      <c r="L25" s="157">
        <v>6</v>
      </c>
      <c r="M25" s="157">
        <v>3</v>
      </c>
      <c r="N25" s="157"/>
      <c r="O25" s="157">
        <v>1</v>
      </c>
      <c r="P25" s="157"/>
      <c r="Q25" s="157"/>
      <c r="R25" s="157">
        <v>1</v>
      </c>
      <c r="S25" s="157">
        <v>2</v>
      </c>
      <c r="T25" s="157">
        <v>1</v>
      </c>
      <c r="U25" s="157">
        <v>1</v>
      </c>
      <c r="V25" s="157">
        <v>2</v>
      </c>
      <c r="W25" s="157">
        <v>1</v>
      </c>
      <c r="X25" s="157"/>
      <c r="Y25" s="157">
        <f t="shared" si="0"/>
        <v>31</v>
      </c>
    </row>
    <row r="26" spans="1:25" x14ac:dyDescent="0.35">
      <c r="A26" s="157" t="s">
        <v>363</v>
      </c>
      <c r="B26" s="157" t="s">
        <v>1215</v>
      </c>
      <c r="C26" s="157">
        <v>1</v>
      </c>
      <c r="D26" s="157">
        <v>2</v>
      </c>
      <c r="E26" s="157">
        <v>12</v>
      </c>
      <c r="F26" s="157">
        <v>5</v>
      </c>
      <c r="G26" s="157">
        <v>2</v>
      </c>
      <c r="H26" s="157">
        <v>1</v>
      </c>
      <c r="I26" s="157">
        <v>93</v>
      </c>
      <c r="J26" s="157">
        <v>3</v>
      </c>
      <c r="K26" s="157">
        <v>3</v>
      </c>
      <c r="L26" s="157">
        <v>12</v>
      </c>
      <c r="M26" s="157">
        <v>22</v>
      </c>
      <c r="N26" s="157"/>
      <c r="O26" s="157"/>
      <c r="P26" s="157"/>
      <c r="Q26" s="157">
        <v>4</v>
      </c>
      <c r="R26" s="157">
        <v>2</v>
      </c>
      <c r="S26" s="157">
        <v>1</v>
      </c>
      <c r="T26" s="157">
        <v>3</v>
      </c>
      <c r="U26" s="157"/>
      <c r="V26" s="157">
        <v>1</v>
      </c>
      <c r="W26" s="157"/>
      <c r="X26" s="157">
        <v>3</v>
      </c>
      <c r="Y26" s="157">
        <f t="shared" si="0"/>
        <v>170</v>
      </c>
    </row>
    <row r="27" spans="1:25" x14ac:dyDescent="0.35">
      <c r="A27" s="157" t="s">
        <v>364</v>
      </c>
      <c r="B27" s="157" t="s">
        <v>1216</v>
      </c>
      <c r="C27" s="157">
        <v>2</v>
      </c>
      <c r="D27" s="157">
        <v>3</v>
      </c>
      <c r="E27" s="157">
        <v>16</v>
      </c>
      <c r="F27" s="157">
        <v>3</v>
      </c>
      <c r="G27" s="157">
        <v>2</v>
      </c>
      <c r="H27" s="157">
        <v>4</v>
      </c>
      <c r="I27" s="157">
        <v>68</v>
      </c>
      <c r="J27" s="157">
        <v>7</v>
      </c>
      <c r="K27" s="157">
        <v>9</v>
      </c>
      <c r="L27" s="157">
        <v>17</v>
      </c>
      <c r="M27" s="157">
        <v>23</v>
      </c>
      <c r="N27" s="157"/>
      <c r="O27" s="157"/>
      <c r="P27" s="157">
        <v>1</v>
      </c>
      <c r="Q27" s="157">
        <v>4</v>
      </c>
      <c r="R27" s="157">
        <v>2</v>
      </c>
      <c r="S27" s="157">
        <v>3</v>
      </c>
      <c r="T27" s="157">
        <v>3</v>
      </c>
      <c r="U27" s="157">
        <v>1</v>
      </c>
      <c r="V27" s="157">
        <v>4</v>
      </c>
      <c r="W27" s="157">
        <v>2</v>
      </c>
      <c r="X27" s="157"/>
      <c r="Y27" s="157">
        <f t="shared" si="0"/>
        <v>174</v>
      </c>
    </row>
    <row r="28" spans="1:25" x14ac:dyDescent="0.35">
      <c r="A28" s="157" t="s">
        <v>365</v>
      </c>
      <c r="B28" s="157" t="s">
        <v>366</v>
      </c>
      <c r="C28" s="157">
        <v>3</v>
      </c>
      <c r="D28" s="157">
        <v>4</v>
      </c>
      <c r="E28" s="157">
        <v>7</v>
      </c>
      <c r="F28" s="157">
        <v>3</v>
      </c>
      <c r="G28" s="157">
        <v>4</v>
      </c>
      <c r="H28" s="157"/>
      <c r="I28" s="157">
        <v>31</v>
      </c>
      <c r="J28" s="157">
        <v>9</v>
      </c>
      <c r="K28" s="157">
        <v>5</v>
      </c>
      <c r="L28" s="157">
        <v>5</v>
      </c>
      <c r="M28" s="157">
        <v>10</v>
      </c>
      <c r="N28" s="157"/>
      <c r="O28" s="157"/>
      <c r="P28" s="157">
        <v>1</v>
      </c>
      <c r="Q28" s="157">
        <v>2</v>
      </c>
      <c r="R28" s="157">
        <v>1</v>
      </c>
      <c r="S28" s="157">
        <v>1</v>
      </c>
      <c r="T28" s="157">
        <v>1</v>
      </c>
      <c r="U28" s="157"/>
      <c r="V28" s="157">
        <v>2</v>
      </c>
      <c r="W28" s="157">
        <v>1</v>
      </c>
      <c r="X28" s="157"/>
      <c r="Y28" s="157">
        <f t="shared" si="0"/>
        <v>90</v>
      </c>
    </row>
    <row r="29" spans="1:25" x14ac:dyDescent="0.35">
      <c r="A29" s="157" t="s">
        <v>367</v>
      </c>
      <c r="B29" s="157" t="s">
        <v>1217</v>
      </c>
      <c r="C29" s="157">
        <v>1</v>
      </c>
      <c r="D29" s="157">
        <v>1</v>
      </c>
      <c r="E29" s="157">
        <v>4</v>
      </c>
      <c r="F29" s="157">
        <v>1</v>
      </c>
      <c r="G29" s="157"/>
      <c r="H29" s="157"/>
      <c r="I29" s="157">
        <v>6</v>
      </c>
      <c r="J29" s="157">
        <v>3</v>
      </c>
      <c r="K29" s="157"/>
      <c r="L29" s="157">
        <v>2</v>
      </c>
      <c r="M29" s="157">
        <v>2</v>
      </c>
      <c r="N29" s="157"/>
      <c r="O29" s="157"/>
      <c r="P29" s="157"/>
      <c r="Q29" s="157"/>
      <c r="R29" s="157">
        <v>1</v>
      </c>
      <c r="S29" s="157"/>
      <c r="T29" s="157"/>
      <c r="U29" s="157"/>
      <c r="V29" s="157"/>
      <c r="W29" s="157">
        <v>1</v>
      </c>
      <c r="X29" s="157"/>
      <c r="Y29" s="157">
        <f t="shared" si="0"/>
        <v>22</v>
      </c>
    </row>
    <row r="30" spans="1:25" x14ac:dyDescent="0.35">
      <c r="A30" s="157" t="s">
        <v>368</v>
      </c>
      <c r="B30" s="157" t="s">
        <v>1218</v>
      </c>
      <c r="C30" s="157"/>
      <c r="D30" s="157"/>
      <c r="E30" s="157"/>
      <c r="F30" s="157"/>
      <c r="G30" s="157"/>
      <c r="H30" s="157"/>
      <c r="I30" s="157">
        <v>4</v>
      </c>
      <c r="J30" s="157"/>
      <c r="K30" s="157"/>
      <c r="L30" s="157"/>
      <c r="M30" s="157">
        <v>1</v>
      </c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>
        <f t="shared" si="0"/>
        <v>5</v>
      </c>
    </row>
    <row r="31" spans="1:25" x14ac:dyDescent="0.35">
      <c r="A31" s="157" t="s">
        <v>369</v>
      </c>
      <c r="B31" s="157" t="s">
        <v>370</v>
      </c>
      <c r="C31" s="157"/>
      <c r="D31" s="157"/>
      <c r="E31" s="157">
        <v>8</v>
      </c>
      <c r="F31" s="157">
        <v>1</v>
      </c>
      <c r="G31" s="157">
        <v>1</v>
      </c>
      <c r="H31" s="157"/>
      <c r="I31" s="157">
        <v>38</v>
      </c>
      <c r="J31" s="157">
        <v>5</v>
      </c>
      <c r="K31" s="157">
        <v>3</v>
      </c>
      <c r="L31" s="157">
        <v>16</v>
      </c>
      <c r="M31" s="157">
        <v>5</v>
      </c>
      <c r="N31" s="157">
        <v>1</v>
      </c>
      <c r="O31" s="157"/>
      <c r="P31" s="157">
        <v>1</v>
      </c>
      <c r="Q31" s="157">
        <v>4</v>
      </c>
      <c r="R31" s="157"/>
      <c r="S31" s="157">
        <v>1</v>
      </c>
      <c r="T31" s="157">
        <v>1</v>
      </c>
      <c r="U31" s="157"/>
      <c r="V31" s="157">
        <v>2</v>
      </c>
      <c r="W31" s="157"/>
      <c r="X31" s="157"/>
      <c r="Y31" s="157">
        <f t="shared" si="0"/>
        <v>87</v>
      </c>
    </row>
    <row r="32" spans="1:25" x14ac:dyDescent="0.35">
      <c r="A32" s="157" t="s">
        <v>371</v>
      </c>
      <c r="B32" s="157" t="s">
        <v>1219</v>
      </c>
      <c r="C32" s="157">
        <v>1</v>
      </c>
      <c r="D32" s="157"/>
      <c r="E32" s="157"/>
      <c r="F32" s="157"/>
      <c r="G32" s="157"/>
      <c r="H32" s="157"/>
      <c r="I32" s="157">
        <v>8</v>
      </c>
      <c r="J32" s="157"/>
      <c r="K32" s="157"/>
      <c r="L32" s="157">
        <v>6</v>
      </c>
      <c r="M32" s="157">
        <v>2</v>
      </c>
      <c r="N32" s="157">
        <v>1</v>
      </c>
      <c r="O32" s="157"/>
      <c r="P32" s="157"/>
      <c r="Q32" s="157">
        <v>1</v>
      </c>
      <c r="R32" s="157">
        <v>1</v>
      </c>
      <c r="S32" s="157"/>
      <c r="T32" s="157"/>
      <c r="U32" s="157"/>
      <c r="V32" s="157"/>
      <c r="W32" s="157"/>
      <c r="X32" s="157">
        <v>1</v>
      </c>
      <c r="Y32" s="157">
        <f t="shared" si="0"/>
        <v>21</v>
      </c>
    </row>
    <row r="33" spans="1:25" x14ac:dyDescent="0.35">
      <c r="A33" s="157" t="s">
        <v>372</v>
      </c>
      <c r="B33" s="157" t="s">
        <v>373</v>
      </c>
      <c r="C33" s="157"/>
      <c r="D33" s="157"/>
      <c r="E33" s="157"/>
      <c r="F33" s="157">
        <v>1</v>
      </c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>
        <v>1</v>
      </c>
      <c r="R33" s="157"/>
      <c r="S33" s="157"/>
      <c r="T33" s="157"/>
      <c r="U33" s="157"/>
      <c r="V33" s="157"/>
      <c r="W33" s="157"/>
      <c r="X33" s="157"/>
      <c r="Y33" s="157">
        <f t="shared" si="0"/>
        <v>2</v>
      </c>
    </row>
    <row r="34" spans="1:25" x14ac:dyDescent="0.35">
      <c r="A34" s="157" t="s">
        <v>374</v>
      </c>
      <c r="B34" s="157" t="s">
        <v>1220</v>
      </c>
      <c r="C34" s="157"/>
      <c r="D34" s="157">
        <v>1</v>
      </c>
      <c r="E34" s="157"/>
      <c r="F34" s="157"/>
      <c r="G34" s="157"/>
      <c r="H34" s="157"/>
      <c r="I34" s="157">
        <v>4</v>
      </c>
      <c r="J34" s="157">
        <v>1</v>
      </c>
      <c r="K34" s="157"/>
      <c r="L34" s="157"/>
      <c r="M34" s="157">
        <v>2</v>
      </c>
      <c r="N34" s="157"/>
      <c r="O34" s="157"/>
      <c r="P34" s="157"/>
      <c r="Q34" s="157">
        <v>1</v>
      </c>
      <c r="R34" s="157"/>
      <c r="S34" s="157">
        <v>1</v>
      </c>
      <c r="T34" s="157"/>
      <c r="U34" s="157"/>
      <c r="V34" s="157"/>
      <c r="W34" s="157"/>
      <c r="X34" s="157"/>
      <c r="Y34" s="157">
        <f t="shared" si="0"/>
        <v>10</v>
      </c>
    </row>
    <row r="35" spans="1:25" x14ac:dyDescent="0.35">
      <c r="A35" s="157" t="s">
        <v>375</v>
      </c>
      <c r="B35" s="157" t="s">
        <v>1221</v>
      </c>
      <c r="C35" s="157"/>
      <c r="D35" s="157"/>
      <c r="E35" s="157"/>
      <c r="F35" s="157"/>
      <c r="G35" s="157"/>
      <c r="H35" s="157"/>
      <c r="I35" s="157"/>
      <c r="J35" s="157"/>
      <c r="K35" s="157"/>
      <c r="L35" s="157">
        <v>1</v>
      </c>
      <c r="M35" s="157"/>
      <c r="N35" s="157"/>
      <c r="O35" s="157"/>
      <c r="P35" s="157"/>
      <c r="Q35" s="157"/>
      <c r="R35" s="157">
        <v>1</v>
      </c>
      <c r="S35" s="157"/>
      <c r="T35" s="157"/>
      <c r="U35" s="157"/>
      <c r="V35" s="157"/>
      <c r="W35" s="157"/>
      <c r="X35" s="157"/>
      <c r="Y35" s="157">
        <f t="shared" si="0"/>
        <v>2</v>
      </c>
    </row>
    <row r="36" spans="1:25" x14ac:dyDescent="0.35">
      <c r="A36" s="157" t="s">
        <v>377</v>
      </c>
      <c r="B36" s="157" t="s">
        <v>378</v>
      </c>
      <c r="C36" s="157"/>
      <c r="D36" s="157">
        <v>1</v>
      </c>
      <c r="E36" s="157">
        <v>2</v>
      </c>
      <c r="F36" s="157">
        <v>3</v>
      </c>
      <c r="G36" s="157"/>
      <c r="H36" s="157"/>
      <c r="I36" s="157">
        <v>4</v>
      </c>
      <c r="J36" s="157"/>
      <c r="K36" s="157"/>
      <c r="L36" s="157">
        <v>9</v>
      </c>
      <c r="M36" s="157">
        <v>3</v>
      </c>
      <c r="N36" s="157"/>
      <c r="O36" s="157"/>
      <c r="P36" s="157"/>
      <c r="Q36" s="157">
        <v>2</v>
      </c>
      <c r="R36" s="157"/>
      <c r="S36" s="157"/>
      <c r="T36" s="157"/>
      <c r="U36" s="157"/>
      <c r="V36" s="157">
        <v>1</v>
      </c>
      <c r="W36" s="157"/>
      <c r="X36" s="157"/>
      <c r="Y36" s="157">
        <f t="shared" si="0"/>
        <v>25</v>
      </c>
    </row>
    <row r="37" spans="1:25" x14ac:dyDescent="0.35">
      <c r="A37" s="157" t="s">
        <v>379</v>
      </c>
      <c r="B37" s="157" t="s">
        <v>380</v>
      </c>
      <c r="C37" s="157"/>
      <c r="D37" s="157"/>
      <c r="E37" s="157"/>
      <c r="F37" s="157">
        <v>1</v>
      </c>
      <c r="G37" s="157">
        <v>1</v>
      </c>
      <c r="H37" s="157"/>
      <c r="I37" s="157">
        <v>4</v>
      </c>
      <c r="J37" s="157"/>
      <c r="K37" s="157">
        <v>2</v>
      </c>
      <c r="L37" s="157">
        <v>3</v>
      </c>
      <c r="M37" s="157"/>
      <c r="N37" s="157">
        <v>1</v>
      </c>
      <c r="O37" s="157"/>
      <c r="P37" s="157">
        <v>1</v>
      </c>
      <c r="Q37" s="157"/>
      <c r="R37" s="157"/>
      <c r="S37" s="157"/>
      <c r="T37" s="157"/>
      <c r="U37" s="157"/>
      <c r="V37" s="157"/>
      <c r="W37" s="157"/>
      <c r="X37" s="157"/>
      <c r="Y37" s="157">
        <f t="shared" si="0"/>
        <v>13</v>
      </c>
    </row>
    <row r="38" spans="1:25" x14ac:dyDescent="0.35">
      <c r="A38" s="157" t="s">
        <v>1196</v>
      </c>
      <c r="B38" s="157" t="s">
        <v>1205</v>
      </c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>
        <v>1</v>
      </c>
      <c r="T38" s="157"/>
      <c r="U38" s="157"/>
      <c r="V38" s="157"/>
      <c r="W38" s="157"/>
      <c r="X38" s="157"/>
      <c r="Y38" s="157">
        <f t="shared" si="0"/>
        <v>1</v>
      </c>
    </row>
    <row r="39" spans="1:25" x14ac:dyDescent="0.35">
      <c r="A39" s="157" t="s">
        <v>381</v>
      </c>
      <c r="B39" s="157" t="s">
        <v>382</v>
      </c>
      <c r="C39" s="157"/>
      <c r="D39" s="157"/>
      <c r="E39" s="157"/>
      <c r="F39" s="157"/>
      <c r="G39" s="157"/>
      <c r="H39" s="157"/>
      <c r="I39" s="157">
        <v>1</v>
      </c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>
        <f t="shared" si="0"/>
        <v>1</v>
      </c>
    </row>
    <row r="40" spans="1:25" x14ac:dyDescent="0.35">
      <c r="A40" s="157" t="s">
        <v>383</v>
      </c>
      <c r="B40" s="157" t="s">
        <v>384</v>
      </c>
      <c r="C40" s="157">
        <v>1</v>
      </c>
      <c r="D40" s="157">
        <v>3</v>
      </c>
      <c r="E40" s="157">
        <v>13</v>
      </c>
      <c r="F40" s="157">
        <v>3</v>
      </c>
      <c r="G40" s="157">
        <v>3</v>
      </c>
      <c r="H40" s="157">
        <v>3</v>
      </c>
      <c r="I40" s="157">
        <v>75</v>
      </c>
      <c r="J40" s="157">
        <v>7</v>
      </c>
      <c r="K40" s="157">
        <v>6</v>
      </c>
      <c r="L40" s="157">
        <v>29</v>
      </c>
      <c r="M40" s="157">
        <v>18</v>
      </c>
      <c r="N40" s="157">
        <v>1</v>
      </c>
      <c r="O40" s="157"/>
      <c r="P40" s="157">
        <v>2</v>
      </c>
      <c r="Q40" s="157"/>
      <c r="R40" s="157">
        <v>1</v>
      </c>
      <c r="S40" s="157">
        <v>1</v>
      </c>
      <c r="T40" s="157">
        <v>1</v>
      </c>
      <c r="U40" s="157"/>
      <c r="V40" s="157">
        <v>1</v>
      </c>
      <c r="W40" s="157"/>
      <c r="X40" s="157">
        <v>1</v>
      </c>
      <c r="Y40" s="157">
        <f t="shared" si="0"/>
        <v>169</v>
      </c>
    </row>
    <row r="41" spans="1:25" x14ac:dyDescent="0.35">
      <c r="A41" s="157" t="s">
        <v>385</v>
      </c>
      <c r="B41" s="157" t="s">
        <v>386</v>
      </c>
      <c r="C41" s="157">
        <v>1</v>
      </c>
      <c r="D41" s="157"/>
      <c r="E41" s="157">
        <v>1</v>
      </c>
      <c r="F41" s="157"/>
      <c r="G41" s="157"/>
      <c r="H41" s="157"/>
      <c r="I41" s="157">
        <v>4</v>
      </c>
      <c r="J41" s="157"/>
      <c r="K41" s="157"/>
      <c r="L41" s="157">
        <v>1</v>
      </c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>
        <f t="shared" si="0"/>
        <v>7</v>
      </c>
    </row>
    <row r="42" spans="1:25" x14ac:dyDescent="0.35">
      <c r="A42" s="157" t="s">
        <v>387</v>
      </c>
      <c r="B42" s="157" t="s">
        <v>388</v>
      </c>
      <c r="C42" s="157">
        <v>3</v>
      </c>
      <c r="D42" s="157">
        <v>2</v>
      </c>
      <c r="E42" s="157">
        <v>3</v>
      </c>
      <c r="F42" s="157">
        <v>2</v>
      </c>
      <c r="G42" s="157">
        <v>1</v>
      </c>
      <c r="H42" s="157"/>
      <c r="I42" s="157">
        <v>24</v>
      </c>
      <c r="J42" s="157">
        <v>1</v>
      </c>
      <c r="K42" s="157">
        <v>2</v>
      </c>
      <c r="L42" s="157">
        <v>8</v>
      </c>
      <c r="M42" s="157">
        <v>6</v>
      </c>
      <c r="N42" s="157"/>
      <c r="O42" s="157"/>
      <c r="P42" s="157"/>
      <c r="Q42" s="157">
        <v>1</v>
      </c>
      <c r="R42" s="157"/>
      <c r="S42" s="157">
        <v>1</v>
      </c>
      <c r="T42" s="157">
        <v>2</v>
      </c>
      <c r="U42" s="157"/>
      <c r="V42" s="157">
        <v>1</v>
      </c>
      <c r="W42" s="157">
        <v>1</v>
      </c>
      <c r="X42" s="157">
        <v>3</v>
      </c>
      <c r="Y42" s="157">
        <f t="shared" si="0"/>
        <v>61</v>
      </c>
    </row>
    <row r="43" spans="1:25" x14ac:dyDescent="0.35">
      <c r="A43" s="157" t="s">
        <v>389</v>
      </c>
      <c r="B43" s="157" t="s">
        <v>390</v>
      </c>
      <c r="C43" s="157"/>
      <c r="D43" s="157"/>
      <c r="E43" s="157">
        <v>1</v>
      </c>
      <c r="F43" s="157"/>
      <c r="G43" s="157"/>
      <c r="H43" s="157"/>
      <c r="I43" s="157">
        <v>2</v>
      </c>
      <c r="J43" s="157"/>
      <c r="K43" s="157"/>
      <c r="L43" s="157">
        <v>1</v>
      </c>
      <c r="M43" s="157">
        <v>1</v>
      </c>
      <c r="N43" s="157"/>
      <c r="O43" s="157"/>
      <c r="P43" s="157"/>
      <c r="Q43" s="157"/>
      <c r="R43" s="157"/>
      <c r="S43" s="157"/>
      <c r="T43" s="157">
        <v>1</v>
      </c>
      <c r="U43" s="157"/>
      <c r="V43" s="157">
        <v>2</v>
      </c>
      <c r="W43" s="157"/>
      <c r="X43" s="157"/>
      <c r="Y43" s="157">
        <f t="shared" si="0"/>
        <v>8</v>
      </c>
    </row>
    <row r="44" spans="1:25" x14ac:dyDescent="0.35">
      <c r="A44" s="157" t="s">
        <v>391</v>
      </c>
      <c r="B44" s="157" t="s">
        <v>392</v>
      </c>
      <c r="C44" s="157"/>
      <c r="D44" s="157"/>
      <c r="E44" s="157"/>
      <c r="F44" s="157"/>
      <c r="G44" s="157"/>
      <c r="H44" s="157"/>
      <c r="I44" s="157">
        <v>6</v>
      </c>
      <c r="J44" s="157">
        <v>1</v>
      </c>
      <c r="K44" s="157"/>
      <c r="L44" s="157">
        <v>1</v>
      </c>
      <c r="M44" s="157"/>
      <c r="N44" s="157">
        <v>1</v>
      </c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>
        <f t="shared" si="0"/>
        <v>9</v>
      </c>
    </row>
    <row r="45" spans="1:25" x14ac:dyDescent="0.35">
      <c r="A45" s="157" t="s">
        <v>393</v>
      </c>
      <c r="B45" s="157" t="s">
        <v>394</v>
      </c>
      <c r="C45" s="157"/>
      <c r="D45" s="157"/>
      <c r="E45" s="157"/>
      <c r="F45" s="157"/>
      <c r="G45" s="157"/>
      <c r="H45" s="157"/>
      <c r="I45" s="157">
        <v>1</v>
      </c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>
        <v>1</v>
      </c>
      <c r="X45" s="157"/>
      <c r="Y45" s="157">
        <f t="shared" si="0"/>
        <v>2</v>
      </c>
    </row>
    <row r="46" spans="1:25" x14ac:dyDescent="0.35">
      <c r="A46" s="157" t="s">
        <v>1197</v>
      </c>
      <c r="B46" s="157" t="s">
        <v>1206</v>
      </c>
      <c r="C46" s="157"/>
      <c r="D46" s="157"/>
      <c r="E46" s="157"/>
      <c r="F46" s="157"/>
      <c r="G46" s="157"/>
      <c r="H46" s="157"/>
      <c r="I46" s="157">
        <v>1</v>
      </c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>
        <f t="shared" si="0"/>
        <v>1</v>
      </c>
    </row>
    <row r="47" spans="1:25" x14ac:dyDescent="0.35">
      <c r="A47" s="157" t="s">
        <v>395</v>
      </c>
      <c r="B47" s="157" t="s">
        <v>396</v>
      </c>
      <c r="C47" s="157"/>
      <c r="D47" s="157"/>
      <c r="E47" s="157"/>
      <c r="F47" s="157"/>
      <c r="G47" s="157"/>
      <c r="H47" s="157">
        <v>1</v>
      </c>
      <c r="I47" s="157">
        <v>2</v>
      </c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>
        <f t="shared" si="0"/>
        <v>3</v>
      </c>
    </row>
    <row r="48" spans="1:25" x14ac:dyDescent="0.35">
      <c r="A48" s="157" t="s">
        <v>397</v>
      </c>
      <c r="B48" s="157" t="s">
        <v>398</v>
      </c>
      <c r="C48" s="157"/>
      <c r="D48" s="157"/>
      <c r="E48" s="157"/>
      <c r="F48" s="157">
        <v>1</v>
      </c>
      <c r="G48" s="157"/>
      <c r="H48" s="157"/>
      <c r="I48" s="157"/>
      <c r="J48" s="157"/>
      <c r="K48" s="157"/>
      <c r="L48" s="157"/>
      <c r="M48" s="157">
        <v>1</v>
      </c>
      <c r="N48" s="157"/>
      <c r="O48" s="157"/>
      <c r="P48" s="157"/>
      <c r="Q48" s="157">
        <v>1</v>
      </c>
      <c r="R48" s="157"/>
      <c r="S48" s="157"/>
      <c r="T48" s="157"/>
      <c r="U48" s="157"/>
      <c r="V48" s="157"/>
      <c r="W48" s="157"/>
      <c r="X48" s="157"/>
      <c r="Y48" s="157">
        <f t="shared" si="0"/>
        <v>3</v>
      </c>
    </row>
    <row r="49" spans="1:25" x14ac:dyDescent="0.35">
      <c r="A49" s="157" t="s">
        <v>399</v>
      </c>
      <c r="B49" s="157" t="s">
        <v>400</v>
      </c>
      <c r="C49" s="157"/>
      <c r="D49" s="157"/>
      <c r="E49" s="157">
        <v>4</v>
      </c>
      <c r="F49" s="157">
        <v>1</v>
      </c>
      <c r="G49" s="157">
        <v>1</v>
      </c>
      <c r="H49" s="157"/>
      <c r="I49" s="157">
        <v>30</v>
      </c>
      <c r="J49" s="157">
        <v>2</v>
      </c>
      <c r="K49" s="157">
        <v>5</v>
      </c>
      <c r="L49" s="157">
        <v>11</v>
      </c>
      <c r="M49" s="157">
        <v>7</v>
      </c>
      <c r="N49" s="157">
        <v>1</v>
      </c>
      <c r="O49" s="157"/>
      <c r="P49" s="157"/>
      <c r="Q49" s="157">
        <v>3</v>
      </c>
      <c r="R49" s="157">
        <v>1</v>
      </c>
      <c r="S49" s="157"/>
      <c r="T49" s="157">
        <v>1</v>
      </c>
      <c r="U49" s="157"/>
      <c r="V49" s="157"/>
      <c r="W49" s="157"/>
      <c r="X49" s="157"/>
      <c r="Y49" s="157">
        <f t="shared" si="0"/>
        <v>67</v>
      </c>
    </row>
    <row r="50" spans="1:25" x14ac:dyDescent="0.35">
      <c r="A50" s="157" t="s">
        <v>401</v>
      </c>
      <c r="B50" s="157" t="s">
        <v>402</v>
      </c>
      <c r="C50" s="157">
        <v>1</v>
      </c>
      <c r="D50" s="157">
        <v>21</v>
      </c>
      <c r="E50" s="157">
        <v>18</v>
      </c>
      <c r="F50" s="157">
        <v>12</v>
      </c>
      <c r="G50" s="157">
        <v>29</v>
      </c>
      <c r="H50" s="157">
        <v>8</v>
      </c>
      <c r="I50" s="157">
        <v>17</v>
      </c>
      <c r="J50" s="157">
        <v>20</v>
      </c>
      <c r="K50" s="157">
        <v>11</v>
      </c>
      <c r="L50" s="157">
        <v>34</v>
      </c>
      <c r="M50" s="157">
        <v>16</v>
      </c>
      <c r="N50" s="157">
        <v>5</v>
      </c>
      <c r="O50" s="157">
        <v>1</v>
      </c>
      <c r="P50" s="157">
        <v>4</v>
      </c>
      <c r="Q50" s="157">
        <v>11</v>
      </c>
      <c r="R50" s="157">
        <v>3</v>
      </c>
      <c r="S50" s="157">
        <v>5</v>
      </c>
      <c r="T50" s="157">
        <v>7</v>
      </c>
      <c r="U50" s="157">
        <v>4</v>
      </c>
      <c r="V50" s="157"/>
      <c r="W50" s="157">
        <v>7</v>
      </c>
      <c r="X50" s="157"/>
      <c r="Y50" s="157">
        <f t="shared" si="0"/>
        <v>234</v>
      </c>
    </row>
    <row r="51" spans="1:25" x14ac:dyDescent="0.35">
      <c r="A51" s="157" t="s">
        <v>403</v>
      </c>
      <c r="B51" s="157" t="s">
        <v>404</v>
      </c>
      <c r="C51" s="157"/>
      <c r="D51" s="157"/>
      <c r="E51" s="157">
        <v>1</v>
      </c>
      <c r="F51" s="157">
        <v>1</v>
      </c>
      <c r="G51" s="157">
        <v>1</v>
      </c>
      <c r="H51" s="157"/>
      <c r="I51" s="157">
        <v>2</v>
      </c>
      <c r="J51" s="157">
        <v>1</v>
      </c>
      <c r="K51" s="157"/>
      <c r="L51" s="157">
        <v>4</v>
      </c>
      <c r="M51" s="157">
        <v>2</v>
      </c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>
        <f t="shared" si="0"/>
        <v>12</v>
      </c>
    </row>
    <row r="52" spans="1:25" x14ac:dyDescent="0.35">
      <c r="A52" s="157" t="s">
        <v>405</v>
      </c>
      <c r="B52" s="157" t="s">
        <v>406</v>
      </c>
      <c r="C52" s="157">
        <v>2</v>
      </c>
      <c r="D52" s="157">
        <v>6</v>
      </c>
      <c r="E52" s="157">
        <v>24</v>
      </c>
      <c r="F52" s="157">
        <v>14</v>
      </c>
      <c r="G52" s="157">
        <v>9</v>
      </c>
      <c r="H52" s="157">
        <v>6</v>
      </c>
      <c r="I52" s="157">
        <v>25</v>
      </c>
      <c r="J52" s="157">
        <v>13</v>
      </c>
      <c r="K52" s="157">
        <v>14</v>
      </c>
      <c r="L52" s="157">
        <v>19</v>
      </c>
      <c r="M52" s="157">
        <v>15</v>
      </c>
      <c r="N52" s="157">
        <v>6</v>
      </c>
      <c r="O52" s="157"/>
      <c r="P52" s="157">
        <v>2</v>
      </c>
      <c r="Q52" s="157">
        <v>7</v>
      </c>
      <c r="R52" s="157">
        <v>9</v>
      </c>
      <c r="S52" s="157">
        <v>7</v>
      </c>
      <c r="T52" s="157">
        <v>7</v>
      </c>
      <c r="U52" s="157">
        <v>2</v>
      </c>
      <c r="V52" s="157">
        <v>1</v>
      </c>
      <c r="W52" s="157">
        <v>10</v>
      </c>
      <c r="X52" s="157">
        <v>1</v>
      </c>
      <c r="Y52" s="157">
        <f t="shared" si="0"/>
        <v>199</v>
      </c>
    </row>
    <row r="53" spans="1:25" x14ac:dyDescent="0.35">
      <c r="A53" s="157" t="s">
        <v>1357</v>
      </c>
      <c r="B53" s="157" t="s">
        <v>1358</v>
      </c>
      <c r="C53" s="157"/>
      <c r="D53" s="157"/>
      <c r="E53" s="157">
        <v>1</v>
      </c>
      <c r="F53" s="157"/>
      <c r="G53" s="157"/>
      <c r="H53" s="157"/>
      <c r="I53" s="157">
        <v>1</v>
      </c>
      <c r="J53" s="157">
        <v>1</v>
      </c>
      <c r="K53" s="157"/>
      <c r="L53" s="157">
        <v>1</v>
      </c>
      <c r="M53" s="157">
        <v>2</v>
      </c>
      <c r="N53" s="157">
        <v>1</v>
      </c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>
        <f t="shared" si="0"/>
        <v>7</v>
      </c>
    </row>
    <row r="54" spans="1:25" x14ac:dyDescent="0.35">
      <c r="A54" s="157" t="s">
        <v>1359</v>
      </c>
      <c r="B54" s="157" t="s">
        <v>1360</v>
      </c>
      <c r="C54" s="157"/>
      <c r="D54" s="157"/>
      <c r="E54" s="157"/>
      <c r="F54" s="157"/>
      <c r="G54" s="157"/>
      <c r="H54" s="157"/>
      <c r="I54" s="157">
        <v>2</v>
      </c>
      <c r="J54" s="157">
        <v>2</v>
      </c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>
        <f t="shared" si="0"/>
        <v>4</v>
      </c>
    </row>
    <row r="55" spans="1:25" x14ac:dyDescent="0.35">
      <c r="A55" s="157" t="s">
        <v>1361</v>
      </c>
      <c r="B55" s="157" t="s">
        <v>1362</v>
      </c>
      <c r="C55" s="157"/>
      <c r="D55" s="157"/>
      <c r="E55" s="157"/>
      <c r="F55" s="157"/>
      <c r="G55" s="157"/>
      <c r="H55" s="157"/>
      <c r="I55" s="157"/>
      <c r="J55" s="157">
        <v>1</v>
      </c>
      <c r="K55" s="157"/>
      <c r="L55" s="157"/>
      <c r="M55" s="157"/>
      <c r="N55" s="157"/>
      <c r="O55" s="157"/>
      <c r="P55" s="157"/>
      <c r="Q55" s="157"/>
      <c r="R55" s="157">
        <v>1</v>
      </c>
      <c r="S55" s="157"/>
      <c r="T55" s="157"/>
      <c r="U55" s="157"/>
      <c r="V55" s="157"/>
      <c r="W55" s="157"/>
      <c r="X55" s="157"/>
      <c r="Y55" s="157">
        <f t="shared" si="0"/>
        <v>2</v>
      </c>
    </row>
    <row r="56" spans="1:25" x14ac:dyDescent="0.35">
      <c r="A56" s="157" t="s">
        <v>407</v>
      </c>
      <c r="B56" s="157" t="s">
        <v>408</v>
      </c>
      <c r="C56" s="157">
        <v>1</v>
      </c>
      <c r="D56" s="157">
        <v>3</v>
      </c>
      <c r="E56" s="157">
        <v>10</v>
      </c>
      <c r="F56" s="157">
        <v>3</v>
      </c>
      <c r="G56" s="157">
        <v>7</v>
      </c>
      <c r="H56" s="157"/>
      <c r="I56" s="157">
        <v>15</v>
      </c>
      <c r="J56" s="157">
        <v>6</v>
      </c>
      <c r="K56" s="157">
        <v>3</v>
      </c>
      <c r="L56" s="157">
        <v>9</v>
      </c>
      <c r="M56" s="157">
        <v>8</v>
      </c>
      <c r="N56" s="157">
        <v>1</v>
      </c>
      <c r="O56" s="157"/>
      <c r="P56" s="157">
        <v>1</v>
      </c>
      <c r="Q56" s="157">
        <v>7</v>
      </c>
      <c r="R56" s="157">
        <v>2</v>
      </c>
      <c r="S56" s="157"/>
      <c r="T56" s="157">
        <v>3</v>
      </c>
      <c r="U56" s="157">
        <v>2</v>
      </c>
      <c r="V56" s="157">
        <v>3</v>
      </c>
      <c r="W56" s="157">
        <v>3</v>
      </c>
      <c r="X56" s="157"/>
      <c r="Y56" s="157">
        <f t="shared" si="0"/>
        <v>87</v>
      </c>
    </row>
    <row r="57" spans="1:25" x14ac:dyDescent="0.35">
      <c r="A57" s="157" t="s">
        <v>409</v>
      </c>
      <c r="B57" s="157" t="s">
        <v>410</v>
      </c>
      <c r="C57" s="157">
        <v>3</v>
      </c>
      <c r="D57" s="157">
        <v>9</v>
      </c>
      <c r="E57" s="157">
        <v>9</v>
      </c>
      <c r="F57" s="157">
        <v>4</v>
      </c>
      <c r="G57" s="157">
        <v>7</v>
      </c>
      <c r="H57" s="157">
        <v>11</v>
      </c>
      <c r="I57" s="157">
        <v>5</v>
      </c>
      <c r="J57" s="157">
        <v>3</v>
      </c>
      <c r="K57" s="157">
        <v>2</v>
      </c>
      <c r="L57" s="157">
        <v>6</v>
      </c>
      <c r="M57" s="157">
        <v>3</v>
      </c>
      <c r="N57" s="157">
        <v>8</v>
      </c>
      <c r="O57" s="157">
        <v>3</v>
      </c>
      <c r="P57" s="157">
        <v>3</v>
      </c>
      <c r="Q57" s="157">
        <v>5</v>
      </c>
      <c r="R57" s="157">
        <v>5</v>
      </c>
      <c r="S57" s="157">
        <v>5</v>
      </c>
      <c r="T57" s="157">
        <v>1</v>
      </c>
      <c r="U57" s="157">
        <v>3</v>
      </c>
      <c r="V57" s="157"/>
      <c r="W57" s="157">
        <v>3</v>
      </c>
      <c r="X57" s="157"/>
      <c r="Y57" s="157">
        <f t="shared" si="0"/>
        <v>98</v>
      </c>
    </row>
    <row r="58" spans="1:25" x14ac:dyDescent="0.35">
      <c r="A58" s="157" t="s">
        <v>411</v>
      </c>
      <c r="B58" s="157" t="s">
        <v>412</v>
      </c>
      <c r="C58" s="157"/>
      <c r="D58" s="157">
        <v>1</v>
      </c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>
        <f t="shared" si="0"/>
        <v>1</v>
      </c>
    </row>
    <row r="59" spans="1:25" x14ac:dyDescent="0.35">
      <c r="A59" s="157" t="s">
        <v>413</v>
      </c>
      <c r="B59" s="157" t="s">
        <v>414</v>
      </c>
      <c r="C59" s="157"/>
      <c r="D59" s="157"/>
      <c r="E59" s="157"/>
      <c r="F59" s="157">
        <v>1</v>
      </c>
      <c r="G59" s="157"/>
      <c r="H59" s="157"/>
      <c r="I59" s="157">
        <v>1</v>
      </c>
      <c r="J59" s="157">
        <v>2</v>
      </c>
      <c r="K59" s="157"/>
      <c r="L59" s="157">
        <v>2</v>
      </c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>
        <f t="shared" si="0"/>
        <v>6</v>
      </c>
    </row>
    <row r="60" spans="1:25" x14ac:dyDescent="0.35">
      <c r="A60" s="157" t="s">
        <v>415</v>
      </c>
      <c r="B60" s="157" t="s">
        <v>416</v>
      </c>
      <c r="C60" s="157"/>
      <c r="D60" s="157">
        <v>1</v>
      </c>
      <c r="E60" s="157">
        <v>2</v>
      </c>
      <c r="F60" s="157">
        <v>3</v>
      </c>
      <c r="G60" s="157">
        <v>4</v>
      </c>
      <c r="H60" s="157"/>
      <c r="I60" s="157">
        <v>5</v>
      </c>
      <c r="J60" s="157">
        <v>4</v>
      </c>
      <c r="K60" s="157">
        <v>3</v>
      </c>
      <c r="L60" s="157">
        <v>2</v>
      </c>
      <c r="M60" s="157">
        <v>8</v>
      </c>
      <c r="N60" s="157"/>
      <c r="O60" s="157"/>
      <c r="P60" s="157"/>
      <c r="Q60" s="157">
        <v>3</v>
      </c>
      <c r="R60" s="157"/>
      <c r="S60" s="157">
        <v>1</v>
      </c>
      <c r="T60" s="157"/>
      <c r="U60" s="157"/>
      <c r="V60" s="157">
        <v>1</v>
      </c>
      <c r="W60" s="157">
        <v>1</v>
      </c>
      <c r="X60" s="157"/>
      <c r="Y60" s="157">
        <f t="shared" si="0"/>
        <v>38</v>
      </c>
    </row>
    <row r="61" spans="1:25" x14ac:dyDescent="0.35">
      <c r="A61" s="157" t="s">
        <v>417</v>
      </c>
      <c r="B61" s="157" t="s">
        <v>418</v>
      </c>
      <c r="C61" s="157"/>
      <c r="D61" s="157">
        <v>2</v>
      </c>
      <c r="E61" s="157">
        <v>3</v>
      </c>
      <c r="F61" s="157">
        <v>1</v>
      </c>
      <c r="G61" s="157">
        <v>2</v>
      </c>
      <c r="H61" s="157"/>
      <c r="I61" s="157">
        <v>8</v>
      </c>
      <c r="J61" s="157">
        <v>2</v>
      </c>
      <c r="K61" s="157">
        <v>1</v>
      </c>
      <c r="L61" s="157">
        <v>5</v>
      </c>
      <c r="M61" s="157">
        <v>2</v>
      </c>
      <c r="N61" s="157"/>
      <c r="O61" s="157"/>
      <c r="P61" s="157"/>
      <c r="Q61" s="157">
        <v>1</v>
      </c>
      <c r="R61" s="157">
        <v>1</v>
      </c>
      <c r="S61" s="157"/>
      <c r="T61" s="157"/>
      <c r="U61" s="157"/>
      <c r="V61" s="157">
        <v>1</v>
      </c>
      <c r="W61" s="157"/>
      <c r="X61" s="157"/>
      <c r="Y61" s="157">
        <f t="shared" si="0"/>
        <v>29</v>
      </c>
    </row>
    <row r="62" spans="1:25" x14ac:dyDescent="0.35">
      <c r="A62" s="157" t="s">
        <v>419</v>
      </c>
      <c r="B62" s="157" t="s">
        <v>420</v>
      </c>
      <c r="C62" s="157"/>
      <c r="D62" s="157"/>
      <c r="E62" s="157"/>
      <c r="F62" s="157"/>
      <c r="G62" s="157"/>
      <c r="H62" s="157"/>
      <c r="I62" s="157">
        <v>1</v>
      </c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>
        <f t="shared" si="0"/>
        <v>1</v>
      </c>
    </row>
    <row r="63" spans="1:25" x14ac:dyDescent="0.35">
      <c r="A63" s="157" t="s">
        <v>421</v>
      </c>
      <c r="B63" s="157" t="s">
        <v>422</v>
      </c>
      <c r="C63" s="157"/>
      <c r="D63" s="157"/>
      <c r="E63" s="157">
        <v>1</v>
      </c>
      <c r="F63" s="157"/>
      <c r="G63" s="157"/>
      <c r="H63" s="157"/>
      <c r="I63" s="157">
        <v>2</v>
      </c>
      <c r="J63" s="157"/>
      <c r="K63" s="157">
        <v>1</v>
      </c>
      <c r="L63" s="157">
        <v>4</v>
      </c>
      <c r="M63" s="157">
        <v>6</v>
      </c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>
        <f t="shared" si="0"/>
        <v>14</v>
      </c>
    </row>
    <row r="64" spans="1:25" x14ac:dyDescent="0.35">
      <c r="A64" s="157" t="s">
        <v>423</v>
      </c>
      <c r="B64" s="157" t="s">
        <v>424</v>
      </c>
      <c r="C64" s="157">
        <v>16</v>
      </c>
      <c r="D64" s="157">
        <v>95</v>
      </c>
      <c r="E64" s="157">
        <v>141</v>
      </c>
      <c r="F64" s="157">
        <v>74</v>
      </c>
      <c r="G64" s="157">
        <v>71</v>
      </c>
      <c r="H64" s="157">
        <v>64</v>
      </c>
      <c r="I64" s="157">
        <v>101</v>
      </c>
      <c r="J64" s="157">
        <v>72</v>
      </c>
      <c r="K64" s="157">
        <v>72</v>
      </c>
      <c r="L64" s="157">
        <v>207</v>
      </c>
      <c r="M64" s="157">
        <v>134</v>
      </c>
      <c r="N64" s="157">
        <v>46</v>
      </c>
      <c r="O64" s="157"/>
      <c r="P64" s="157">
        <v>37</v>
      </c>
      <c r="Q64" s="157">
        <v>65</v>
      </c>
      <c r="R64" s="157">
        <v>23</v>
      </c>
      <c r="S64" s="157">
        <v>23</v>
      </c>
      <c r="T64" s="157">
        <v>53</v>
      </c>
      <c r="U64" s="157">
        <v>44</v>
      </c>
      <c r="V64" s="157">
        <v>13</v>
      </c>
      <c r="W64" s="157">
        <v>46</v>
      </c>
      <c r="X64" s="157">
        <v>5</v>
      </c>
      <c r="Y64" s="157">
        <f t="shared" si="0"/>
        <v>1402</v>
      </c>
    </row>
    <row r="65" spans="1:25" x14ac:dyDescent="0.35">
      <c r="A65" s="157" t="s">
        <v>425</v>
      </c>
      <c r="B65" s="157" t="s">
        <v>426</v>
      </c>
      <c r="C65" s="157"/>
      <c r="D65" s="157">
        <v>3</v>
      </c>
      <c r="E65" s="157">
        <v>11</v>
      </c>
      <c r="F65" s="157">
        <v>9</v>
      </c>
      <c r="G65" s="157"/>
      <c r="H65" s="157">
        <v>1</v>
      </c>
      <c r="I65" s="157">
        <v>8</v>
      </c>
      <c r="J65" s="157">
        <v>6</v>
      </c>
      <c r="K65" s="157">
        <v>1</v>
      </c>
      <c r="L65" s="157">
        <v>2</v>
      </c>
      <c r="M65" s="157">
        <v>5</v>
      </c>
      <c r="N65" s="157"/>
      <c r="O65" s="157"/>
      <c r="P65" s="157"/>
      <c r="Q65" s="157">
        <v>6</v>
      </c>
      <c r="R65" s="157"/>
      <c r="S65" s="157">
        <v>2</v>
      </c>
      <c r="T65" s="157">
        <v>2</v>
      </c>
      <c r="U65" s="157">
        <v>1</v>
      </c>
      <c r="V65" s="157">
        <v>1</v>
      </c>
      <c r="W65" s="157">
        <v>1</v>
      </c>
      <c r="X65" s="157"/>
      <c r="Y65" s="157">
        <f t="shared" si="0"/>
        <v>59</v>
      </c>
    </row>
    <row r="66" spans="1:25" x14ac:dyDescent="0.35">
      <c r="A66" s="157" t="s">
        <v>427</v>
      </c>
      <c r="B66" s="157" t="s">
        <v>428</v>
      </c>
      <c r="C66" s="157"/>
      <c r="D66" s="157"/>
      <c r="E66" s="157"/>
      <c r="F66" s="157"/>
      <c r="G66" s="157"/>
      <c r="H66" s="157"/>
      <c r="I66" s="157"/>
      <c r="J66" s="157">
        <v>1</v>
      </c>
      <c r="K66" s="157"/>
      <c r="L66" s="157">
        <v>1</v>
      </c>
      <c r="M66" s="157">
        <v>2</v>
      </c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>
        <f t="shared" si="0"/>
        <v>4</v>
      </c>
    </row>
    <row r="67" spans="1:25" x14ac:dyDescent="0.35">
      <c r="A67" s="157" t="s">
        <v>429</v>
      </c>
      <c r="B67" s="157" t="s">
        <v>430</v>
      </c>
      <c r="C67" s="157">
        <v>5</v>
      </c>
      <c r="D67" s="157">
        <v>24</v>
      </c>
      <c r="E67" s="157">
        <v>57</v>
      </c>
      <c r="F67" s="157">
        <v>16</v>
      </c>
      <c r="G67" s="157">
        <v>16</v>
      </c>
      <c r="H67" s="157">
        <v>13</v>
      </c>
      <c r="I67" s="157">
        <v>92</v>
      </c>
      <c r="J67" s="157">
        <v>29</v>
      </c>
      <c r="K67" s="157">
        <v>33</v>
      </c>
      <c r="L67" s="157">
        <v>81</v>
      </c>
      <c r="M67" s="157">
        <v>47</v>
      </c>
      <c r="N67" s="157">
        <v>9</v>
      </c>
      <c r="O67" s="157"/>
      <c r="P67" s="157">
        <v>7</v>
      </c>
      <c r="Q67" s="157">
        <v>27</v>
      </c>
      <c r="R67" s="157">
        <v>7</v>
      </c>
      <c r="S67" s="157">
        <v>9</v>
      </c>
      <c r="T67" s="157">
        <v>13</v>
      </c>
      <c r="U67" s="157">
        <v>13</v>
      </c>
      <c r="V67" s="157">
        <v>4</v>
      </c>
      <c r="W67" s="157">
        <v>18</v>
      </c>
      <c r="X67" s="157">
        <v>3</v>
      </c>
      <c r="Y67" s="157">
        <f t="shared" si="0"/>
        <v>523</v>
      </c>
    </row>
    <row r="68" spans="1:25" x14ac:dyDescent="0.35">
      <c r="A68" s="157" t="s">
        <v>431</v>
      </c>
      <c r="B68" s="157" t="s">
        <v>432</v>
      </c>
      <c r="C68" s="157">
        <v>8</v>
      </c>
      <c r="D68" s="157">
        <v>27</v>
      </c>
      <c r="E68" s="157">
        <v>55</v>
      </c>
      <c r="F68" s="157">
        <v>25</v>
      </c>
      <c r="G68" s="157">
        <v>19</v>
      </c>
      <c r="H68" s="157">
        <v>18</v>
      </c>
      <c r="I68" s="157">
        <v>66</v>
      </c>
      <c r="J68" s="157">
        <v>49</v>
      </c>
      <c r="K68" s="157">
        <v>24</v>
      </c>
      <c r="L68" s="157">
        <v>45</v>
      </c>
      <c r="M68" s="157">
        <v>40</v>
      </c>
      <c r="N68" s="157">
        <v>10</v>
      </c>
      <c r="O68" s="157"/>
      <c r="P68" s="157">
        <v>8</v>
      </c>
      <c r="Q68" s="157">
        <v>20</v>
      </c>
      <c r="R68" s="157">
        <v>9</v>
      </c>
      <c r="S68" s="157">
        <v>10</v>
      </c>
      <c r="T68" s="157">
        <v>17</v>
      </c>
      <c r="U68" s="157">
        <v>7</v>
      </c>
      <c r="V68" s="157">
        <v>4</v>
      </c>
      <c r="W68" s="157">
        <v>21</v>
      </c>
      <c r="X68" s="157"/>
      <c r="Y68" s="157">
        <f t="shared" si="0"/>
        <v>482</v>
      </c>
    </row>
    <row r="69" spans="1:25" x14ac:dyDescent="0.35">
      <c r="A69" s="157" t="s">
        <v>433</v>
      </c>
      <c r="B69" s="157" t="s">
        <v>434</v>
      </c>
      <c r="C69" s="157"/>
      <c r="D69" s="157">
        <v>1</v>
      </c>
      <c r="E69" s="157">
        <v>6</v>
      </c>
      <c r="F69" s="157"/>
      <c r="G69" s="157">
        <v>3</v>
      </c>
      <c r="H69" s="157"/>
      <c r="I69" s="157">
        <v>15</v>
      </c>
      <c r="J69" s="157">
        <v>11</v>
      </c>
      <c r="K69" s="157">
        <v>3</v>
      </c>
      <c r="L69" s="157">
        <v>4</v>
      </c>
      <c r="M69" s="157">
        <v>5</v>
      </c>
      <c r="N69" s="157"/>
      <c r="O69" s="157"/>
      <c r="P69" s="157">
        <v>1</v>
      </c>
      <c r="Q69" s="157">
        <v>3</v>
      </c>
      <c r="R69" s="157">
        <v>1</v>
      </c>
      <c r="S69" s="157">
        <v>1</v>
      </c>
      <c r="T69" s="157">
        <v>2</v>
      </c>
      <c r="U69" s="157">
        <v>2</v>
      </c>
      <c r="V69" s="157"/>
      <c r="W69" s="157">
        <v>1</v>
      </c>
      <c r="X69" s="157"/>
      <c r="Y69" s="157">
        <f t="shared" si="0"/>
        <v>59</v>
      </c>
    </row>
    <row r="70" spans="1:25" x14ac:dyDescent="0.35">
      <c r="A70" s="157" t="s">
        <v>435</v>
      </c>
      <c r="B70" s="157" t="s">
        <v>436</v>
      </c>
      <c r="C70" s="157"/>
      <c r="D70" s="157">
        <v>2</v>
      </c>
      <c r="E70" s="157">
        <v>4</v>
      </c>
      <c r="F70" s="157">
        <v>1</v>
      </c>
      <c r="G70" s="157"/>
      <c r="H70" s="157"/>
      <c r="I70" s="157">
        <v>5</v>
      </c>
      <c r="J70" s="157">
        <v>3</v>
      </c>
      <c r="K70" s="157"/>
      <c r="L70" s="157">
        <v>2</v>
      </c>
      <c r="M70" s="157">
        <v>3</v>
      </c>
      <c r="N70" s="157"/>
      <c r="O70" s="157"/>
      <c r="P70" s="157"/>
      <c r="Q70" s="157"/>
      <c r="R70" s="157"/>
      <c r="S70" s="157"/>
      <c r="T70" s="157"/>
      <c r="U70" s="157"/>
      <c r="V70" s="157"/>
      <c r="W70" s="157">
        <v>1</v>
      </c>
      <c r="X70" s="157"/>
      <c r="Y70" s="157">
        <f t="shared" ref="Y70:Y133" si="1">+SUM(C70:X70)</f>
        <v>21</v>
      </c>
    </row>
    <row r="71" spans="1:25" x14ac:dyDescent="0.35">
      <c r="A71" s="157" t="s">
        <v>437</v>
      </c>
      <c r="B71" s="157" t="s">
        <v>438</v>
      </c>
      <c r="C71" s="157"/>
      <c r="D71" s="157">
        <v>1</v>
      </c>
      <c r="E71" s="157">
        <v>4</v>
      </c>
      <c r="F71" s="157"/>
      <c r="G71" s="157"/>
      <c r="H71" s="157"/>
      <c r="I71" s="157">
        <v>4</v>
      </c>
      <c r="J71" s="157">
        <v>1</v>
      </c>
      <c r="K71" s="157"/>
      <c r="L71" s="157"/>
      <c r="M71" s="157">
        <v>2</v>
      </c>
      <c r="N71" s="157"/>
      <c r="O71" s="157"/>
      <c r="P71" s="157"/>
      <c r="Q71" s="157">
        <v>1</v>
      </c>
      <c r="R71" s="157"/>
      <c r="S71" s="157"/>
      <c r="T71" s="157">
        <v>1</v>
      </c>
      <c r="U71" s="157"/>
      <c r="V71" s="157">
        <v>1</v>
      </c>
      <c r="W71" s="157"/>
      <c r="X71" s="157"/>
      <c r="Y71" s="157">
        <f t="shared" si="1"/>
        <v>15</v>
      </c>
    </row>
    <row r="72" spans="1:25" x14ac:dyDescent="0.35">
      <c r="A72" s="157" t="s">
        <v>439</v>
      </c>
      <c r="B72" s="157" t="s">
        <v>440</v>
      </c>
      <c r="C72" s="157">
        <v>1</v>
      </c>
      <c r="D72" s="157"/>
      <c r="E72" s="157"/>
      <c r="F72" s="157">
        <v>2</v>
      </c>
      <c r="G72" s="157"/>
      <c r="H72" s="157">
        <v>1</v>
      </c>
      <c r="I72" s="157">
        <v>12</v>
      </c>
      <c r="J72" s="157">
        <v>5</v>
      </c>
      <c r="K72" s="157">
        <v>3</v>
      </c>
      <c r="L72" s="157">
        <v>4</v>
      </c>
      <c r="M72" s="157">
        <v>5</v>
      </c>
      <c r="N72" s="157">
        <v>2</v>
      </c>
      <c r="O72" s="157">
        <v>1</v>
      </c>
      <c r="P72" s="157"/>
      <c r="Q72" s="157">
        <v>4</v>
      </c>
      <c r="R72" s="157">
        <v>1</v>
      </c>
      <c r="S72" s="157">
        <v>1</v>
      </c>
      <c r="T72" s="157"/>
      <c r="U72" s="157"/>
      <c r="V72" s="157">
        <v>1</v>
      </c>
      <c r="W72" s="157"/>
      <c r="X72" s="157"/>
      <c r="Y72" s="157">
        <f t="shared" si="1"/>
        <v>43</v>
      </c>
    </row>
    <row r="73" spans="1:25" x14ac:dyDescent="0.35">
      <c r="A73" s="157" t="s">
        <v>441</v>
      </c>
      <c r="B73" s="157" t="s">
        <v>1223</v>
      </c>
      <c r="C73" s="157">
        <v>1</v>
      </c>
      <c r="D73" s="157">
        <v>3</v>
      </c>
      <c r="E73" s="157">
        <v>3</v>
      </c>
      <c r="F73" s="157">
        <v>1</v>
      </c>
      <c r="G73" s="157">
        <v>2</v>
      </c>
      <c r="H73" s="157">
        <v>1</v>
      </c>
      <c r="I73" s="157">
        <v>16</v>
      </c>
      <c r="J73" s="157">
        <v>7</v>
      </c>
      <c r="K73" s="157">
        <v>4</v>
      </c>
      <c r="L73" s="157">
        <v>6</v>
      </c>
      <c r="M73" s="157">
        <v>4</v>
      </c>
      <c r="N73" s="157">
        <v>2</v>
      </c>
      <c r="O73" s="157">
        <v>1</v>
      </c>
      <c r="P73" s="157"/>
      <c r="Q73" s="157"/>
      <c r="R73" s="157">
        <v>1</v>
      </c>
      <c r="S73" s="157"/>
      <c r="T73" s="157">
        <v>2</v>
      </c>
      <c r="U73" s="157">
        <v>2</v>
      </c>
      <c r="V73" s="157"/>
      <c r="W73" s="157">
        <v>1</v>
      </c>
      <c r="X73" s="157"/>
      <c r="Y73" s="157">
        <f t="shared" si="1"/>
        <v>57</v>
      </c>
    </row>
    <row r="74" spans="1:25" x14ac:dyDescent="0.35">
      <c r="A74" s="157" t="s">
        <v>442</v>
      </c>
      <c r="B74" s="157" t="s">
        <v>443</v>
      </c>
      <c r="C74" s="157"/>
      <c r="D74" s="157">
        <v>1</v>
      </c>
      <c r="E74" s="157"/>
      <c r="F74" s="157"/>
      <c r="G74" s="157">
        <v>1</v>
      </c>
      <c r="H74" s="157"/>
      <c r="I74" s="157">
        <v>3</v>
      </c>
      <c r="J74" s="157">
        <v>6</v>
      </c>
      <c r="K74" s="157"/>
      <c r="L74" s="157">
        <v>4</v>
      </c>
      <c r="M74" s="157"/>
      <c r="N74" s="157"/>
      <c r="O74" s="157"/>
      <c r="P74" s="157"/>
      <c r="Q74" s="157">
        <v>2</v>
      </c>
      <c r="R74" s="157">
        <v>1</v>
      </c>
      <c r="S74" s="157"/>
      <c r="T74" s="157">
        <v>1</v>
      </c>
      <c r="U74" s="157"/>
      <c r="V74" s="157"/>
      <c r="W74" s="157"/>
      <c r="X74" s="157"/>
      <c r="Y74" s="157">
        <f t="shared" si="1"/>
        <v>19</v>
      </c>
    </row>
    <row r="75" spans="1:25" x14ac:dyDescent="0.35">
      <c r="A75" s="157" t="s">
        <v>444</v>
      </c>
      <c r="B75" s="157" t="s">
        <v>445</v>
      </c>
      <c r="C75" s="157"/>
      <c r="D75" s="157"/>
      <c r="E75" s="157">
        <v>6</v>
      </c>
      <c r="F75" s="157">
        <v>4</v>
      </c>
      <c r="G75" s="157">
        <v>3</v>
      </c>
      <c r="H75" s="157">
        <v>2</v>
      </c>
      <c r="I75" s="157">
        <v>8</v>
      </c>
      <c r="J75" s="157">
        <v>8</v>
      </c>
      <c r="K75" s="157">
        <v>6</v>
      </c>
      <c r="L75" s="157">
        <v>19</v>
      </c>
      <c r="M75" s="157">
        <v>5</v>
      </c>
      <c r="N75" s="157">
        <v>1</v>
      </c>
      <c r="O75" s="157"/>
      <c r="P75" s="157"/>
      <c r="Q75" s="157"/>
      <c r="R75" s="157">
        <v>2</v>
      </c>
      <c r="S75" s="157">
        <v>2</v>
      </c>
      <c r="T75" s="157">
        <v>3</v>
      </c>
      <c r="U75" s="157"/>
      <c r="V75" s="157"/>
      <c r="W75" s="157">
        <v>2</v>
      </c>
      <c r="X75" s="157"/>
      <c r="Y75" s="157">
        <f t="shared" si="1"/>
        <v>71</v>
      </c>
    </row>
    <row r="76" spans="1:25" x14ac:dyDescent="0.35">
      <c r="A76" s="157" t="s">
        <v>446</v>
      </c>
      <c r="B76" s="157" t="s">
        <v>447</v>
      </c>
      <c r="C76" s="157">
        <v>3</v>
      </c>
      <c r="D76" s="157">
        <v>15</v>
      </c>
      <c r="E76" s="157">
        <v>40</v>
      </c>
      <c r="F76" s="157">
        <v>23</v>
      </c>
      <c r="G76" s="157">
        <v>10</v>
      </c>
      <c r="H76" s="157">
        <v>11</v>
      </c>
      <c r="I76" s="157">
        <v>20</v>
      </c>
      <c r="J76" s="157">
        <v>48</v>
      </c>
      <c r="K76" s="157">
        <v>10</v>
      </c>
      <c r="L76" s="157">
        <v>127</v>
      </c>
      <c r="M76" s="157">
        <v>22</v>
      </c>
      <c r="N76" s="157">
        <v>5</v>
      </c>
      <c r="O76" s="157"/>
      <c r="P76" s="157">
        <v>1</v>
      </c>
      <c r="Q76" s="157">
        <v>14</v>
      </c>
      <c r="R76" s="157">
        <v>7</v>
      </c>
      <c r="S76" s="157">
        <v>2</v>
      </c>
      <c r="T76" s="157">
        <v>14</v>
      </c>
      <c r="U76" s="157">
        <v>4</v>
      </c>
      <c r="V76" s="157"/>
      <c r="W76" s="157">
        <v>10</v>
      </c>
      <c r="X76" s="157"/>
      <c r="Y76" s="157">
        <f t="shared" si="1"/>
        <v>386</v>
      </c>
    </row>
    <row r="77" spans="1:25" x14ac:dyDescent="0.35">
      <c r="A77" s="157" t="s">
        <v>448</v>
      </c>
      <c r="B77" s="157" t="s">
        <v>449</v>
      </c>
      <c r="C77" s="157"/>
      <c r="D77" s="157">
        <v>1</v>
      </c>
      <c r="E77" s="157">
        <v>1</v>
      </c>
      <c r="F77" s="157">
        <v>3</v>
      </c>
      <c r="G77" s="157">
        <v>3</v>
      </c>
      <c r="H77" s="157"/>
      <c r="I77" s="157">
        <v>4</v>
      </c>
      <c r="J77" s="157">
        <v>8</v>
      </c>
      <c r="K77" s="157">
        <v>1</v>
      </c>
      <c r="L77" s="157">
        <v>4</v>
      </c>
      <c r="M77" s="157">
        <v>2</v>
      </c>
      <c r="N77" s="157"/>
      <c r="O77" s="157"/>
      <c r="P77" s="157"/>
      <c r="Q77" s="157">
        <v>4</v>
      </c>
      <c r="R77" s="157">
        <v>1</v>
      </c>
      <c r="S77" s="157"/>
      <c r="T77" s="157"/>
      <c r="U77" s="157">
        <v>1</v>
      </c>
      <c r="V77" s="157"/>
      <c r="W77" s="157"/>
      <c r="X77" s="157"/>
      <c r="Y77" s="157">
        <f t="shared" si="1"/>
        <v>33</v>
      </c>
    </row>
    <row r="78" spans="1:25" x14ac:dyDescent="0.35">
      <c r="A78" s="157" t="s">
        <v>450</v>
      </c>
      <c r="B78" s="157" t="s">
        <v>451</v>
      </c>
      <c r="C78" s="157">
        <v>1</v>
      </c>
      <c r="D78" s="157">
        <v>7</v>
      </c>
      <c r="E78" s="157">
        <v>15</v>
      </c>
      <c r="F78" s="157">
        <v>4</v>
      </c>
      <c r="G78" s="157">
        <v>8</v>
      </c>
      <c r="H78" s="157">
        <v>4</v>
      </c>
      <c r="I78" s="157">
        <v>12</v>
      </c>
      <c r="J78" s="157">
        <v>17</v>
      </c>
      <c r="K78" s="157">
        <v>11</v>
      </c>
      <c r="L78" s="157">
        <v>19</v>
      </c>
      <c r="M78" s="157">
        <v>16</v>
      </c>
      <c r="N78" s="157">
        <v>3</v>
      </c>
      <c r="O78" s="157"/>
      <c r="P78" s="157">
        <v>2</v>
      </c>
      <c r="Q78" s="157">
        <v>5</v>
      </c>
      <c r="R78" s="157">
        <v>6</v>
      </c>
      <c r="S78" s="157">
        <v>1</v>
      </c>
      <c r="T78" s="157">
        <v>7</v>
      </c>
      <c r="U78" s="157">
        <v>4</v>
      </c>
      <c r="V78" s="157"/>
      <c r="W78" s="157">
        <v>7</v>
      </c>
      <c r="X78" s="157"/>
      <c r="Y78" s="157">
        <f t="shared" si="1"/>
        <v>149</v>
      </c>
    </row>
    <row r="79" spans="1:25" x14ac:dyDescent="0.35">
      <c r="A79" s="157" t="s">
        <v>452</v>
      </c>
      <c r="B79" s="157" t="s">
        <v>453</v>
      </c>
      <c r="C79" s="157"/>
      <c r="D79" s="157"/>
      <c r="E79" s="157">
        <v>1</v>
      </c>
      <c r="F79" s="157"/>
      <c r="G79" s="157"/>
      <c r="H79" s="157">
        <v>1</v>
      </c>
      <c r="I79" s="157"/>
      <c r="J79" s="157"/>
      <c r="K79" s="157"/>
      <c r="L79" s="157"/>
      <c r="M79" s="157">
        <v>2</v>
      </c>
      <c r="N79" s="157"/>
      <c r="O79" s="157"/>
      <c r="P79" s="157"/>
      <c r="Q79" s="157"/>
      <c r="R79" s="157"/>
      <c r="S79" s="157"/>
      <c r="T79" s="157">
        <v>1</v>
      </c>
      <c r="U79" s="157"/>
      <c r="V79" s="157"/>
      <c r="W79" s="157"/>
      <c r="X79" s="157"/>
      <c r="Y79" s="157">
        <f t="shared" si="1"/>
        <v>5</v>
      </c>
    </row>
    <row r="80" spans="1:25" x14ac:dyDescent="0.35">
      <c r="A80" s="157" t="s">
        <v>454</v>
      </c>
      <c r="B80" s="157" t="s">
        <v>455</v>
      </c>
      <c r="C80" s="157"/>
      <c r="D80" s="157"/>
      <c r="E80" s="157">
        <v>2</v>
      </c>
      <c r="F80" s="157"/>
      <c r="G80" s="157">
        <v>2</v>
      </c>
      <c r="H80" s="157"/>
      <c r="I80" s="157"/>
      <c r="J80" s="157">
        <v>2</v>
      </c>
      <c r="K80" s="157">
        <v>1</v>
      </c>
      <c r="L80" s="157">
        <v>3</v>
      </c>
      <c r="M80" s="157">
        <v>1</v>
      </c>
      <c r="N80" s="157"/>
      <c r="O80" s="157"/>
      <c r="P80" s="157"/>
      <c r="Q80" s="157"/>
      <c r="R80" s="157">
        <v>1</v>
      </c>
      <c r="S80" s="157"/>
      <c r="T80" s="157"/>
      <c r="U80" s="157"/>
      <c r="V80" s="157"/>
      <c r="W80" s="157"/>
      <c r="X80" s="157"/>
      <c r="Y80" s="157">
        <f t="shared" si="1"/>
        <v>12</v>
      </c>
    </row>
    <row r="81" spans="1:25" x14ac:dyDescent="0.35">
      <c r="A81" s="157" t="s">
        <v>456</v>
      </c>
      <c r="B81" s="157" t="s">
        <v>457</v>
      </c>
      <c r="C81" s="157"/>
      <c r="D81" s="157">
        <v>6</v>
      </c>
      <c r="E81" s="157">
        <v>11</v>
      </c>
      <c r="F81" s="157">
        <v>6</v>
      </c>
      <c r="G81" s="157">
        <v>8</v>
      </c>
      <c r="H81" s="157">
        <v>3</v>
      </c>
      <c r="I81" s="157">
        <v>13</v>
      </c>
      <c r="J81" s="157">
        <v>16</v>
      </c>
      <c r="K81" s="157">
        <v>10</v>
      </c>
      <c r="L81" s="157">
        <v>27</v>
      </c>
      <c r="M81" s="157">
        <v>17</v>
      </c>
      <c r="N81" s="157">
        <v>1</v>
      </c>
      <c r="O81" s="157"/>
      <c r="P81" s="157">
        <v>1</v>
      </c>
      <c r="Q81" s="157">
        <v>1</v>
      </c>
      <c r="R81" s="157">
        <v>2</v>
      </c>
      <c r="S81" s="157"/>
      <c r="T81" s="157">
        <v>2</v>
      </c>
      <c r="U81" s="157">
        <v>2</v>
      </c>
      <c r="V81" s="157"/>
      <c r="W81" s="157">
        <v>3</v>
      </c>
      <c r="X81" s="157">
        <v>1</v>
      </c>
      <c r="Y81" s="157">
        <f t="shared" si="1"/>
        <v>130</v>
      </c>
    </row>
    <row r="82" spans="1:25" x14ac:dyDescent="0.35">
      <c r="A82" s="157" t="s">
        <v>458</v>
      </c>
      <c r="B82" s="157" t="s">
        <v>459</v>
      </c>
      <c r="C82" s="157">
        <v>14</v>
      </c>
      <c r="D82" s="157">
        <v>99</v>
      </c>
      <c r="E82" s="157">
        <v>288</v>
      </c>
      <c r="F82" s="157">
        <v>89</v>
      </c>
      <c r="G82" s="157">
        <v>105</v>
      </c>
      <c r="H82" s="157">
        <v>68</v>
      </c>
      <c r="I82" s="157">
        <v>314</v>
      </c>
      <c r="J82" s="157">
        <v>288</v>
      </c>
      <c r="K82" s="157">
        <v>139</v>
      </c>
      <c r="L82" s="162">
        <v>1017</v>
      </c>
      <c r="M82" s="157">
        <v>269</v>
      </c>
      <c r="N82" s="157">
        <v>59</v>
      </c>
      <c r="O82" s="157">
        <v>1</v>
      </c>
      <c r="P82" s="157">
        <v>38</v>
      </c>
      <c r="Q82" s="157">
        <v>107</v>
      </c>
      <c r="R82" s="157">
        <v>57</v>
      </c>
      <c r="S82" s="157">
        <v>27</v>
      </c>
      <c r="T82" s="157">
        <v>83</v>
      </c>
      <c r="U82" s="157">
        <v>36</v>
      </c>
      <c r="V82" s="157">
        <v>13</v>
      </c>
      <c r="W82" s="157">
        <v>66</v>
      </c>
      <c r="X82" s="157">
        <v>13</v>
      </c>
      <c r="Y82" s="157">
        <f t="shared" si="1"/>
        <v>3190</v>
      </c>
    </row>
    <row r="83" spans="1:25" x14ac:dyDescent="0.35">
      <c r="A83" s="157" t="s">
        <v>460</v>
      </c>
      <c r="B83" s="157" t="s">
        <v>461</v>
      </c>
      <c r="C83" s="157"/>
      <c r="D83" s="157"/>
      <c r="E83" s="157">
        <v>2</v>
      </c>
      <c r="F83" s="157">
        <v>3</v>
      </c>
      <c r="G83" s="157">
        <v>2</v>
      </c>
      <c r="H83" s="157"/>
      <c r="I83" s="157">
        <v>2</v>
      </c>
      <c r="J83" s="157">
        <v>1</v>
      </c>
      <c r="K83" s="157"/>
      <c r="L83" s="157"/>
      <c r="M83" s="157"/>
      <c r="N83" s="157">
        <v>1</v>
      </c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>
        <f t="shared" si="1"/>
        <v>11</v>
      </c>
    </row>
    <row r="84" spans="1:25" x14ac:dyDescent="0.35">
      <c r="A84" s="157" t="s">
        <v>462</v>
      </c>
      <c r="B84" s="157" t="s">
        <v>463</v>
      </c>
      <c r="C84" s="157"/>
      <c r="D84" s="157"/>
      <c r="E84" s="157">
        <v>1</v>
      </c>
      <c r="F84" s="157"/>
      <c r="G84" s="157">
        <v>2</v>
      </c>
      <c r="H84" s="157"/>
      <c r="I84" s="157">
        <v>2</v>
      </c>
      <c r="J84" s="157">
        <v>1</v>
      </c>
      <c r="K84" s="157"/>
      <c r="L84" s="157">
        <v>3</v>
      </c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>
        <f t="shared" si="1"/>
        <v>9</v>
      </c>
    </row>
    <row r="85" spans="1:25" x14ac:dyDescent="0.35">
      <c r="A85" s="157" t="s">
        <v>464</v>
      </c>
      <c r="B85" s="157" t="s">
        <v>1363</v>
      </c>
      <c r="C85" s="157"/>
      <c r="D85" s="157"/>
      <c r="E85" s="157"/>
      <c r="F85" s="157">
        <v>1</v>
      </c>
      <c r="G85" s="157"/>
      <c r="H85" s="157"/>
      <c r="I85" s="157">
        <v>1</v>
      </c>
      <c r="J85" s="157">
        <v>1</v>
      </c>
      <c r="K85" s="157"/>
      <c r="L85" s="157">
        <v>1</v>
      </c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>
        <f t="shared" si="1"/>
        <v>4</v>
      </c>
    </row>
    <row r="86" spans="1:25" x14ac:dyDescent="0.35">
      <c r="A86" s="157" t="s">
        <v>465</v>
      </c>
      <c r="B86" s="157" t="s">
        <v>466</v>
      </c>
      <c r="C86" s="157">
        <v>1</v>
      </c>
      <c r="D86" s="157">
        <v>7</v>
      </c>
      <c r="E86" s="157">
        <v>6</v>
      </c>
      <c r="F86" s="157">
        <v>3</v>
      </c>
      <c r="G86" s="157">
        <v>8</v>
      </c>
      <c r="H86" s="157">
        <v>1</v>
      </c>
      <c r="I86" s="157">
        <v>15</v>
      </c>
      <c r="J86" s="157">
        <v>6</v>
      </c>
      <c r="K86" s="157"/>
      <c r="L86" s="157">
        <v>17</v>
      </c>
      <c r="M86" s="157">
        <v>8</v>
      </c>
      <c r="N86" s="157">
        <v>3</v>
      </c>
      <c r="O86" s="157"/>
      <c r="P86" s="157">
        <v>2</v>
      </c>
      <c r="Q86" s="157">
        <v>5</v>
      </c>
      <c r="R86" s="157">
        <v>3</v>
      </c>
      <c r="S86" s="157">
        <v>2</v>
      </c>
      <c r="T86" s="157">
        <v>6</v>
      </c>
      <c r="U86" s="157">
        <v>1</v>
      </c>
      <c r="V86" s="157">
        <v>1</v>
      </c>
      <c r="W86" s="157">
        <v>1</v>
      </c>
      <c r="X86" s="157"/>
      <c r="Y86" s="157">
        <f t="shared" si="1"/>
        <v>96</v>
      </c>
    </row>
    <row r="87" spans="1:25" x14ac:dyDescent="0.35">
      <c r="A87" s="157" t="s">
        <v>467</v>
      </c>
      <c r="B87" s="157" t="s">
        <v>1364</v>
      </c>
      <c r="C87" s="157"/>
      <c r="D87" s="157">
        <v>3</v>
      </c>
      <c r="E87" s="157">
        <v>8</v>
      </c>
      <c r="F87" s="157">
        <v>5</v>
      </c>
      <c r="G87" s="157">
        <v>2</v>
      </c>
      <c r="H87" s="157">
        <v>2</v>
      </c>
      <c r="I87" s="157">
        <v>7</v>
      </c>
      <c r="J87" s="157">
        <v>5</v>
      </c>
      <c r="K87" s="157"/>
      <c r="L87" s="157">
        <v>12</v>
      </c>
      <c r="M87" s="157">
        <v>6</v>
      </c>
      <c r="N87" s="157"/>
      <c r="O87" s="157"/>
      <c r="P87" s="157">
        <v>1</v>
      </c>
      <c r="Q87" s="157">
        <v>2</v>
      </c>
      <c r="R87" s="157">
        <v>2</v>
      </c>
      <c r="S87" s="157">
        <v>2</v>
      </c>
      <c r="T87" s="157">
        <v>2</v>
      </c>
      <c r="U87" s="157"/>
      <c r="V87" s="157">
        <v>1</v>
      </c>
      <c r="W87" s="157">
        <v>5</v>
      </c>
      <c r="X87" s="157"/>
      <c r="Y87" s="157">
        <f t="shared" si="1"/>
        <v>65</v>
      </c>
    </row>
    <row r="88" spans="1:25" x14ac:dyDescent="0.35">
      <c r="A88" s="157" t="s">
        <v>468</v>
      </c>
      <c r="B88" s="157" t="s">
        <v>469</v>
      </c>
      <c r="C88" s="157">
        <v>2</v>
      </c>
      <c r="D88" s="157">
        <v>6</v>
      </c>
      <c r="E88" s="157">
        <v>9</v>
      </c>
      <c r="F88" s="157">
        <v>5</v>
      </c>
      <c r="G88" s="157">
        <v>3</v>
      </c>
      <c r="H88" s="157">
        <v>5</v>
      </c>
      <c r="I88" s="157">
        <v>9</v>
      </c>
      <c r="J88" s="157">
        <v>13</v>
      </c>
      <c r="K88" s="157">
        <v>5</v>
      </c>
      <c r="L88" s="157">
        <v>44</v>
      </c>
      <c r="M88" s="157">
        <v>7</v>
      </c>
      <c r="N88" s="157">
        <v>8</v>
      </c>
      <c r="O88" s="157"/>
      <c r="P88" s="157">
        <v>4</v>
      </c>
      <c r="Q88" s="157">
        <v>5</v>
      </c>
      <c r="R88" s="157"/>
      <c r="S88" s="157">
        <v>3</v>
      </c>
      <c r="T88" s="157">
        <v>7</v>
      </c>
      <c r="U88" s="157">
        <v>6</v>
      </c>
      <c r="V88" s="157"/>
      <c r="W88" s="157">
        <v>10</v>
      </c>
      <c r="X88" s="157"/>
      <c r="Y88" s="157">
        <f t="shared" si="1"/>
        <v>151</v>
      </c>
    </row>
    <row r="89" spans="1:25" x14ac:dyDescent="0.35">
      <c r="A89" s="157" t="s">
        <v>470</v>
      </c>
      <c r="B89" s="157" t="s">
        <v>471</v>
      </c>
      <c r="C89" s="157"/>
      <c r="D89" s="157">
        <v>2</v>
      </c>
      <c r="E89" s="157">
        <v>4</v>
      </c>
      <c r="F89" s="157">
        <v>5</v>
      </c>
      <c r="G89" s="157">
        <v>2</v>
      </c>
      <c r="H89" s="157">
        <v>6</v>
      </c>
      <c r="I89" s="157">
        <v>6</v>
      </c>
      <c r="J89" s="157">
        <v>2</v>
      </c>
      <c r="K89" s="157">
        <v>1</v>
      </c>
      <c r="L89" s="157">
        <v>35</v>
      </c>
      <c r="M89" s="157">
        <v>2</v>
      </c>
      <c r="N89" s="157">
        <v>1</v>
      </c>
      <c r="O89" s="157"/>
      <c r="P89" s="157">
        <v>1</v>
      </c>
      <c r="Q89" s="157">
        <v>2</v>
      </c>
      <c r="R89" s="157"/>
      <c r="S89" s="157"/>
      <c r="T89" s="157">
        <v>1</v>
      </c>
      <c r="U89" s="157">
        <v>3</v>
      </c>
      <c r="V89" s="157"/>
      <c r="W89" s="157">
        <v>2</v>
      </c>
      <c r="X89" s="157"/>
      <c r="Y89" s="157">
        <f t="shared" si="1"/>
        <v>75</v>
      </c>
    </row>
    <row r="90" spans="1:25" x14ac:dyDescent="0.35">
      <c r="A90" s="157" t="s">
        <v>472</v>
      </c>
      <c r="B90" s="157" t="s">
        <v>473</v>
      </c>
      <c r="C90" s="157">
        <v>1</v>
      </c>
      <c r="D90" s="157">
        <v>1</v>
      </c>
      <c r="E90" s="157"/>
      <c r="F90" s="157"/>
      <c r="G90" s="157"/>
      <c r="H90" s="157"/>
      <c r="I90" s="157">
        <v>2</v>
      </c>
      <c r="J90" s="157">
        <v>6</v>
      </c>
      <c r="K90" s="157"/>
      <c r="L90" s="157">
        <v>7</v>
      </c>
      <c r="M90" s="157"/>
      <c r="N90" s="157"/>
      <c r="O90" s="157"/>
      <c r="P90" s="157"/>
      <c r="Q90" s="157">
        <v>1</v>
      </c>
      <c r="R90" s="157"/>
      <c r="S90" s="157"/>
      <c r="T90" s="157"/>
      <c r="U90" s="157"/>
      <c r="V90" s="157">
        <v>1</v>
      </c>
      <c r="W90" s="157"/>
      <c r="X90" s="157"/>
      <c r="Y90" s="157">
        <f t="shared" si="1"/>
        <v>19</v>
      </c>
    </row>
    <row r="91" spans="1:25" x14ac:dyDescent="0.35">
      <c r="A91" s="157" t="s">
        <v>474</v>
      </c>
      <c r="B91" s="157" t="s">
        <v>475</v>
      </c>
      <c r="C91" s="157">
        <v>1</v>
      </c>
      <c r="D91" s="157">
        <v>8</v>
      </c>
      <c r="E91" s="157">
        <v>4</v>
      </c>
      <c r="F91" s="157">
        <v>2</v>
      </c>
      <c r="G91" s="157">
        <v>2</v>
      </c>
      <c r="H91" s="157">
        <v>3</v>
      </c>
      <c r="I91" s="157">
        <v>10</v>
      </c>
      <c r="J91" s="157">
        <v>2</v>
      </c>
      <c r="K91" s="157">
        <v>1</v>
      </c>
      <c r="L91" s="157">
        <v>40</v>
      </c>
      <c r="M91" s="157">
        <v>2</v>
      </c>
      <c r="N91" s="157"/>
      <c r="O91" s="157">
        <v>1</v>
      </c>
      <c r="P91" s="157"/>
      <c r="Q91" s="157">
        <v>1</v>
      </c>
      <c r="R91" s="157"/>
      <c r="S91" s="157">
        <v>3</v>
      </c>
      <c r="T91" s="157">
        <v>2</v>
      </c>
      <c r="U91" s="157">
        <v>2</v>
      </c>
      <c r="V91" s="157">
        <v>2</v>
      </c>
      <c r="W91" s="157">
        <v>3</v>
      </c>
      <c r="X91" s="157"/>
      <c r="Y91" s="157">
        <f t="shared" si="1"/>
        <v>89</v>
      </c>
    </row>
    <row r="92" spans="1:25" x14ac:dyDescent="0.35">
      <c r="A92" s="157" t="s">
        <v>476</v>
      </c>
      <c r="B92" s="157" t="s">
        <v>1365</v>
      </c>
      <c r="C92" s="157"/>
      <c r="D92" s="157"/>
      <c r="E92" s="157"/>
      <c r="F92" s="157"/>
      <c r="G92" s="157"/>
      <c r="H92" s="157"/>
      <c r="I92" s="157">
        <v>1</v>
      </c>
      <c r="J92" s="157">
        <v>1</v>
      </c>
      <c r="K92" s="157">
        <v>1</v>
      </c>
      <c r="L92" s="157">
        <v>2</v>
      </c>
      <c r="M92" s="157">
        <v>2</v>
      </c>
      <c r="N92" s="157"/>
      <c r="O92" s="157"/>
      <c r="P92" s="157">
        <v>1</v>
      </c>
      <c r="Q92" s="157">
        <v>1</v>
      </c>
      <c r="R92" s="157"/>
      <c r="S92" s="157"/>
      <c r="T92" s="157"/>
      <c r="U92" s="157"/>
      <c r="V92" s="157">
        <v>1</v>
      </c>
      <c r="W92" s="157">
        <v>1</v>
      </c>
      <c r="X92" s="157"/>
      <c r="Y92" s="157">
        <f t="shared" si="1"/>
        <v>11</v>
      </c>
    </row>
    <row r="93" spans="1:25" x14ac:dyDescent="0.35">
      <c r="A93" s="157" t="s">
        <v>477</v>
      </c>
      <c r="B93" s="157" t="s">
        <v>478</v>
      </c>
      <c r="C93" s="157">
        <v>6</v>
      </c>
      <c r="D93" s="157">
        <v>23</v>
      </c>
      <c r="E93" s="157">
        <v>18</v>
      </c>
      <c r="F93" s="157">
        <v>11</v>
      </c>
      <c r="G93" s="157">
        <v>5</v>
      </c>
      <c r="H93" s="157">
        <v>14</v>
      </c>
      <c r="I93" s="157">
        <v>15</v>
      </c>
      <c r="J93" s="157">
        <v>20</v>
      </c>
      <c r="K93" s="157">
        <v>8</v>
      </c>
      <c r="L93" s="157">
        <v>42</v>
      </c>
      <c r="M93" s="157">
        <v>6</v>
      </c>
      <c r="N93" s="157">
        <v>7</v>
      </c>
      <c r="O93" s="157"/>
      <c r="P93" s="157">
        <v>3</v>
      </c>
      <c r="Q93" s="157">
        <v>11</v>
      </c>
      <c r="R93" s="157">
        <v>7</v>
      </c>
      <c r="S93" s="157">
        <v>7</v>
      </c>
      <c r="T93" s="157">
        <v>5</v>
      </c>
      <c r="U93" s="157">
        <v>7</v>
      </c>
      <c r="V93" s="157"/>
      <c r="W93" s="157">
        <v>8</v>
      </c>
      <c r="X93" s="157"/>
      <c r="Y93" s="157">
        <f t="shared" si="1"/>
        <v>223</v>
      </c>
    </row>
    <row r="94" spans="1:25" x14ac:dyDescent="0.35">
      <c r="A94" s="157" t="s">
        <v>479</v>
      </c>
      <c r="B94" s="157" t="s">
        <v>480</v>
      </c>
      <c r="C94" s="157"/>
      <c r="D94" s="157"/>
      <c r="E94" s="157">
        <v>1</v>
      </c>
      <c r="F94" s="157"/>
      <c r="G94" s="157"/>
      <c r="H94" s="157"/>
      <c r="I94" s="157">
        <v>1</v>
      </c>
      <c r="J94" s="157">
        <v>5</v>
      </c>
      <c r="K94" s="157">
        <v>2</v>
      </c>
      <c r="L94" s="157"/>
      <c r="M94" s="157"/>
      <c r="N94" s="157"/>
      <c r="O94" s="157"/>
      <c r="P94" s="157"/>
      <c r="Q94" s="157">
        <v>1</v>
      </c>
      <c r="R94" s="157"/>
      <c r="S94" s="157">
        <v>2</v>
      </c>
      <c r="T94" s="157"/>
      <c r="U94" s="157"/>
      <c r="V94" s="157"/>
      <c r="W94" s="157"/>
      <c r="X94" s="157"/>
      <c r="Y94" s="157">
        <f t="shared" si="1"/>
        <v>12</v>
      </c>
    </row>
    <row r="95" spans="1:25" x14ac:dyDescent="0.35">
      <c r="A95" s="157" t="s">
        <v>481</v>
      </c>
      <c r="B95" s="157" t="s">
        <v>1366</v>
      </c>
      <c r="C95" s="157"/>
      <c r="D95" s="157">
        <v>4</v>
      </c>
      <c r="E95" s="157">
        <v>2</v>
      </c>
      <c r="F95" s="157">
        <v>4</v>
      </c>
      <c r="G95" s="157">
        <v>3</v>
      </c>
      <c r="H95" s="157">
        <v>2</v>
      </c>
      <c r="I95" s="157">
        <v>5</v>
      </c>
      <c r="J95" s="157">
        <v>4</v>
      </c>
      <c r="K95" s="157">
        <v>3</v>
      </c>
      <c r="L95" s="157">
        <v>10</v>
      </c>
      <c r="M95" s="157">
        <v>5</v>
      </c>
      <c r="N95" s="157">
        <v>3</v>
      </c>
      <c r="O95" s="157"/>
      <c r="P95" s="157">
        <v>1</v>
      </c>
      <c r="Q95" s="157">
        <v>4</v>
      </c>
      <c r="R95" s="157">
        <v>1</v>
      </c>
      <c r="S95" s="157">
        <v>4</v>
      </c>
      <c r="T95" s="157"/>
      <c r="U95" s="157"/>
      <c r="V95" s="157">
        <v>1</v>
      </c>
      <c r="W95" s="157">
        <v>2</v>
      </c>
      <c r="X95" s="157"/>
      <c r="Y95" s="157">
        <f t="shared" si="1"/>
        <v>58</v>
      </c>
    </row>
    <row r="96" spans="1:25" x14ac:dyDescent="0.35">
      <c r="A96" s="157" t="s">
        <v>482</v>
      </c>
      <c r="B96" s="157" t="s">
        <v>1367</v>
      </c>
      <c r="C96" s="157"/>
      <c r="D96" s="157"/>
      <c r="E96" s="157"/>
      <c r="F96" s="157"/>
      <c r="G96" s="157"/>
      <c r="H96" s="157"/>
      <c r="I96" s="157">
        <v>1</v>
      </c>
      <c r="J96" s="157"/>
      <c r="K96" s="157"/>
      <c r="L96" s="157">
        <v>1</v>
      </c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>
        <v>1</v>
      </c>
      <c r="X96" s="157"/>
      <c r="Y96" s="157">
        <f t="shared" si="1"/>
        <v>3</v>
      </c>
    </row>
    <row r="97" spans="1:25" x14ac:dyDescent="0.35">
      <c r="A97" s="157" t="s">
        <v>483</v>
      </c>
      <c r="B97" s="157" t="s">
        <v>1368</v>
      </c>
      <c r="C97" s="157"/>
      <c r="D97" s="157"/>
      <c r="E97" s="157">
        <v>3</v>
      </c>
      <c r="F97" s="157">
        <v>2</v>
      </c>
      <c r="G97" s="157">
        <v>1</v>
      </c>
      <c r="H97" s="157"/>
      <c r="I97" s="157">
        <v>3</v>
      </c>
      <c r="J97" s="157">
        <v>5</v>
      </c>
      <c r="K97" s="157">
        <v>1</v>
      </c>
      <c r="L97" s="157">
        <v>7</v>
      </c>
      <c r="M97" s="157">
        <v>4</v>
      </c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>
        <f t="shared" si="1"/>
        <v>26</v>
      </c>
    </row>
    <row r="98" spans="1:25" x14ac:dyDescent="0.35">
      <c r="A98" s="157" t="s">
        <v>484</v>
      </c>
      <c r="B98" s="157" t="s">
        <v>485</v>
      </c>
      <c r="C98" s="157"/>
      <c r="D98" s="157">
        <v>2</v>
      </c>
      <c r="E98" s="157">
        <v>5</v>
      </c>
      <c r="F98" s="157">
        <v>2</v>
      </c>
      <c r="G98" s="157">
        <v>3</v>
      </c>
      <c r="H98" s="157">
        <v>2</v>
      </c>
      <c r="I98" s="157">
        <v>5</v>
      </c>
      <c r="J98" s="157">
        <v>4</v>
      </c>
      <c r="K98" s="157">
        <v>5</v>
      </c>
      <c r="L98" s="157">
        <v>17</v>
      </c>
      <c r="M98" s="157">
        <v>7</v>
      </c>
      <c r="N98" s="157">
        <v>1</v>
      </c>
      <c r="O98" s="157"/>
      <c r="P98" s="157"/>
      <c r="Q98" s="157">
        <v>1</v>
      </c>
      <c r="R98" s="157"/>
      <c r="S98" s="157">
        <v>2</v>
      </c>
      <c r="T98" s="157">
        <v>1</v>
      </c>
      <c r="U98" s="157"/>
      <c r="V98" s="157"/>
      <c r="W98" s="157">
        <v>1</v>
      </c>
      <c r="X98" s="157"/>
      <c r="Y98" s="157">
        <f t="shared" si="1"/>
        <v>58</v>
      </c>
    </row>
    <row r="99" spans="1:25" x14ac:dyDescent="0.35">
      <c r="A99" s="157" t="s">
        <v>486</v>
      </c>
      <c r="B99" s="157" t="s">
        <v>487</v>
      </c>
      <c r="C99" s="157">
        <v>1</v>
      </c>
      <c r="D99" s="157">
        <v>17</v>
      </c>
      <c r="E99" s="157">
        <v>46</v>
      </c>
      <c r="F99" s="157">
        <v>14</v>
      </c>
      <c r="G99" s="157">
        <v>14</v>
      </c>
      <c r="H99" s="157">
        <v>10</v>
      </c>
      <c r="I99" s="157">
        <v>40</v>
      </c>
      <c r="J99" s="157">
        <v>44</v>
      </c>
      <c r="K99" s="157">
        <v>30</v>
      </c>
      <c r="L99" s="157">
        <v>284</v>
      </c>
      <c r="M99" s="157">
        <v>54</v>
      </c>
      <c r="N99" s="157">
        <v>8</v>
      </c>
      <c r="O99" s="157"/>
      <c r="P99" s="157">
        <v>3</v>
      </c>
      <c r="Q99" s="157">
        <v>17</v>
      </c>
      <c r="R99" s="157">
        <v>4</v>
      </c>
      <c r="S99" s="157">
        <v>4</v>
      </c>
      <c r="T99" s="157">
        <v>6</v>
      </c>
      <c r="U99" s="157">
        <v>3</v>
      </c>
      <c r="V99" s="157">
        <v>1</v>
      </c>
      <c r="W99" s="157">
        <v>8</v>
      </c>
      <c r="X99" s="157">
        <v>3</v>
      </c>
      <c r="Y99" s="157">
        <f t="shared" si="1"/>
        <v>611</v>
      </c>
    </row>
    <row r="100" spans="1:25" x14ac:dyDescent="0.35">
      <c r="A100" s="157" t="s">
        <v>488</v>
      </c>
      <c r="B100" s="157" t="s">
        <v>489</v>
      </c>
      <c r="C100" s="157">
        <v>2</v>
      </c>
      <c r="D100" s="157">
        <v>4</v>
      </c>
      <c r="E100" s="157">
        <v>6</v>
      </c>
      <c r="F100" s="157"/>
      <c r="G100" s="157">
        <v>3</v>
      </c>
      <c r="H100" s="157">
        <v>3</v>
      </c>
      <c r="I100" s="157">
        <v>18</v>
      </c>
      <c r="J100" s="157">
        <v>23</v>
      </c>
      <c r="K100" s="157">
        <v>3</v>
      </c>
      <c r="L100" s="157">
        <v>75</v>
      </c>
      <c r="M100" s="157">
        <v>17</v>
      </c>
      <c r="N100" s="157">
        <v>5</v>
      </c>
      <c r="O100" s="157"/>
      <c r="P100" s="157">
        <v>2</v>
      </c>
      <c r="Q100" s="157">
        <v>2</v>
      </c>
      <c r="R100" s="157">
        <v>3</v>
      </c>
      <c r="S100" s="157">
        <v>2</v>
      </c>
      <c r="T100" s="157">
        <v>3</v>
      </c>
      <c r="U100" s="157">
        <v>1</v>
      </c>
      <c r="V100" s="157"/>
      <c r="W100" s="157">
        <v>1</v>
      </c>
      <c r="X100" s="157"/>
      <c r="Y100" s="157">
        <f t="shared" si="1"/>
        <v>173</v>
      </c>
    </row>
    <row r="101" spans="1:25" x14ac:dyDescent="0.35">
      <c r="A101" s="157" t="s">
        <v>490</v>
      </c>
      <c r="B101" s="157" t="s">
        <v>1224</v>
      </c>
      <c r="C101" s="157">
        <v>1</v>
      </c>
      <c r="D101" s="157"/>
      <c r="E101" s="157"/>
      <c r="F101" s="157"/>
      <c r="G101" s="157"/>
      <c r="H101" s="157"/>
      <c r="I101" s="157">
        <v>2</v>
      </c>
      <c r="J101" s="157"/>
      <c r="K101" s="157"/>
      <c r="L101" s="157"/>
      <c r="M101" s="157">
        <v>1</v>
      </c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>
        <f t="shared" si="1"/>
        <v>4</v>
      </c>
    </row>
    <row r="102" spans="1:25" x14ac:dyDescent="0.35">
      <c r="A102" s="157" t="s">
        <v>1330</v>
      </c>
      <c r="B102" s="157" t="s">
        <v>1331</v>
      </c>
      <c r="C102" s="157"/>
      <c r="D102" s="157"/>
      <c r="E102" s="157"/>
      <c r="F102" s="157"/>
      <c r="G102" s="157"/>
      <c r="H102" s="157"/>
      <c r="I102" s="157"/>
      <c r="J102" s="157"/>
      <c r="K102" s="157"/>
      <c r="L102" s="157">
        <v>1</v>
      </c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>
        <f t="shared" si="1"/>
        <v>1</v>
      </c>
    </row>
    <row r="103" spans="1:25" x14ac:dyDescent="0.35">
      <c r="A103" s="157" t="s">
        <v>491</v>
      </c>
      <c r="B103" s="157" t="s">
        <v>492</v>
      </c>
      <c r="C103" s="157"/>
      <c r="D103" s="157"/>
      <c r="E103" s="157">
        <v>2</v>
      </c>
      <c r="F103" s="157"/>
      <c r="G103" s="157">
        <v>3</v>
      </c>
      <c r="H103" s="157"/>
      <c r="I103" s="157">
        <v>2</v>
      </c>
      <c r="J103" s="157">
        <v>2</v>
      </c>
      <c r="K103" s="157">
        <v>4</v>
      </c>
      <c r="L103" s="157">
        <v>3</v>
      </c>
      <c r="M103" s="157">
        <v>1</v>
      </c>
      <c r="N103" s="157">
        <v>1</v>
      </c>
      <c r="O103" s="157"/>
      <c r="P103" s="157"/>
      <c r="Q103" s="157"/>
      <c r="R103" s="157"/>
      <c r="S103" s="157">
        <v>1</v>
      </c>
      <c r="T103" s="157">
        <v>1</v>
      </c>
      <c r="U103" s="157"/>
      <c r="V103" s="157"/>
      <c r="W103" s="157"/>
      <c r="X103" s="157"/>
      <c r="Y103" s="157">
        <f t="shared" si="1"/>
        <v>20</v>
      </c>
    </row>
    <row r="104" spans="1:25" x14ac:dyDescent="0.35">
      <c r="A104" s="157" t="s">
        <v>495</v>
      </c>
      <c r="B104" s="157" t="s">
        <v>496</v>
      </c>
      <c r="C104" s="157"/>
      <c r="D104" s="157">
        <v>1</v>
      </c>
      <c r="E104" s="157">
        <v>6</v>
      </c>
      <c r="F104" s="157"/>
      <c r="G104" s="157">
        <v>1</v>
      </c>
      <c r="H104" s="157"/>
      <c r="I104" s="157">
        <v>11</v>
      </c>
      <c r="J104" s="157">
        <v>7</v>
      </c>
      <c r="K104" s="157">
        <v>5</v>
      </c>
      <c r="L104" s="157">
        <v>6</v>
      </c>
      <c r="M104" s="157">
        <v>2</v>
      </c>
      <c r="N104" s="157"/>
      <c r="O104" s="157"/>
      <c r="P104" s="157">
        <v>3</v>
      </c>
      <c r="Q104" s="157">
        <v>1</v>
      </c>
      <c r="R104" s="157">
        <v>1</v>
      </c>
      <c r="S104" s="157"/>
      <c r="T104" s="157"/>
      <c r="U104" s="157"/>
      <c r="V104" s="157"/>
      <c r="W104" s="157"/>
      <c r="X104" s="157"/>
      <c r="Y104" s="157">
        <f t="shared" si="1"/>
        <v>44</v>
      </c>
    </row>
    <row r="105" spans="1:25" x14ac:dyDescent="0.35">
      <c r="A105" s="157" t="s">
        <v>497</v>
      </c>
      <c r="B105" s="157" t="s">
        <v>498</v>
      </c>
      <c r="C105" s="157"/>
      <c r="D105" s="157"/>
      <c r="E105" s="157">
        <v>1</v>
      </c>
      <c r="F105" s="157"/>
      <c r="G105" s="157">
        <v>1</v>
      </c>
      <c r="H105" s="157"/>
      <c r="I105" s="157">
        <v>5</v>
      </c>
      <c r="J105" s="157"/>
      <c r="K105" s="157"/>
      <c r="L105" s="157">
        <v>1</v>
      </c>
      <c r="M105" s="157">
        <v>4</v>
      </c>
      <c r="N105" s="157">
        <v>1</v>
      </c>
      <c r="O105" s="157"/>
      <c r="P105" s="157"/>
      <c r="Q105" s="157"/>
      <c r="R105" s="157">
        <v>2</v>
      </c>
      <c r="S105" s="157"/>
      <c r="T105" s="157"/>
      <c r="U105" s="157">
        <v>1</v>
      </c>
      <c r="V105" s="157"/>
      <c r="W105" s="157"/>
      <c r="X105" s="157"/>
      <c r="Y105" s="157">
        <f t="shared" si="1"/>
        <v>16</v>
      </c>
    </row>
    <row r="106" spans="1:25" x14ac:dyDescent="0.35">
      <c r="A106" s="157" t="s">
        <v>499</v>
      </c>
      <c r="B106" s="157" t="s">
        <v>500</v>
      </c>
      <c r="C106" s="157"/>
      <c r="D106" s="157">
        <v>4</v>
      </c>
      <c r="E106" s="157">
        <v>2</v>
      </c>
      <c r="F106" s="157">
        <v>1</v>
      </c>
      <c r="G106" s="157">
        <v>2</v>
      </c>
      <c r="H106" s="157">
        <v>1</v>
      </c>
      <c r="I106" s="157">
        <v>5</v>
      </c>
      <c r="J106" s="157">
        <v>7</v>
      </c>
      <c r="K106" s="157"/>
      <c r="L106" s="157">
        <v>4</v>
      </c>
      <c r="M106" s="157">
        <v>1</v>
      </c>
      <c r="N106" s="157">
        <v>2</v>
      </c>
      <c r="O106" s="157"/>
      <c r="P106" s="157">
        <v>2</v>
      </c>
      <c r="Q106" s="157">
        <v>2</v>
      </c>
      <c r="R106" s="157">
        <v>1</v>
      </c>
      <c r="S106" s="157">
        <v>1</v>
      </c>
      <c r="T106" s="157"/>
      <c r="U106" s="157">
        <v>1</v>
      </c>
      <c r="V106" s="157"/>
      <c r="W106" s="157">
        <v>1</v>
      </c>
      <c r="X106" s="157"/>
      <c r="Y106" s="157">
        <f t="shared" si="1"/>
        <v>37</v>
      </c>
    </row>
    <row r="107" spans="1:25" x14ac:dyDescent="0.35">
      <c r="A107" s="157" t="s">
        <v>501</v>
      </c>
      <c r="B107" s="157" t="s">
        <v>502</v>
      </c>
      <c r="C107" s="157"/>
      <c r="D107" s="157"/>
      <c r="E107" s="157"/>
      <c r="F107" s="157"/>
      <c r="G107" s="157"/>
      <c r="H107" s="157"/>
      <c r="I107" s="157"/>
      <c r="J107" s="157">
        <v>2</v>
      </c>
      <c r="K107" s="157"/>
      <c r="L107" s="157">
        <v>1</v>
      </c>
      <c r="M107" s="157">
        <v>1</v>
      </c>
      <c r="N107" s="157"/>
      <c r="O107" s="157"/>
      <c r="P107" s="157"/>
      <c r="Q107" s="157"/>
      <c r="R107" s="157"/>
      <c r="S107" s="157"/>
      <c r="T107" s="157"/>
      <c r="U107" s="157"/>
      <c r="V107" s="157"/>
      <c r="W107" s="157">
        <v>1</v>
      </c>
      <c r="X107" s="157"/>
      <c r="Y107" s="157">
        <f t="shared" si="1"/>
        <v>5</v>
      </c>
    </row>
    <row r="108" spans="1:25" x14ac:dyDescent="0.35">
      <c r="A108" s="157" t="s">
        <v>503</v>
      </c>
      <c r="B108" s="157" t="s">
        <v>504</v>
      </c>
      <c r="C108" s="157">
        <v>1</v>
      </c>
      <c r="D108" s="157">
        <v>1</v>
      </c>
      <c r="E108" s="157"/>
      <c r="F108" s="157"/>
      <c r="G108" s="157"/>
      <c r="H108" s="157"/>
      <c r="I108" s="157">
        <v>2</v>
      </c>
      <c r="J108" s="157">
        <v>1</v>
      </c>
      <c r="K108" s="157"/>
      <c r="L108" s="157">
        <v>1</v>
      </c>
      <c r="M108" s="157">
        <v>2</v>
      </c>
      <c r="N108" s="157"/>
      <c r="O108" s="157"/>
      <c r="P108" s="157">
        <v>1</v>
      </c>
      <c r="Q108" s="157">
        <v>2</v>
      </c>
      <c r="R108" s="157">
        <v>1</v>
      </c>
      <c r="S108" s="157"/>
      <c r="T108" s="157">
        <v>1</v>
      </c>
      <c r="U108" s="157"/>
      <c r="V108" s="157">
        <v>2</v>
      </c>
      <c r="W108" s="157"/>
      <c r="X108" s="157"/>
      <c r="Y108" s="157">
        <f t="shared" si="1"/>
        <v>15</v>
      </c>
    </row>
    <row r="109" spans="1:25" x14ac:dyDescent="0.35">
      <c r="A109" s="157" t="s">
        <v>505</v>
      </c>
      <c r="B109" s="157" t="s">
        <v>506</v>
      </c>
      <c r="C109" s="157"/>
      <c r="D109" s="157">
        <v>2</v>
      </c>
      <c r="E109" s="157">
        <v>3</v>
      </c>
      <c r="F109" s="157">
        <v>2</v>
      </c>
      <c r="G109" s="157">
        <v>2</v>
      </c>
      <c r="H109" s="157"/>
      <c r="I109" s="157">
        <v>6</v>
      </c>
      <c r="J109" s="157">
        <v>6</v>
      </c>
      <c r="K109" s="157">
        <v>3</v>
      </c>
      <c r="L109" s="157">
        <v>11</v>
      </c>
      <c r="M109" s="157">
        <v>10</v>
      </c>
      <c r="N109" s="157"/>
      <c r="O109" s="157"/>
      <c r="P109" s="157"/>
      <c r="Q109" s="157">
        <v>2</v>
      </c>
      <c r="R109" s="157">
        <v>3</v>
      </c>
      <c r="S109" s="157">
        <v>1</v>
      </c>
      <c r="T109" s="157">
        <v>2</v>
      </c>
      <c r="U109" s="157">
        <v>1</v>
      </c>
      <c r="V109" s="157">
        <v>1</v>
      </c>
      <c r="W109" s="157"/>
      <c r="X109" s="157"/>
      <c r="Y109" s="157">
        <f t="shared" si="1"/>
        <v>55</v>
      </c>
    </row>
    <row r="110" spans="1:25" x14ac:dyDescent="0.35">
      <c r="A110" s="157" t="s">
        <v>507</v>
      </c>
      <c r="B110" s="157" t="s">
        <v>1369</v>
      </c>
      <c r="C110" s="157">
        <v>2</v>
      </c>
      <c r="D110" s="157">
        <v>11</v>
      </c>
      <c r="E110" s="157">
        <v>25</v>
      </c>
      <c r="F110" s="157">
        <v>13</v>
      </c>
      <c r="G110" s="157">
        <v>6</v>
      </c>
      <c r="H110" s="157">
        <v>7</v>
      </c>
      <c r="I110" s="157">
        <v>35</v>
      </c>
      <c r="J110" s="157">
        <v>25</v>
      </c>
      <c r="K110" s="157">
        <v>9</v>
      </c>
      <c r="L110" s="157">
        <v>24</v>
      </c>
      <c r="M110" s="157">
        <v>25</v>
      </c>
      <c r="N110" s="157">
        <v>7</v>
      </c>
      <c r="O110" s="157"/>
      <c r="P110" s="157">
        <v>3</v>
      </c>
      <c r="Q110" s="157">
        <v>5</v>
      </c>
      <c r="R110" s="157">
        <v>4</v>
      </c>
      <c r="S110" s="157">
        <v>3</v>
      </c>
      <c r="T110" s="157">
        <v>12</v>
      </c>
      <c r="U110" s="157">
        <v>2</v>
      </c>
      <c r="V110" s="157">
        <v>4</v>
      </c>
      <c r="W110" s="157">
        <v>9</v>
      </c>
      <c r="X110" s="157"/>
      <c r="Y110" s="157">
        <f t="shared" si="1"/>
        <v>231</v>
      </c>
    </row>
    <row r="111" spans="1:25" x14ac:dyDescent="0.35">
      <c r="A111" s="157" t="s">
        <v>508</v>
      </c>
      <c r="B111" s="157" t="s">
        <v>509</v>
      </c>
      <c r="C111" s="157"/>
      <c r="D111" s="157">
        <v>1</v>
      </c>
      <c r="E111" s="157">
        <v>5</v>
      </c>
      <c r="F111" s="157">
        <v>2</v>
      </c>
      <c r="G111" s="157">
        <v>1</v>
      </c>
      <c r="H111" s="157">
        <v>2</v>
      </c>
      <c r="I111" s="157">
        <v>6</v>
      </c>
      <c r="J111" s="157">
        <v>8</v>
      </c>
      <c r="K111" s="157">
        <v>2</v>
      </c>
      <c r="L111" s="157">
        <v>9</v>
      </c>
      <c r="M111" s="157">
        <v>6</v>
      </c>
      <c r="N111" s="157"/>
      <c r="O111" s="157"/>
      <c r="P111" s="157"/>
      <c r="Q111" s="157"/>
      <c r="R111" s="157">
        <v>3</v>
      </c>
      <c r="S111" s="157">
        <v>1</v>
      </c>
      <c r="T111" s="157">
        <v>1</v>
      </c>
      <c r="U111" s="157"/>
      <c r="V111" s="157"/>
      <c r="W111" s="157">
        <v>1</v>
      </c>
      <c r="X111" s="157"/>
      <c r="Y111" s="157">
        <f t="shared" si="1"/>
        <v>48</v>
      </c>
    </row>
    <row r="112" spans="1:25" x14ac:dyDescent="0.35">
      <c r="A112" s="157" t="s">
        <v>510</v>
      </c>
      <c r="B112" s="157" t="s">
        <v>511</v>
      </c>
      <c r="C112" s="157"/>
      <c r="D112" s="157">
        <v>2</v>
      </c>
      <c r="E112" s="157">
        <v>1</v>
      </c>
      <c r="F112" s="157"/>
      <c r="G112" s="157"/>
      <c r="H112" s="157"/>
      <c r="I112" s="157">
        <v>1</v>
      </c>
      <c r="J112" s="157">
        <v>1</v>
      </c>
      <c r="K112" s="157"/>
      <c r="L112" s="157"/>
      <c r="M112" s="157"/>
      <c r="N112" s="157"/>
      <c r="O112" s="157"/>
      <c r="P112" s="157"/>
      <c r="Q112" s="157"/>
      <c r="R112" s="157">
        <v>1</v>
      </c>
      <c r="S112" s="157"/>
      <c r="T112" s="157"/>
      <c r="U112" s="157"/>
      <c r="V112" s="157"/>
      <c r="W112" s="157">
        <v>1</v>
      </c>
      <c r="X112" s="157"/>
      <c r="Y112" s="157">
        <f t="shared" si="1"/>
        <v>7</v>
      </c>
    </row>
    <row r="113" spans="1:25" x14ac:dyDescent="0.35">
      <c r="A113" s="157" t="s">
        <v>512</v>
      </c>
      <c r="B113" s="157" t="s">
        <v>127</v>
      </c>
      <c r="C113" s="157">
        <v>1</v>
      </c>
      <c r="D113" s="157">
        <v>2</v>
      </c>
      <c r="E113" s="157">
        <v>12</v>
      </c>
      <c r="F113" s="157">
        <v>2</v>
      </c>
      <c r="G113" s="157">
        <v>2</v>
      </c>
      <c r="H113" s="157">
        <v>4</v>
      </c>
      <c r="I113" s="157">
        <v>28</v>
      </c>
      <c r="J113" s="157">
        <v>11</v>
      </c>
      <c r="K113" s="157">
        <v>4</v>
      </c>
      <c r="L113" s="157">
        <v>12</v>
      </c>
      <c r="M113" s="157">
        <v>13</v>
      </c>
      <c r="N113" s="157"/>
      <c r="O113" s="157"/>
      <c r="P113" s="157"/>
      <c r="Q113" s="157"/>
      <c r="R113" s="157">
        <v>1</v>
      </c>
      <c r="S113" s="157"/>
      <c r="T113" s="157">
        <v>1</v>
      </c>
      <c r="U113" s="157"/>
      <c r="V113" s="157">
        <v>3</v>
      </c>
      <c r="W113" s="157">
        <v>3</v>
      </c>
      <c r="X113" s="157"/>
      <c r="Y113" s="157">
        <f t="shared" si="1"/>
        <v>99</v>
      </c>
    </row>
    <row r="114" spans="1:25" x14ac:dyDescent="0.35">
      <c r="A114" s="157" t="s">
        <v>515</v>
      </c>
      <c r="B114" s="157" t="s">
        <v>516</v>
      </c>
      <c r="C114" s="157"/>
      <c r="D114" s="157"/>
      <c r="E114" s="157"/>
      <c r="F114" s="157"/>
      <c r="G114" s="157"/>
      <c r="H114" s="157"/>
      <c r="I114" s="157"/>
      <c r="J114" s="157">
        <v>2</v>
      </c>
      <c r="K114" s="157"/>
      <c r="L114" s="157">
        <v>5</v>
      </c>
      <c r="M114" s="157">
        <v>2</v>
      </c>
      <c r="N114" s="157"/>
      <c r="O114" s="157"/>
      <c r="P114" s="157"/>
      <c r="Q114" s="157"/>
      <c r="R114" s="157">
        <v>1</v>
      </c>
      <c r="S114" s="157"/>
      <c r="T114" s="157"/>
      <c r="U114" s="157"/>
      <c r="V114" s="157"/>
      <c r="W114" s="157">
        <v>1</v>
      </c>
      <c r="X114" s="157"/>
      <c r="Y114" s="157">
        <f t="shared" si="1"/>
        <v>11</v>
      </c>
    </row>
    <row r="115" spans="1:25" x14ac:dyDescent="0.35">
      <c r="A115" s="157" t="s">
        <v>517</v>
      </c>
      <c r="B115" s="157" t="s">
        <v>518</v>
      </c>
      <c r="C115" s="157"/>
      <c r="D115" s="157">
        <v>4</v>
      </c>
      <c r="E115" s="157"/>
      <c r="F115" s="157"/>
      <c r="G115" s="157"/>
      <c r="H115" s="157"/>
      <c r="I115" s="157">
        <v>3</v>
      </c>
      <c r="J115" s="157">
        <v>7</v>
      </c>
      <c r="K115" s="157">
        <v>1</v>
      </c>
      <c r="L115" s="157">
        <v>9</v>
      </c>
      <c r="M115" s="157">
        <v>1</v>
      </c>
      <c r="N115" s="157"/>
      <c r="O115" s="157"/>
      <c r="P115" s="157"/>
      <c r="Q115" s="157">
        <v>1</v>
      </c>
      <c r="R115" s="157"/>
      <c r="S115" s="157"/>
      <c r="T115" s="157">
        <v>1</v>
      </c>
      <c r="U115" s="157">
        <v>1</v>
      </c>
      <c r="V115" s="157">
        <v>1</v>
      </c>
      <c r="W115" s="157"/>
      <c r="X115" s="157"/>
      <c r="Y115" s="157">
        <f t="shared" si="1"/>
        <v>29</v>
      </c>
    </row>
    <row r="116" spans="1:25" x14ac:dyDescent="0.35">
      <c r="A116" s="157" t="s">
        <v>519</v>
      </c>
      <c r="B116" s="157" t="s">
        <v>520</v>
      </c>
      <c r="C116" s="157">
        <v>1</v>
      </c>
      <c r="D116" s="157">
        <v>16</v>
      </c>
      <c r="E116" s="157">
        <v>3</v>
      </c>
      <c r="F116" s="157"/>
      <c r="G116" s="157">
        <v>2</v>
      </c>
      <c r="H116" s="157">
        <v>3</v>
      </c>
      <c r="I116" s="157">
        <v>7</v>
      </c>
      <c r="J116" s="157">
        <v>28</v>
      </c>
      <c r="K116" s="157">
        <v>3</v>
      </c>
      <c r="L116" s="157">
        <v>17</v>
      </c>
      <c r="M116" s="157">
        <v>9</v>
      </c>
      <c r="N116" s="157">
        <v>1</v>
      </c>
      <c r="O116" s="157"/>
      <c r="P116" s="157"/>
      <c r="Q116" s="157">
        <v>6</v>
      </c>
      <c r="R116" s="157">
        <v>4</v>
      </c>
      <c r="S116" s="157">
        <v>3</v>
      </c>
      <c r="T116" s="157">
        <v>1</v>
      </c>
      <c r="U116" s="157"/>
      <c r="V116" s="157"/>
      <c r="W116" s="157">
        <v>1</v>
      </c>
      <c r="X116" s="157">
        <v>1</v>
      </c>
      <c r="Y116" s="157">
        <f t="shared" si="1"/>
        <v>106</v>
      </c>
    </row>
    <row r="117" spans="1:25" x14ac:dyDescent="0.35">
      <c r="A117" s="157" t="s">
        <v>521</v>
      </c>
      <c r="B117" s="157" t="s">
        <v>522</v>
      </c>
      <c r="C117" s="157"/>
      <c r="D117" s="157">
        <v>21</v>
      </c>
      <c r="E117" s="157">
        <v>15</v>
      </c>
      <c r="F117" s="157">
        <v>8</v>
      </c>
      <c r="G117" s="157">
        <v>10</v>
      </c>
      <c r="H117" s="157">
        <v>6</v>
      </c>
      <c r="I117" s="157">
        <v>18</v>
      </c>
      <c r="J117" s="157">
        <v>59</v>
      </c>
      <c r="K117" s="157">
        <v>14</v>
      </c>
      <c r="L117" s="157">
        <v>43</v>
      </c>
      <c r="M117" s="157">
        <v>17</v>
      </c>
      <c r="N117" s="157">
        <v>4</v>
      </c>
      <c r="O117" s="157"/>
      <c r="P117" s="157">
        <v>1</v>
      </c>
      <c r="Q117" s="157">
        <v>5</v>
      </c>
      <c r="R117" s="157">
        <v>2</v>
      </c>
      <c r="S117" s="157">
        <v>12</v>
      </c>
      <c r="T117" s="157">
        <v>2</v>
      </c>
      <c r="U117" s="157">
        <v>4</v>
      </c>
      <c r="V117" s="157">
        <v>3</v>
      </c>
      <c r="W117" s="157"/>
      <c r="X117" s="157"/>
      <c r="Y117" s="157">
        <f t="shared" si="1"/>
        <v>244</v>
      </c>
    </row>
    <row r="118" spans="1:25" x14ac:dyDescent="0.35">
      <c r="A118" s="157" t="s">
        <v>523</v>
      </c>
      <c r="B118" s="157" t="s">
        <v>524</v>
      </c>
      <c r="C118" s="157">
        <v>2</v>
      </c>
      <c r="D118" s="157">
        <v>1</v>
      </c>
      <c r="E118" s="157">
        <v>6</v>
      </c>
      <c r="F118" s="157">
        <v>3</v>
      </c>
      <c r="G118" s="157">
        <v>3</v>
      </c>
      <c r="H118" s="157"/>
      <c r="I118" s="157">
        <v>4</v>
      </c>
      <c r="J118" s="157">
        <v>5</v>
      </c>
      <c r="K118" s="157"/>
      <c r="L118" s="157">
        <v>12</v>
      </c>
      <c r="M118" s="157">
        <v>4</v>
      </c>
      <c r="N118" s="157">
        <v>2</v>
      </c>
      <c r="O118" s="157"/>
      <c r="P118" s="157">
        <v>1</v>
      </c>
      <c r="Q118" s="157">
        <v>3</v>
      </c>
      <c r="R118" s="157">
        <v>1</v>
      </c>
      <c r="S118" s="157">
        <v>3</v>
      </c>
      <c r="T118" s="157">
        <v>2</v>
      </c>
      <c r="U118" s="157"/>
      <c r="V118" s="157"/>
      <c r="W118" s="157">
        <v>1</v>
      </c>
      <c r="X118" s="157">
        <v>2</v>
      </c>
      <c r="Y118" s="157">
        <f t="shared" si="1"/>
        <v>55</v>
      </c>
    </row>
    <row r="119" spans="1:25" x14ac:dyDescent="0.35">
      <c r="A119" s="157" t="s">
        <v>525</v>
      </c>
      <c r="B119" s="157" t="s">
        <v>526</v>
      </c>
      <c r="C119" s="157"/>
      <c r="D119" s="157"/>
      <c r="E119" s="157"/>
      <c r="F119" s="157"/>
      <c r="G119" s="157"/>
      <c r="H119" s="157"/>
      <c r="I119" s="157">
        <v>1</v>
      </c>
      <c r="J119" s="157">
        <v>1</v>
      </c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>
        <f t="shared" si="1"/>
        <v>2</v>
      </c>
    </row>
    <row r="120" spans="1:25" x14ac:dyDescent="0.35">
      <c r="A120" s="157" t="s">
        <v>527</v>
      </c>
      <c r="B120" s="157" t="s">
        <v>528</v>
      </c>
      <c r="C120" s="157">
        <v>6</v>
      </c>
      <c r="D120" s="157">
        <v>1</v>
      </c>
      <c r="E120" s="157">
        <v>3</v>
      </c>
      <c r="F120" s="157"/>
      <c r="G120" s="157"/>
      <c r="H120" s="157"/>
      <c r="I120" s="157">
        <v>6</v>
      </c>
      <c r="J120" s="157">
        <v>1</v>
      </c>
      <c r="K120" s="157"/>
      <c r="L120" s="157">
        <v>3</v>
      </c>
      <c r="M120" s="157">
        <v>1</v>
      </c>
      <c r="N120" s="157"/>
      <c r="O120" s="157"/>
      <c r="P120" s="157"/>
      <c r="Q120" s="157"/>
      <c r="R120" s="157"/>
      <c r="S120" s="157">
        <v>1</v>
      </c>
      <c r="T120" s="157">
        <v>2</v>
      </c>
      <c r="U120" s="157"/>
      <c r="V120" s="157"/>
      <c r="W120" s="157"/>
      <c r="X120" s="157"/>
      <c r="Y120" s="157">
        <f t="shared" si="1"/>
        <v>24</v>
      </c>
    </row>
    <row r="121" spans="1:25" x14ac:dyDescent="0.35">
      <c r="A121" s="157" t="s">
        <v>529</v>
      </c>
      <c r="B121" s="157" t="s">
        <v>530</v>
      </c>
      <c r="C121" s="157"/>
      <c r="D121" s="157"/>
      <c r="E121" s="157"/>
      <c r="F121" s="157">
        <v>1</v>
      </c>
      <c r="G121" s="157"/>
      <c r="H121" s="157"/>
      <c r="I121" s="157"/>
      <c r="J121" s="157"/>
      <c r="K121" s="157">
        <v>1</v>
      </c>
      <c r="L121" s="157">
        <v>3</v>
      </c>
      <c r="M121" s="157">
        <v>1</v>
      </c>
      <c r="N121" s="157">
        <v>1</v>
      </c>
      <c r="O121" s="157"/>
      <c r="P121" s="157"/>
      <c r="Q121" s="157"/>
      <c r="R121" s="157">
        <v>1</v>
      </c>
      <c r="S121" s="157">
        <v>1</v>
      </c>
      <c r="T121" s="157"/>
      <c r="U121" s="157"/>
      <c r="V121" s="157"/>
      <c r="W121" s="157"/>
      <c r="X121" s="157"/>
      <c r="Y121" s="157">
        <f t="shared" si="1"/>
        <v>9</v>
      </c>
    </row>
    <row r="122" spans="1:25" x14ac:dyDescent="0.35">
      <c r="A122" s="157" t="s">
        <v>531</v>
      </c>
      <c r="B122" s="157" t="s">
        <v>532</v>
      </c>
      <c r="C122" s="157"/>
      <c r="D122" s="157"/>
      <c r="E122" s="157">
        <v>1</v>
      </c>
      <c r="F122" s="157"/>
      <c r="G122" s="157"/>
      <c r="H122" s="157">
        <v>2</v>
      </c>
      <c r="I122" s="157">
        <v>7</v>
      </c>
      <c r="J122" s="157"/>
      <c r="K122" s="157"/>
      <c r="L122" s="157">
        <v>2</v>
      </c>
      <c r="M122" s="157">
        <v>1</v>
      </c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>
        <f t="shared" si="1"/>
        <v>13</v>
      </c>
    </row>
    <row r="123" spans="1:25" x14ac:dyDescent="0.35">
      <c r="A123" s="157" t="s">
        <v>533</v>
      </c>
      <c r="B123" s="157" t="s">
        <v>534</v>
      </c>
      <c r="C123" s="157">
        <v>2</v>
      </c>
      <c r="D123" s="157">
        <v>2</v>
      </c>
      <c r="E123" s="157">
        <v>4</v>
      </c>
      <c r="F123" s="157"/>
      <c r="G123" s="157">
        <v>2</v>
      </c>
      <c r="H123" s="157"/>
      <c r="I123" s="157">
        <v>4</v>
      </c>
      <c r="J123" s="157">
        <v>3</v>
      </c>
      <c r="K123" s="157">
        <v>1</v>
      </c>
      <c r="L123" s="157">
        <v>9</v>
      </c>
      <c r="M123" s="157">
        <v>4</v>
      </c>
      <c r="N123" s="157"/>
      <c r="O123" s="157"/>
      <c r="P123" s="157">
        <v>3</v>
      </c>
      <c r="Q123" s="157">
        <v>2</v>
      </c>
      <c r="R123" s="157">
        <v>1</v>
      </c>
      <c r="S123" s="157">
        <v>3</v>
      </c>
      <c r="T123" s="157">
        <v>2</v>
      </c>
      <c r="U123" s="157">
        <v>1</v>
      </c>
      <c r="V123" s="157">
        <v>1</v>
      </c>
      <c r="W123" s="157">
        <v>2</v>
      </c>
      <c r="X123" s="157"/>
      <c r="Y123" s="157">
        <f t="shared" si="1"/>
        <v>46</v>
      </c>
    </row>
    <row r="124" spans="1:25" x14ac:dyDescent="0.35">
      <c r="A124" s="157" t="s">
        <v>535</v>
      </c>
      <c r="B124" s="157" t="s">
        <v>536</v>
      </c>
      <c r="C124" s="157"/>
      <c r="D124" s="157">
        <v>11</v>
      </c>
      <c r="E124" s="157">
        <v>3</v>
      </c>
      <c r="F124" s="157">
        <v>1</v>
      </c>
      <c r="G124" s="157">
        <v>1</v>
      </c>
      <c r="H124" s="157">
        <v>1</v>
      </c>
      <c r="I124" s="157">
        <v>1</v>
      </c>
      <c r="J124" s="157">
        <v>3</v>
      </c>
      <c r="K124" s="157"/>
      <c r="L124" s="157">
        <v>9</v>
      </c>
      <c r="M124" s="157">
        <v>3</v>
      </c>
      <c r="N124" s="157"/>
      <c r="O124" s="157"/>
      <c r="P124" s="157"/>
      <c r="Q124" s="157">
        <v>4</v>
      </c>
      <c r="R124" s="157">
        <v>2</v>
      </c>
      <c r="S124" s="157"/>
      <c r="T124" s="157"/>
      <c r="U124" s="157"/>
      <c r="V124" s="157"/>
      <c r="W124" s="157"/>
      <c r="X124" s="157"/>
      <c r="Y124" s="157">
        <f t="shared" si="1"/>
        <v>39</v>
      </c>
    </row>
    <row r="125" spans="1:25" x14ac:dyDescent="0.35">
      <c r="A125" s="157" t="s">
        <v>537</v>
      </c>
      <c r="B125" s="157" t="s">
        <v>538</v>
      </c>
      <c r="C125" s="157"/>
      <c r="D125" s="157">
        <v>1</v>
      </c>
      <c r="E125" s="157"/>
      <c r="F125" s="157">
        <v>1</v>
      </c>
      <c r="G125" s="157"/>
      <c r="H125" s="157"/>
      <c r="I125" s="157">
        <v>1</v>
      </c>
      <c r="J125" s="157">
        <v>3</v>
      </c>
      <c r="K125" s="157"/>
      <c r="L125" s="157"/>
      <c r="M125" s="157">
        <v>1</v>
      </c>
      <c r="N125" s="157"/>
      <c r="O125" s="157"/>
      <c r="P125" s="157"/>
      <c r="Q125" s="157">
        <v>2</v>
      </c>
      <c r="R125" s="157"/>
      <c r="S125" s="157">
        <v>1</v>
      </c>
      <c r="T125" s="157">
        <v>1</v>
      </c>
      <c r="U125" s="157"/>
      <c r="V125" s="157">
        <v>1</v>
      </c>
      <c r="W125" s="157"/>
      <c r="X125" s="157"/>
      <c r="Y125" s="157">
        <f t="shared" si="1"/>
        <v>12</v>
      </c>
    </row>
    <row r="126" spans="1:25" x14ac:dyDescent="0.35">
      <c r="A126" s="157" t="s">
        <v>539</v>
      </c>
      <c r="B126" s="157" t="s">
        <v>540</v>
      </c>
      <c r="C126" s="157"/>
      <c r="D126" s="157">
        <v>2</v>
      </c>
      <c r="E126" s="157">
        <v>2</v>
      </c>
      <c r="F126" s="157">
        <v>1</v>
      </c>
      <c r="G126" s="157">
        <v>2</v>
      </c>
      <c r="H126" s="157"/>
      <c r="I126" s="157">
        <v>2</v>
      </c>
      <c r="J126" s="157">
        <v>9</v>
      </c>
      <c r="K126" s="157">
        <v>1</v>
      </c>
      <c r="L126" s="157">
        <v>20</v>
      </c>
      <c r="M126" s="157">
        <v>1</v>
      </c>
      <c r="N126" s="157">
        <v>1</v>
      </c>
      <c r="O126" s="157"/>
      <c r="P126" s="157"/>
      <c r="Q126" s="157">
        <v>4</v>
      </c>
      <c r="R126" s="157">
        <v>1</v>
      </c>
      <c r="S126" s="157"/>
      <c r="T126" s="157">
        <v>2</v>
      </c>
      <c r="U126" s="157">
        <v>1</v>
      </c>
      <c r="V126" s="157"/>
      <c r="W126" s="157">
        <v>1</v>
      </c>
      <c r="X126" s="157"/>
      <c r="Y126" s="157">
        <f t="shared" si="1"/>
        <v>50</v>
      </c>
    </row>
    <row r="127" spans="1:25" x14ac:dyDescent="0.35">
      <c r="A127" s="157" t="s">
        <v>541</v>
      </c>
      <c r="B127" s="157" t="s">
        <v>542</v>
      </c>
      <c r="C127" s="157"/>
      <c r="D127" s="157"/>
      <c r="E127" s="157">
        <v>1</v>
      </c>
      <c r="F127" s="157"/>
      <c r="G127" s="157"/>
      <c r="H127" s="157"/>
      <c r="I127" s="157">
        <v>6</v>
      </c>
      <c r="J127" s="157">
        <v>1</v>
      </c>
      <c r="K127" s="157"/>
      <c r="L127" s="157">
        <v>6</v>
      </c>
      <c r="M127" s="157">
        <v>2</v>
      </c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>
        <f t="shared" si="1"/>
        <v>16</v>
      </c>
    </row>
    <row r="128" spans="1:25" x14ac:dyDescent="0.35">
      <c r="A128" s="157" t="s">
        <v>543</v>
      </c>
      <c r="B128" s="157" t="s">
        <v>544</v>
      </c>
      <c r="C128" s="157"/>
      <c r="D128" s="157"/>
      <c r="E128" s="157"/>
      <c r="F128" s="157"/>
      <c r="G128" s="157"/>
      <c r="H128" s="157">
        <v>2</v>
      </c>
      <c r="I128" s="157">
        <v>1</v>
      </c>
      <c r="J128" s="157">
        <v>1</v>
      </c>
      <c r="K128" s="157"/>
      <c r="L128" s="157">
        <v>3</v>
      </c>
      <c r="M128" s="157"/>
      <c r="N128" s="157"/>
      <c r="O128" s="157"/>
      <c r="P128" s="157"/>
      <c r="Q128" s="157">
        <v>1</v>
      </c>
      <c r="R128" s="157"/>
      <c r="S128" s="157"/>
      <c r="T128" s="157"/>
      <c r="U128" s="157"/>
      <c r="V128" s="157"/>
      <c r="W128" s="157"/>
      <c r="X128" s="157"/>
      <c r="Y128" s="157">
        <f t="shared" si="1"/>
        <v>8</v>
      </c>
    </row>
    <row r="129" spans="1:25" x14ac:dyDescent="0.35">
      <c r="A129" s="157" t="s">
        <v>545</v>
      </c>
      <c r="B129" s="157" t="s">
        <v>546</v>
      </c>
      <c r="C129" s="157">
        <v>1</v>
      </c>
      <c r="D129" s="157"/>
      <c r="E129" s="157"/>
      <c r="F129" s="157"/>
      <c r="G129" s="157">
        <v>2</v>
      </c>
      <c r="H129" s="157"/>
      <c r="I129" s="157">
        <v>2</v>
      </c>
      <c r="J129" s="157">
        <v>2</v>
      </c>
      <c r="K129" s="157">
        <v>1</v>
      </c>
      <c r="L129" s="157">
        <v>1</v>
      </c>
      <c r="M129" s="157"/>
      <c r="N129" s="157"/>
      <c r="O129" s="157"/>
      <c r="P129" s="157">
        <v>1</v>
      </c>
      <c r="Q129" s="157">
        <v>1</v>
      </c>
      <c r="R129" s="157"/>
      <c r="S129" s="157">
        <v>2</v>
      </c>
      <c r="T129" s="157"/>
      <c r="U129" s="157">
        <v>1</v>
      </c>
      <c r="V129" s="157"/>
      <c r="W129" s="157"/>
      <c r="X129" s="157"/>
      <c r="Y129" s="157">
        <f t="shared" si="1"/>
        <v>14</v>
      </c>
    </row>
    <row r="130" spans="1:25" x14ac:dyDescent="0.35">
      <c r="A130" s="157" t="s">
        <v>547</v>
      </c>
      <c r="B130" s="157" t="s">
        <v>1225</v>
      </c>
      <c r="C130" s="157"/>
      <c r="D130" s="157">
        <v>1</v>
      </c>
      <c r="E130" s="157"/>
      <c r="F130" s="157"/>
      <c r="G130" s="157"/>
      <c r="H130" s="157"/>
      <c r="I130" s="157">
        <v>1</v>
      </c>
      <c r="J130" s="157">
        <v>2</v>
      </c>
      <c r="K130" s="157"/>
      <c r="L130" s="157">
        <v>3</v>
      </c>
      <c r="M130" s="157"/>
      <c r="N130" s="157">
        <v>1</v>
      </c>
      <c r="O130" s="157"/>
      <c r="P130" s="157"/>
      <c r="Q130" s="157">
        <v>1</v>
      </c>
      <c r="R130" s="157"/>
      <c r="S130" s="157">
        <v>1</v>
      </c>
      <c r="T130" s="157"/>
      <c r="U130" s="157"/>
      <c r="V130" s="157"/>
      <c r="W130" s="157"/>
      <c r="X130" s="157"/>
      <c r="Y130" s="157">
        <f t="shared" si="1"/>
        <v>10</v>
      </c>
    </row>
    <row r="131" spans="1:25" x14ac:dyDescent="0.35">
      <c r="A131" s="157" t="s">
        <v>548</v>
      </c>
      <c r="B131" s="157" t="s">
        <v>549</v>
      </c>
      <c r="C131" s="157">
        <v>8</v>
      </c>
      <c r="D131" s="157">
        <v>24</v>
      </c>
      <c r="E131" s="157">
        <v>39</v>
      </c>
      <c r="F131" s="157">
        <v>18</v>
      </c>
      <c r="G131" s="157">
        <v>21</v>
      </c>
      <c r="H131" s="157">
        <v>12</v>
      </c>
      <c r="I131" s="157">
        <v>21</v>
      </c>
      <c r="J131" s="157">
        <v>59</v>
      </c>
      <c r="K131" s="157">
        <v>15</v>
      </c>
      <c r="L131" s="157">
        <v>95</v>
      </c>
      <c r="M131" s="157">
        <v>28</v>
      </c>
      <c r="N131" s="157">
        <v>13</v>
      </c>
      <c r="O131" s="157">
        <v>1</v>
      </c>
      <c r="P131" s="157">
        <v>6</v>
      </c>
      <c r="Q131" s="157">
        <v>28</v>
      </c>
      <c r="R131" s="157">
        <v>8</v>
      </c>
      <c r="S131" s="157">
        <v>11</v>
      </c>
      <c r="T131" s="157">
        <v>15</v>
      </c>
      <c r="U131" s="157">
        <v>8</v>
      </c>
      <c r="V131" s="157">
        <v>2</v>
      </c>
      <c r="W131" s="157">
        <v>15</v>
      </c>
      <c r="X131" s="157">
        <v>1</v>
      </c>
      <c r="Y131" s="157">
        <f t="shared" si="1"/>
        <v>448</v>
      </c>
    </row>
    <row r="132" spans="1:25" x14ac:dyDescent="0.35">
      <c r="A132" s="157" t="s">
        <v>550</v>
      </c>
      <c r="B132" s="157" t="s">
        <v>1226</v>
      </c>
      <c r="C132" s="157"/>
      <c r="D132" s="157"/>
      <c r="E132" s="157"/>
      <c r="F132" s="157"/>
      <c r="G132" s="157"/>
      <c r="H132" s="157">
        <v>1</v>
      </c>
      <c r="I132" s="157"/>
      <c r="J132" s="157">
        <v>1</v>
      </c>
      <c r="K132" s="157">
        <v>1</v>
      </c>
      <c r="L132" s="157">
        <v>6</v>
      </c>
      <c r="M132" s="157">
        <v>1</v>
      </c>
      <c r="N132" s="157"/>
      <c r="O132" s="157"/>
      <c r="P132" s="157"/>
      <c r="Q132" s="157"/>
      <c r="R132" s="157">
        <v>1</v>
      </c>
      <c r="S132" s="157">
        <v>1</v>
      </c>
      <c r="T132" s="157"/>
      <c r="U132" s="157">
        <v>1</v>
      </c>
      <c r="V132" s="157"/>
      <c r="W132" s="157">
        <v>1</v>
      </c>
      <c r="X132" s="157"/>
      <c r="Y132" s="157">
        <f t="shared" si="1"/>
        <v>14</v>
      </c>
    </row>
    <row r="133" spans="1:25" x14ac:dyDescent="0.35">
      <c r="A133" s="157" t="s">
        <v>551</v>
      </c>
      <c r="B133" s="157" t="s">
        <v>552</v>
      </c>
      <c r="C133" s="157"/>
      <c r="D133" s="157"/>
      <c r="E133" s="157">
        <v>1</v>
      </c>
      <c r="F133" s="157">
        <v>1</v>
      </c>
      <c r="G133" s="157"/>
      <c r="H133" s="157"/>
      <c r="I133" s="157"/>
      <c r="J133" s="157">
        <v>1</v>
      </c>
      <c r="K133" s="157">
        <v>2</v>
      </c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>
        <f t="shared" si="1"/>
        <v>5</v>
      </c>
    </row>
    <row r="134" spans="1:25" x14ac:dyDescent="0.35">
      <c r="A134" s="157" t="s">
        <v>553</v>
      </c>
      <c r="B134" s="157" t="s">
        <v>1370</v>
      </c>
      <c r="C134" s="157"/>
      <c r="D134" s="157">
        <v>1</v>
      </c>
      <c r="E134" s="157">
        <v>1</v>
      </c>
      <c r="F134" s="157"/>
      <c r="G134" s="157">
        <v>1</v>
      </c>
      <c r="H134" s="157">
        <v>1</v>
      </c>
      <c r="I134" s="157">
        <v>2</v>
      </c>
      <c r="J134" s="157">
        <v>5</v>
      </c>
      <c r="K134" s="157">
        <v>2</v>
      </c>
      <c r="L134" s="157">
        <v>10</v>
      </c>
      <c r="M134" s="157">
        <v>1</v>
      </c>
      <c r="N134" s="157">
        <v>1</v>
      </c>
      <c r="O134" s="157"/>
      <c r="P134" s="157">
        <v>1</v>
      </c>
      <c r="Q134" s="157"/>
      <c r="R134" s="157"/>
      <c r="S134" s="157"/>
      <c r="T134" s="157">
        <v>1</v>
      </c>
      <c r="U134" s="157"/>
      <c r="V134" s="157"/>
      <c r="W134" s="157">
        <v>1</v>
      </c>
      <c r="X134" s="157"/>
      <c r="Y134" s="157">
        <f t="shared" ref="Y134:Y197" si="2">+SUM(C134:X134)</f>
        <v>28</v>
      </c>
    </row>
    <row r="135" spans="1:25" x14ac:dyDescent="0.35">
      <c r="A135" s="157" t="s">
        <v>554</v>
      </c>
      <c r="B135" s="157" t="s">
        <v>1371</v>
      </c>
      <c r="C135" s="157"/>
      <c r="D135" s="157">
        <v>2</v>
      </c>
      <c r="E135" s="157">
        <v>1</v>
      </c>
      <c r="F135" s="157">
        <v>1</v>
      </c>
      <c r="G135" s="157">
        <v>2</v>
      </c>
      <c r="H135" s="157">
        <v>1</v>
      </c>
      <c r="I135" s="157">
        <v>2</v>
      </c>
      <c r="J135" s="157">
        <v>23</v>
      </c>
      <c r="K135" s="157">
        <v>1</v>
      </c>
      <c r="L135" s="157">
        <v>24</v>
      </c>
      <c r="M135" s="157">
        <v>2</v>
      </c>
      <c r="N135" s="157"/>
      <c r="O135" s="157"/>
      <c r="P135" s="157"/>
      <c r="Q135" s="157">
        <v>2</v>
      </c>
      <c r="R135" s="157">
        <v>2</v>
      </c>
      <c r="S135" s="157">
        <v>2</v>
      </c>
      <c r="T135" s="157"/>
      <c r="U135" s="157"/>
      <c r="V135" s="157"/>
      <c r="W135" s="157">
        <v>1</v>
      </c>
      <c r="X135" s="157"/>
      <c r="Y135" s="157">
        <f t="shared" si="2"/>
        <v>66</v>
      </c>
    </row>
    <row r="136" spans="1:25" x14ac:dyDescent="0.35">
      <c r="A136" s="157" t="s">
        <v>555</v>
      </c>
      <c r="B136" s="157" t="s">
        <v>556</v>
      </c>
      <c r="C136" s="157"/>
      <c r="D136" s="157"/>
      <c r="E136" s="157">
        <v>2</v>
      </c>
      <c r="F136" s="157">
        <v>1</v>
      </c>
      <c r="G136" s="157">
        <v>2</v>
      </c>
      <c r="H136" s="157"/>
      <c r="I136" s="157"/>
      <c r="J136" s="157">
        <v>2</v>
      </c>
      <c r="K136" s="157">
        <v>1</v>
      </c>
      <c r="L136" s="157">
        <v>6</v>
      </c>
      <c r="M136" s="157">
        <v>1</v>
      </c>
      <c r="N136" s="157">
        <v>1</v>
      </c>
      <c r="O136" s="157"/>
      <c r="P136" s="157"/>
      <c r="Q136" s="157"/>
      <c r="R136" s="157">
        <v>1</v>
      </c>
      <c r="S136" s="157"/>
      <c r="T136" s="157"/>
      <c r="U136" s="157"/>
      <c r="V136" s="157"/>
      <c r="W136" s="157">
        <v>1</v>
      </c>
      <c r="X136" s="157"/>
      <c r="Y136" s="157">
        <f t="shared" si="2"/>
        <v>18</v>
      </c>
    </row>
    <row r="137" spans="1:25" x14ac:dyDescent="0.35">
      <c r="A137" s="157" t="s">
        <v>557</v>
      </c>
      <c r="B137" s="157" t="s">
        <v>558</v>
      </c>
      <c r="C137" s="157">
        <v>1</v>
      </c>
      <c r="D137" s="157">
        <v>16</v>
      </c>
      <c r="E137" s="157">
        <v>19</v>
      </c>
      <c r="F137" s="157">
        <v>4</v>
      </c>
      <c r="G137" s="157">
        <v>12</v>
      </c>
      <c r="H137" s="157">
        <v>7</v>
      </c>
      <c r="I137" s="157">
        <v>20</v>
      </c>
      <c r="J137" s="157">
        <v>90</v>
      </c>
      <c r="K137" s="157">
        <v>3</v>
      </c>
      <c r="L137" s="157">
        <v>65</v>
      </c>
      <c r="M137" s="157">
        <v>24</v>
      </c>
      <c r="N137" s="157">
        <v>1</v>
      </c>
      <c r="O137" s="157"/>
      <c r="P137" s="157"/>
      <c r="Q137" s="157">
        <v>9</v>
      </c>
      <c r="R137" s="157">
        <v>1</v>
      </c>
      <c r="S137" s="157"/>
      <c r="T137" s="157">
        <v>6</v>
      </c>
      <c r="U137" s="157"/>
      <c r="V137" s="157">
        <v>2</v>
      </c>
      <c r="W137" s="157">
        <v>3</v>
      </c>
      <c r="X137" s="157">
        <v>2</v>
      </c>
      <c r="Y137" s="157">
        <f t="shared" si="2"/>
        <v>285</v>
      </c>
    </row>
    <row r="138" spans="1:25" x14ac:dyDescent="0.35">
      <c r="A138" s="157" t="s">
        <v>559</v>
      </c>
      <c r="B138" s="157" t="s">
        <v>560</v>
      </c>
      <c r="C138" s="157"/>
      <c r="D138" s="157"/>
      <c r="E138" s="157">
        <v>4</v>
      </c>
      <c r="F138" s="157"/>
      <c r="G138" s="157"/>
      <c r="H138" s="157"/>
      <c r="I138" s="157"/>
      <c r="J138" s="157">
        <v>4</v>
      </c>
      <c r="K138" s="157">
        <v>2</v>
      </c>
      <c r="L138" s="157">
        <v>4</v>
      </c>
      <c r="M138" s="157">
        <v>5</v>
      </c>
      <c r="N138" s="157"/>
      <c r="O138" s="157"/>
      <c r="P138" s="157"/>
      <c r="Q138" s="157"/>
      <c r="R138" s="157"/>
      <c r="S138" s="157"/>
      <c r="T138" s="157">
        <v>2</v>
      </c>
      <c r="U138" s="157"/>
      <c r="V138" s="157"/>
      <c r="W138" s="157"/>
      <c r="X138" s="157"/>
      <c r="Y138" s="157">
        <f t="shared" si="2"/>
        <v>21</v>
      </c>
    </row>
    <row r="139" spans="1:25" x14ac:dyDescent="0.35">
      <c r="A139" s="157" t="s">
        <v>561</v>
      </c>
      <c r="B139" s="157" t="s">
        <v>562</v>
      </c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>
        <v>2</v>
      </c>
      <c r="N139" s="157"/>
      <c r="O139" s="157"/>
      <c r="P139" s="157"/>
      <c r="Q139" s="157"/>
      <c r="R139" s="157"/>
      <c r="S139" s="157"/>
      <c r="T139" s="157"/>
      <c r="U139" s="157"/>
      <c r="V139" s="157"/>
      <c r="W139" s="157">
        <v>1</v>
      </c>
      <c r="X139" s="157"/>
      <c r="Y139" s="157">
        <f t="shared" si="2"/>
        <v>3</v>
      </c>
    </row>
    <row r="140" spans="1:25" x14ac:dyDescent="0.35">
      <c r="A140" s="157" t="s">
        <v>1324</v>
      </c>
      <c r="B140" s="157" t="s">
        <v>1325</v>
      </c>
      <c r="C140" s="157"/>
      <c r="D140" s="157"/>
      <c r="E140" s="157">
        <v>1</v>
      </c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>
        <f t="shared" si="2"/>
        <v>1</v>
      </c>
    </row>
    <row r="141" spans="1:25" x14ac:dyDescent="0.35">
      <c r="A141" s="157" t="s">
        <v>563</v>
      </c>
      <c r="B141" s="157" t="s">
        <v>564</v>
      </c>
      <c r="C141" s="157"/>
      <c r="D141" s="157"/>
      <c r="E141" s="157">
        <v>1</v>
      </c>
      <c r="F141" s="157"/>
      <c r="G141" s="157"/>
      <c r="H141" s="157"/>
      <c r="I141" s="157">
        <v>1</v>
      </c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>
        <v>1</v>
      </c>
      <c r="U141" s="157"/>
      <c r="V141" s="157"/>
      <c r="W141" s="157"/>
      <c r="X141" s="157"/>
      <c r="Y141" s="157">
        <f t="shared" si="2"/>
        <v>3</v>
      </c>
    </row>
    <row r="142" spans="1:25" x14ac:dyDescent="0.35">
      <c r="A142" s="157" t="s">
        <v>565</v>
      </c>
      <c r="B142" s="157" t="s">
        <v>566</v>
      </c>
      <c r="C142" s="157"/>
      <c r="D142" s="157"/>
      <c r="E142" s="157">
        <v>1</v>
      </c>
      <c r="F142" s="157">
        <v>1</v>
      </c>
      <c r="G142" s="157"/>
      <c r="H142" s="157"/>
      <c r="I142" s="157">
        <v>1</v>
      </c>
      <c r="J142" s="157">
        <v>2</v>
      </c>
      <c r="K142" s="157">
        <v>1</v>
      </c>
      <c r="L142" s="157">
        <v>5</v>
      </c>
      <c r="M142" s="157">
        <v>1</v>
      </c>
      <c r="N142" s="157"/>
      <c r="O142" s="157"/>
      <c r="P142" s="157"/>
      <c r="Q142" s="157"/>
      <c r="R142" s="157"/>
      <c r="S142" s="157">
        <v>1</v>
      </c>
      <c r="T142" s="157">
        <v>1</v>
      </c>
      <c r="U142" s="157"/>
      <c r="V142" s="157"/>
      <c r="W142" s="157"/>
      <c r="X142" s="157"/>
      <c r="Y142" s="157">
        <f t="shared" si="2"/>
        <v>14</v>
      </c>
    </row>
    <row r="143" spans="1:25" x14ac:dyDescent="0.35">
      <c r="A143" s="157" t="s">
        <v>567</v>
      </c>
      <c r="B143" s="157" t="s">
        <v>568</v>
      </c>
      <c r="C143" s="157"/>
      <c r="D143" s="157">
        <v>1</v>
      </c>
      <c r="E143" s="157"/>
      <c r="F143" s="157"/>
      <c r="G143" s="157"/>
      <c r="H143" s="157"/>
      <c r="I143" s="157">
        <v>2</v>
      </c>
      <c r="J143" s="157"/>
      <c r="K143" s="157"/>
      <c r="L143" s="157">
        <v>1</v>
      </c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>
        <f t="shared" si="2"/>
        <v>4</v>
      </c>
    </row>
    <row r="144" spans="1:25" x14ac:dyDescent="0.35">
      <c r="A144" s="157" t="s">
        <v>569</v>
      </c>
      <c r="B144" s="157" t="s">
        <v>570</v>
      </c>
      <c r="C144" s="157"/>
      <c r="D144" s="157"/>
      <c r="E144" s="157">
        <v>2</v>
      </c>
      <c r="F144" s="157"/>
      <c r="G144" s="157"/>
      <c r="H144" s="157">
        <v>1</v>
      </c>
      <c r="I144" s="157">
        <v>2</v>
      </c>
      <c r="J144" s="157"/>
      <c r="K144" s="157"/>
      <c r="L144" s="157">
        <v>1</v>
      </c>
      <c r="M144" s="157">
        <v>2</v>
      </c>
      <c r="N144" s="157"/>
      <c r="O144" s="157"/>
      <c r="P144" s="157"/>
      <c r="Q144" s="157">
        <v>1</v>
      </c>
      <c r="R144" s="157"/>
      <c r="S144" s="157"/>
      <c r="T144" s="157"/>
      <c r="U144" s="157"/>
      <c r="V144" s="157"/>
      <c r="W144" s="157"/>
      <c r="X144" s="157"/>
      <c r="Y144" s="157">
        <f t="shared" si="2"/>
        <v>9</v>
      </c>
    </row>
    <row r="145" spans="1:25" x14ac:dyDescent="0.35">
      <c r="A145" s="157" t="s">
        <v>571</v>
      </c>
      <c r="B145" s="157" t="s">
        <v>572</v>
      </c>
      <c r="C145" s="157"/>
      <c r="D145" s="157"/>
      <c r="E145" s="157">
        <v>2</v>
      </c>
      <c r="F145" s="157"/>
      <c r="G145" s="157"/>
      <c r="H145" s="157"/>
      <c r="I145" s="157"/>
      <c r="J145" s="157"/>
      <c r="K145" s="157">
        <v>1</v>
      </c>
      <c r="L145" s="157">
        <v>13</v>
      </c>
      <c r="M145" s="157"/>
      <c r="N145" s="157"/>
      <c r="O145" s="157"/>
      <c r="P145" s="157"/>
      <c r="Q145" s="157">
        <v>1</v>
      </c>
      <c r="R145" s="157"/>
      <c r="S145" s="157">
        <v>1</v>
      </c>
      <c r="T145" s="157"/>
      <c r="U145" s="157"/>
      <c r="V145" s="157"/>
      <c r="W145" s="157"/>
      <c r="X145" s="157"/>
      <c r="Y145" s="157">
        <f t="shared" si="2"/>
        <v>18</v>
      </c>
    </row>
    <row r="146" spans="1:25" x14ac:dyDescent="0.35">
      <c r="A146" s="157" t="s">
        <v>573</v>
      </c>
      <c r="B146" s="157" t="s">
        <v>574</v>
      </c>
      <c r="C146" s="157"/>
      <c r="D146" s="157"/>
      <c r="E146" s="157">
        <v>1</v>
      </c>
      <c r="F146" s="157">
        <v>1</v>
      </c>
      <c r="G146" s="157">
        <v>1</v>
      </c>
      <c r="H146" s="157"/>
      <c r="I146" s="157"/>
      <c r="J146" s="157">
        <v>1</v>
      </c>
      <c r="K146" s="157"/>
      <c r="L146" s="157">
        <v>4</v>
      </c>
      <c r="M146" s="157">
        <v>1</v>
      </c>
      <c r="N146" s="157"/>
      <c r="O146" s="157"/>
      <c r="P146" s="157">
        <v>1</v>
      </c>
      <c r="Q146" s="157"/>
      <c r="R146" s="157"/>
      <c r="S146" s="157"/>
      <c r="T146" s="157"/>
      <c r="U146" s="157"/>
      <c r="V146" s="157"/>
      <c r="W146" s="157"/>
      <c r="X146" s="157"/>
      <c r="Y146" s="157">
        <f t="shared" si="2"/>
        <v>10</v>
      </c>
    </row>
    <row r="147" spans="1:25" x14ac:dyDescent="0.35">
      <c r="A147" s="157" t="s">
        <v>575</v>
      </c>
      <c r="B147" s="157" t="s">
        <v>576</v>
      </c>
      <c r="C147" s="157"/>
      <c r="D147" s="157">
        <v>2</v>
      </c>
      <c r="E147" s="157"/>
      <c r="F147" s="157"/>
      <c r="G147" s="157">
        <v>2</v>
      </c>
      <c r="H147" s="157"/>
      <c r="I147" s="157">
        <v>1</v>
      </c>
      <c r="J147" s="157">
        <v>5</v>
      </c>
      <c r="K147" s="157">
        <v>2</v>
      </c>
      <c r="L147" s="157"/>
      <c r="M147" s="157">
        <v>2</v>
      </c>
      <c r="N147" s="157"/>
      <c r="O147" s="157"/>
      <c r="P147" s="157"/>
      <c r="Q147" s="157">
        <v>1</v>
      </c>
      <c r="R147" s="157"/>
      <c r="S147" s="157"/>
      <c r="T147" s="157"/>
      <c r="U147" s="157"/>
      <c r="V147" s="157"/>
      <c r="W147" s="157"/>
      <c r="X147" s="157"/>
      <c r="Y147" s="157">
        <f t="shared" si="2"/>
        <v>15</v>
      </c>
    </row>
    <row r="148" spans="1:25" x14ac:dyDescent="0.35">
      <c r="A148" s="157" t="s">
        <v>577</v>
      </c>
      <c r="B148" s="157" t="s">
        <v>578</v>
      </c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>
        <v>1</v>
      </c>
      <c r="X148" s="157"/>
      <c r="Y148" s="157">
        <f t="shared" si="2"/>
        <v>1</v>
      </c>
    </row>
    <row r="149" spans="1:25" x14ac:dyDescent="0.35">
      <c r="A149" s="157" t="s">
        <v>579</v>
      </c>
      <c r="B149" s="157" t="s">
        <v>580</v>
      </c>
      <c r="C149" s="157"/>
      <c r="D149" s="157"/>
      <c r="E149" s="157">
        <v>1</v>
      </c>
      <c r="F149" s="157"/>
      <c r="G149" s="157"/>
      <c r="H149" s="157"/>
      <c r="I149" s="157"/>
      <c r="J149" s="157">
        <v>1</v>
      </c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>
        <f t="shared" si="2"/>
        <v>2</v>
      </c>
    </row>
    <row r="150" spans="1:25" x14ac:dyDescent="0.35">
      <c r="A150" s="157" t="s">
        <v>581</v>
      </c>
      <c r="B150" s="157" t="s">
        <v>582</v>
      </c>
      <c r="C150" s="157"/>
      <c r="D150" s="157"/>
      <c r="E150" s="157"/>
      <c r="F150" s="157"/>
      <c r="G150" s="157"/>
      <c r="H150" s="157"/>
      <c r="I150" s="157">
        <v>1</v>
      </c>
      <c r="J150" s="157">
        <v>1</v>
      </c>
      <c r="K150" s="157"/>
      <c r="L150" s="157">
        <v>1</v>
      </c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>
        <f t="shared" si="2"/>
        <v>3</v>
      </c>
    </row>
    <row r="151" spans="1:25" x14ac:dyDescent="0.35">
      <c r="A151" s="157" t="s">
        <v>583</v>
      </c>
      <c r="B151" s="157" t="s">
        <v>584</v>
      </c>
      <c r="C151" s="157"/>
      <c r="D151" s="157"/>
      <c r="E151" s="157">
        <v>2</v>
      </c>
      <c r="F151" s="157">
        <v>2</v>
      </c>
      <c r="G151" s="157"/>
      <c r="H151" s="157">
        <v>1</v>
      </c>
      <c r="I151" s="157">
        <v>4</v>
      </c>
      <c r="J151" s="157">
        <v>6</v>
      </c>
      <c r="K151" s="157">
        <v>1</v>
      </c>
      <c r="L151" s="157">
        <v>3</v>
      </c>
      <c r="M151" s="157">
        <v>1</v>
      </c>
      <c r="N151" s="157"/>
      <c r="O151" s="157"/>
      <c r="P151" s="157">
        <v>1</v>
      </c>
      <c r="Q151" s="157">
        <v>1</v>
      </c>
      <c r="R151" s="157"/>
      <c r="S151" s="157"/>
      <c r="T151" s="157"/>
      <c r="U151" s="157"/>
      <c r="V151" s="157"/>
      <c r="W151" s="157"/>
      <c r="X151" s="157"/>
      <c r="Y151" s="157">
        <f t="shared" si="2"/>
        <v>22</v>
      </c>
    </row>
    <row r="152" spans="1:25" x14ac:dyDescent="0.35">
      <c r="A152" s="157" t="s">
        <v>585</v>
      </c>
      <c r="B152" s="157" t="s">
        <v>586</v>
      </c>
      <c r="C152" s="157">
        <v>1</v>
      </c>
      <c r="D152" s="157">
        <v>1</v>
      </c>
      <c r="E152" s="157">
        <v>4</v>
      </c>
      <c r="F152" s="157"/>
      <c r="G152" s="157">
        <v>1</v>
      </c>
      <c r="H152" s="157">
        <v>1</v>
      </c>
      <c r="I152" s="157">
        <v>4</v>
      </c>
      <c r="J152" s="157">
        <v>2</v>
      </c>
      <c r="K152" s="157"/>
      <c r="L152" s="157">
        <v>6</v>
      </c>
      <c r="M152" s="157"/>
      <c r="N152" s="157"/>
      <c r="O152" s="157"/>
      <c r="P152" s="157"/>
      <c r="Q152" s="157">
        <v>2</v>
      </c>
      <c r="R152" s="157"/>
      <c r="S152" s="157"/>
      <c r="T152" s="157"/>
      <c r="U152" s="157"/>
      <c r="V152" s="157"/>
      <c r="W152" s="157"/>
      <c r="X152" s="157"/>
      <c r="Y152" s="157">
        <f t="shared" si="2"/>
        <v>22</v>
      </c>
    </row>
    <row r="153" spans="1:25" x14ac:dyDescent="0.35">
      <c r="A153" s="157" t="s">
        <v>587</v>
      </c>
      <c r="B153" s="157" t="s">
        <v>588</v>
      </c>
      <c r="C153" s="157">
        <v>1</v>
      </c>
      <c r="D153" s="157">
        <v>2</v>
      </c>
      <c r="E153" s="157">
        <v>2</v>
      </c>
      <c r="F153" s="157">
        <v>1</v>
      </c>
      <c r="G153" s="157"/>
      <c r="H153" s="157">
        <v>1</v>
      </c>
      <c r="I153" s="157">
        <v>3</v>
      </c>
      <c r="J153" s="157">
        <v>5</v>
      </c>
      <c r="K153" s="157">
        <v>2</v>
      </c>
      <c r="L153" s="157">
        <v>5</v>
      </c>
      <c r="M153" s="157">
        <v>4</v>
      </c>
      <c r="N153" s="157">
        <v>2</v>
      </c>
      <c r="O153" s="157"/>
      <c r="P153" s="157"/>
      <c r="Q153" s="157">
        <v>2</v>
      </c>
      <c r="R153" s="157"/>
      <c r="S153" s="157"/>
      <c r="T153" s="157"/>
      <c r="U153" s="157"/>
      <c r="V153" s="157"/>
      <c r="W153" s="157"/>
      <c r="X153" s="157"/>
      <c r="Y153" s="157">
        <f t="shared" si="2"/>
        <v>30</v>
      </c>
    </row>
    <row r="154" spans="1:25" x14ac:dyDescent="0.35">
      <c r="A154" s="157" t="s">
        <v>589</v>
      </c>
      <c r="B154" s="157" t="s">
        <v>590</v>
      </c>
      <c r="C154" s="157"/>
      <c r="D154" s="157"/>
      <c r="E154" s="157"/>
      <c r="F154" s="157"/>
      <c r="G154" s="157"/>
      <c r="H154" s="157"/>
      <c r="I154" s="157"/>
      <c r="J154" s="157"/>
      <c r="K154" s="157"/>
      <c r="L154" s="157">
        <v>2</v>
      </c>
      <c r="M154" s="157"/>
      <c r="N154" s="157"/>
      <c r="O154" s="157"/>
      <c r="P154" s="157"/>
      <c r="Q154" s="157">
        <v>1</v>
      </c>
      <c r="R154" s="157"/>
      <c r="S154" s="157"/>
      <c r="T154" s="157">
        <v>1</v>
      </c>
      <c r="U154" s="157"/>
      <c r="V154" s="157"/>
      <c r="W154" s="157"/>
      <c r="X154" s="157"/>
      <c r="Y154" s="157">
        <f t="shared" si="2"/>
        <v>4</v>
      </c>
    </row>
    <row r="155" spans="1:25" x14ac:dyDescent="0.35">
      <c r="A155" s="157" t="s">
        <v>591</v>
      </c>
      <c r="B155" s="157" t="s">
        <v>592</v>
      </c>
      <c r="C155" s="157"/>
      <c r="D155" s="157"/>
      <c r="E155" s="157"/>
      <c r="F155" s="157">
        <v>1</v>
      </c>
      <c r="G155" s="157">
        <v>1</v>
      </c>
      <c r="H155" s="157"/>
      <c r="I155" s="157"/>
      <c r="J155" s="157">
        <v>4</v>
      </c>
      <c r="K155" s="157"/>
      <c r="L155" s="157">
        <v>2</v>
      </c>
      <c r="M155" s="157"/>
      <c r="N155" s="157"/>
      <c r="O155" s="157"/>
      <c r="P155" s="157"/>
      <c r="Q155" s="157">
        <v>1</v>
      </c>
      <c r="R155" s="157"/>
      <c r="S155" s="157"/>
      <c r="T155" s="157"/>
      <c r="U155" s="157"/>
      <c r="V155" s="157"/>
      <c r="W155" s="157"/>
      <c r="X155" s="157"/>
      <c r="Y155" s="157">
        <f t="shared" si="2"/>
        <v>9</v>
      </c>
    </row>
    <row r="156" spans="1:25" x14ac:dyDescent="0.35">
      <c r="A156" s="157" t="s">
        <v>593</v>
      </c>
      <c r="B156" s="157" t="s">
        <v>594</v>
      </c>
      <c r="C156" s="157"/>
      <c r="D156" s="157"/>
      <c r="E156" s="157">
        <v>1</v>
      </c>
      <c r="F156" s="157"/>
      <c r="G156" s="157">
        <v>1</v>
      </c>
      <c r="H156" s="157"/>
      <c r="I156" s="157"/>
      <c r="J156" s="157"/>
      <c r="K156" s="157"/>
      <c r="L156" s="157">
        <v>1</v>
      </c>
      <c r="M156" s="157"/>
      <c r="N156" s="157"/>
      <c r="O156" s="157"/>
      <c r="P156" s="157"/>
      <c r="Q156" s="157"/>
      <c r="R156" s="157"/>
      <c r="S156" s="157">
        <v>1</v>
      </c>
      <c r="T156" s="157"/>
      <c r="U156" s="157"/>
      <c r="V156" s="157"/>
      <c r="W156" s="157"/>
      <c r="X156" s="157"/>
      <c r="Y156" s="157">
        <f t="shared" si="2"/>
        <v>4</v>
      </c>
    </row>
    <row r="157" spans="1:25" x14ac:dyDescent="0.35">
      <c r="A157" s="157" t="s">
        <v>595</v>
      </c>
      <c r="B157" s="157" t="s">
        <v>596</v>
      </c>
      <c r="C157" s="157"/>
      <c r="D157" s="157"/>
      <c r="E157" s="157"/>
      <c r="F157" s="157"/>
      <c r="G157" s="157">
        <v>2</v>
      </c>
      <c r="H157" s="157"/>
      <c r="I157" s="157"/>
      <c r="J157" s="157">
        <v>1</v>
      </c>
      <c r="K157" s="157"/>
      <c r="L157" s="157"/>
      <c r="M157" s="157"/>
      <c r="N157" s="157"/>
      <c r="O157" s="157"/>
      <c r="P157" s="157">
        <v>1</v>
      </c>
      <c r="Q157" s="157"/>
      <c r="R157" s="157"/>
      <c r="S157" s="157"/>
      <c r="T157" s="157"/>
      <c r="U157" s="157"/>
      <c r="V157" s="157"/>
      <c r="W157" s="157"/>
      <c r="X157" s="157"/>
      <c r="Y157" s="157">
        <f t="shared" si="2"/>
        <v>4</v>
      </c>
    </row>
    <row r="158" spans="1:25" x14ac:dyDescent="0.35">
      <c r="A158" s="157" t="s">
        <v>597</v>
      </c>
      <c r="B158" s="157" t="s">
        <v>598</v>
      </c>
      <c r="C158" s="157"/>
      <c r="D158" s="157"/>
      <c r="E158" s="157">
        <v>1</v>
      </c>
      <c r="F158" s="157">
        <v>1</v>
      </c>
      <c r="G158" s="157"/>
      <c r="H158" s="157">
        <v>1</v>
      </c>
      <c r="I158" s="157"/>
      <c r="J158" s="157">
        <v>5</v>
      </c>
      <c r="K158" s="157"/>
      <c r="L158" s="157">
        <v>4</v>
      </c>
      <c r="M158" s="157">
        <v>1</v>
      </c>
      <c r="N158" s="157"/>
      <c r="O158" s="157"/>
      <c r="P158" s="157"/>
      <c r="Q158" s="157"/>
      <c r="R158" s="157">
        <v>1</v>
      </c>
      <c r="S158" s="157"/>
      <c r="T158" s="157">
        <v>2</v>
      </c>
      <c r="U158" s="157"/>
      <c r="V158" s="157"/>
      <c r="W158" s="157"/>
      <c r="X158" s="157"/>
      <c r="Y158" s="157">
        <f t="shared" si="2"/>
        <v>16</v>
      </c>
    </row>
    <row r="159" spans="1:25" x14ac:dyDescent="0.35">
      <c r="A159" s="157" t="s">
        <v>599</v>
      </c>
      <c r="B159" s="157" t="s">
        <v>600</v>
      </c>
      <c r="C159" s="157"/>
      <c r="D159" s="157"/>
      <c r="E159" s="157">
        <v>3</v>
      </c>
      <c r="F159" s="157"/>
      <c r="G159" s="157">
        <v>1</v>
      </c>
      <c r="H159" s="157"/>
      <c r="I159" s="157"/>
      <c r="J159" s="157">
        <v>7</v>
      </c>
      <c r="K159" s="157"/>
      <c r="L159" s="157">
        <v>3</v>
      </c>
      <c r="M159" s="157"/>
      <c r="N159" s="157">
        <v>1</v>
      </c>
      <c r="O159" s="157"/>
      <c r="P159" s="157"/>
      <c r="Q159" s="157">
        <v>1</v>
      </c>
      <c r="R159" s="157"/>
      <c r="S159" s="157"/>
      <c r="T159" s="157"/>
      <c r="U159" s="157"/>
      <c r="V159" s="157"/>
      <c r="W159" s="157"/>
      <c r="X159" s="157"/>
      <c r="Y159" s="157">
        <f t="shared" si="2"/>
        <v>16</v>
      </c>
    </row>
    <row r="160" spans="1:25" x14ac:dyDescent="0.35">
      <c r="A160" s="157" t="s">
        <v>601</v>
      </c>
      <c r="B160" s="157" t="s">
        <v>602</v>
      </c>
      <c r="C160" s="157"/>
      <c r="D160" s="157"/>
      <c r="E160" s="157"/>
      <c r="F160" s="157"/>
      <c r="G160" s="157"/>
      <c r="H160" s="157">
        <v>1</v>
      </c>
      <c r="I160" s="157"/>
      <c r="J160" s="157">
        <v>1</v>
      </c>
      <c r="K160" s="157"/>
      <c r="L160" s="157">
        <v>1</v>
      </c>
      <c r="M160" s="157"/>
      <c r="N160" s="157"/>
      <c r="O160" s="157"/>
      <c r="P160" s="157"/>
      <c r="Q160" s="157">
        <v>1</v>
      </c>
      <c r="R160" s="157"/>
      <c r="S160" s="157"/>
      <c r="T160" s="157"/>
      <c r="U160" s="157"/>
      <c r="V160" s="157"/>
      <c r="W160" s="157"/>
      <c r="X160" s="157"/>
      <c r="Y160" s="157">
        <f t="shared" si="2"/>
        <v>4</v>
      </c>
    </row>
    <row r="161" spans="1:25" x14ac:dyDescent="0.35">
      <c r="A161" s="157" t="s">
        <v>603</v>
      </c>
      <c r="B161" s="157" t="s">
        <v>604</v>
      </c>
      <c r="C161" s="157"/>
      <c r="D161" s="157"/>
      <c r="E161" s="157"/>
      <c r="F161" s="157"/>
      <c r="G161" s="157"/>
      <c r="H161" s="157"/>
      <c r="I161" s="157"/>
      <c r="J161" s="157">
        <v>1</v>
      </c>
      <c r="K161" s="157"/>
      <c r="L161" s="157"/>
      <c r="M161" s="157"/>
      <c r="N161" s="157"/>
      <c r="O161" s="157"/>
      <c r="P161" s="157"/>
      <c r="Q161" s="157"/>
      <c r="R161" s="157"/>
      <c r="S161" s="157">
        <v>1</v>
      </c>
      <c r="T161" s="157"/>
      <c r="U161" s="157"/>
      <c r="V161" s="157"/>
      <c r="W161" s="157"/>
      <c r="X161" s="157"/>
      <c r="Y161" s="157">
        <f t="shared" si="2"/>
        <v>2</v>
      </c>
    </row>
    <row r="162" spans="1:25" x14ac:dyDescent="0.35">
      <c r="A162" s="157" t="s">
        <v>605</v>
      </c>
      <c r="B162" s="157" t="s">
        <v>606</v>
      </c>
      <c r="C162" s="157"/>
      <c r="D162" s="157">
        <v>2</v>
      </c>
      <c r="E162" s="157">
        <v>2</v>
      </c>
      <c r="F162" s="157">
        <v>2</v>
      </c>
      <c r="G162" s="157">
        <v>7</v>
      </c>
      <c r="H162" s="157">
        <v>2</v>
      </c>
      <c r="I162" s="157">
        <v>8</v>
      </c>
      <c r="J162" s="157">
        <v>11</v>
      </c>
      <c r="K162" s="157">
        <v>4</v>
      </c>
      <c r="L162" s="157">
        <v>16</v>
      </c>
      <c r="M162" s="157">
        <v>4</v>
      </c>
      <c r="N162" s="157">
        <v>1</v>
      </c>
      <c r="O162" s="157"/>
      <c r="P162" s="157"/>
      <c r="Q162" s="157">
        <v>3</v>
      </c>
      <c r="R162" s="157">
        <v>2</v>
      </c>
      <c r="S162" s="157"/>
      <c r="T162" s="157"/>
      <c r="U162" s="157"/>
      <c r="V162" s="157">
        <v>1</v>
      </c>
      <c r="W162" s="157">
        <v>1</v>
      </c>
      <c r="X162" s="157"/>
      <c r="Y162" s="157">
        <f t="shared" si="2"/>
        <v>66</v>
      </c>
    </row>
    <row r="163" spans="1:25" x14ac:dyDescent="0.35">
      <c r="A163" s="157" t="s">
        <v>607</v>
      </c>
      <c r="B163" s="157" t="s">
        <v>608</v>
      </c>
      <c r="C163" s="157"/>
      <c r="D163" s="157"/>
      <c r="E163" s="157">
        <v>1</v>
      </c>
      <c r="F163" s="157"/>
      <c r="G163" s="157"/>
      <c r="H163" s="157"/>
      <c r="I163" s="157">
        <v>2</v>
      </c>
      <c r="J163" s="157"/>
      <c r="K163" s="157">
        <v>1</v>
      </c>
      <c r="L163" s="157">
        <v>1</v>
      </c>
      <c r="M163" s="157">
        <v>1</v>
      </c>
      <c r="N163" s="157"/>
      <c r="O163" s="157"/>
      <c r="P163" s="157">
        <v>1</v>
      </c>
      <c r="Q163" s="157"/>
      <c r="R163" s="157"/>
      <c r="S163" s="157"/>
      <c r="T163" s="157"/>
      <c r="U163" s="157"/>
      <c r="V163" s="157"/>
      <c r="W163" s="157"/>
      <c r="X163" s="157"/>
      <c r="Y163" s="157">
        <f t="shared" si="2"/>
        <v>7</v>
      </c>
    </row>
    <row r="164" spans="1:25" x14ac:dyDescent="0.35">
      <c r="A164" s="157" t="s">
        <v>609</v>
      </c>
      <c r="B164" s="157" t="s">
        <v>610</v>
      </c>
      <c r="C164" s="157"/>
      <c r="D164" s="157"/>
      <c r="E164" s="157"/>
      <c r="F164" s="157"/>
      <c r="G164" s="157">
        <v>1</v>
      </c>
      <c r="H164" s="157"/>
      <c r="I164" s="157">
        <v>1</v>
      </c>
      <c r="J164" s="157">
        <v>3</v>
      </c>
      <c r="K164" s="157">
        <v>1</v>
      </c>
      <c r="L164" s="157">
        <v>1</v>
      </c>
      <c r="M164" s="157"/>
      <c r="N164" s="157"/>
      <c r="O164" s="157"/>
      <c r="P164" s="157"/>
      <c r="Q164" s="157"/>
      <c r="R164" s="157"/>
      <c r="S164" s="157">
        <v>1</v>
      </c>
      <c r="T164" s="157"/>
      <c r="U164" s="157"/>
      <c r="V164" s="157"/>
      <c r="W164" s="157"/>
      <c r="X164" s="157"/>
      <c r="Y164" s="157">
        <f t="shared" si="2"/>
        <v>8</v>
      </c>
    </row>
    <row r="165" spans="1:25" x14ac:dyDescent="0.35">
      <c r="A165" s="157" t="s">
        <v>611</v>
      </c>
      <c r="B165" s="157" t="s">
        <v>612</v>
      </c>
      <c r="C165" s="157"/>
      <c r="D165" s="157"/>
      <c r="E165" s="157"/>
      <c r="F165" s="157"/>
      <c r="G165" s="157"/>
      <c r="H165" s="157"/>
      <c r="I165" s="157"/>
      <c r="J165" s="157">
        <v>3</v>
      </c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>
        <f t="shared" si="2"/>
        <v>3</v>
      </c>
    </row>
    <row r="166" spans="1:25" x14ac:dyDescent="0.35">
      <c r="A166" s="157" t="s">
        <v>613</v>
      </c>
      <c r="B166" s="157" t="s">
        <v>614</v>
      </c>
      <c r="C166" s="157"/>
      <c r="D166" s="157"/>
      <c r="E166" s="157"/>
      <c r="F166" s="157"/>
      <c r="G166" s="157"/>
      <c r="H166" s="157"/>
      <c r="I166" s="157">
        <v>3</v>
      </c>
      <c r="J166" s="157">
        <v>2</v>
      </c>
      <c r="K166" s="157"/>
      <c r="L166" s="157"/>
      <c r="M166" s="157">
        <v>2</v>
      </c>
      <c r="N166" s="157"/>
      <c r="O166" s="157"/>
      <c r="P166" s="157"/>
      <c r="Q166" s="157"/>
      <c r="R166" s="157"/>
      <c r="S166" s="157"/>
      <c r="T166" s="157"/>
      <c r="U166" s="157">
        <v>1</v>
      </c>
      <c r="V166" s="157"/>
      <c r="W166" s="157"/>
      <c r="X166" s="157"/>
      <c r="Y166" s="157">
        <f t="shared" si="2"/>
        <v>8</v>
      </c>
    </row>
    <row r="167" spans="1:25" x14ac:dyDescent="0.35">
      <c r="A167" s="157" t="s">
        <v>615</v>
      </c>
      <c r="B167" s="157" t="s">
        <v>616</v>
      </c>
      <c r="C167" s="157">
        <v>1</v>
      </c>
      <c r="D167" s="157">
        <v>1</v>
      </c>
      <c r="E167" s="157">
        <v>1</v>
      </c>
      <c r="F167" s="157"/>
      <c r="G167" s="157">
        <v>2</v>
      </c>
      <c r="H167" s="157"/>
      <c r="I167" s="157"/>
      <c r="J167" s="157">
        <v>2</v>
      </c>
      <c r="K167" s="157"/>
      <c r="L167" s="157">
        <v>3</v>
      </c>
      <c r="M167" s="157">
        <v>1</v>
      </c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>
        <f t="shared" si="2"/>
        <v>11</v>
      </c>
    </row>
    <row r="168" spans="1:25" x14ac:dyDescent="0.35">
      <c r="A168" s="157" t="s">
        <v>617</v>
      </c>
      <c r="B168" s="157" t="s">
        <v>618</v>
      </c>
      <c r="C168" s="157"/>
      <c r="D168" s="157"/>
      <c r="E168" s="157"/>
      <c r="F168" s="157">
        <v>1</v>
      </c>
      <c r="G168" s="157"/>
      <c r="H168" s="157"/>
      <c r="I168" s="157">
        <v>1</v>
      </c>
      <c r="J168" s="157">
        <v>3</v>
      </c>
      <c r="K168" s="157"/>
      <c r="L168" s="157">
        <v>4</v>
      </c>
      <c r="M168" s="157"/>
      <c r="N168" s="157"/>
      <c r="O168" s="157"/>
      <c r="P168" s="157"/>
      <c r="Q168" s="157"/>
      <c r="R168" s="157">
        <v>1</v>
      </c>
      <c r="S168" s="157"/>
      <c r="T168" s="157"/>
      <c r="U168" s="157"/>
      <c r="V168" s="157"/>
      <c r="W168" s="157"/>
      <c r="X168" s="157"/>
      <c r="Y168" s="157">
        <f t="shared" si="2"/>
        <v>10</v>
      </c>
    </row>
    <row r="169" spans="1:25" x14ac:dyDescent="0.35">
      <c r="A169" s="157" t="s">
        <v>619</v>
      </c>
      <c r="B169" s="157" t="s">
        <v>620</v>
      </c>
      <c r="C169" s="157"/>
      <c r="D169" s="157">
        <v>1</v>
      </c>
      <c r="E169" s="157">
        <v>2</v>
      </c>
      <c r="F169" s="157"/>
      <c r="G169" s="157">
        <v>4</v>
      </c>
      <c r="H169" s="157"/>
      <c r="I169" s="157">
        <v>7</v>
      </c>
      <c r="J169" s="157">
        <v>12</v>
      </c>
      <c r="K169" s="157">
        <v>1</v>
      </c>
      <c r="L169" s="157">
        <v>5</v>
      </c>
      <c r="M169" s="157">
        <v>5</v>
      </c>
      <c r="N169" s="157"/>
      <c r="O169" s="157"/>
      <c r="P169" s="157"/>
      <c r="Q169" s="157"/>
      <c r="R169" s="157">
        <v>1</v>
      </c>
      <c r="S169" s="157">
        <v>1</v>
      </c>
      <c r="T169" s="157"/>
      <c r="U169" s="157"/>
      <c r="V169" s="157"/>
      <c r="W169" s="157"/>
      <c r="X169" s="157"/>
      <c r="Y169" s="157">
        <f t="shared" si="2"/>
        <v>39</v>
      </c>
    </row>
    <row r="170" spans="1:25" x14ac:dyDescent="0.35">
      <c r="A170" s="157" t="s">
        <v>621</v>
      </c>
      <c r="B170" s="157" t="s">
        <v>622</v>
      </c>
      <c r="C170" s="157"/>
      <c r="D170" s="157"/>
      <c r="E170" s="157"/>
      <c r="F170" s="157"/>
      <c r="G170" s="157"/>
      <c r="H170" s="157"/>
      <c r="I170" s="157">
        <v>1</v>
      </c>
      <c r="J170" s="157">
        <v>2</v>
      </c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>
        <f t="shared" si="2"/>
        <v>3</v>
      </c>
    </row>
    <row r="171" spans="1:25" x14ac:dyDescent="0.35">
      <c r="A171" s="157" t="s">
        <v>623</v>
      </c>
      <c r="B171" s="157" t="s">
        <v>1372</v>
      </c>
      <c r="C171" s="157"/>
      <c r="D171" s="157"/>
      <c r="E171" s="157"/>
      <c r="F171" s="157"/>
      <c r="G171" s="157">
        <v>1</v>
      </c>
      <c r="H171" s="157"/>
      <c r="I171" s="157"/>
      <c r="J171" s="157">
        <v>3</v>
      </c>
      <c r="K171" s="157"/>
      <c r="L171" s="157">
        <v>3</v>
      </c>
      <c r="M171" s="157"/>
      <c r="N171" s="157"/>
      <c r="O171" s="157"/>
      <c r="P171" s="157"/>
      <c r="Q171" s="157">
        <v>2</v>
      </c>
      <c r="R171" s="157"/>
      <c r="S171" s="157">
        <v>1</v>
      </c>
      <c r="T171" s="157">
        <v>1</v>
      </c>
      <c r="U171" s="157"/>
      <c r="V171" s="157"/>
      <c r="W171" s="157"/>
      <c r="X171" s="157">
        <v>1</v>
      </c>
      <c r="Y171" s="157">
        <f t="shared" si="2"/>
        <v>12</v>
      </c>
    </row>
    <row r="172" spans="1:25" x14ac:dyDescent="0.35">
      <c r="A172" s="157" t="s">
        <v>624</v>
      </c>
      <c r="B172" s="157" t="s">
        <v>625</v>
      </c>
      <c r="C172" s="157">
        <v>1</v>
      </c>
      <c r="D172" s="157">
        <v>3</v>
      </c>
      <c r="E172" s="157">
        <v>4</v>
      </c>
      <c r="F172" s="157"/>
      <c r="G172" s="157">
        <v>5</v>
      </c>
      <c r="H172" s="157">
        <v>1</v>
      </c>
      <c r="I172" s="157">
        <v>6</v>
      </c>
      <c r="J172" s="157">
        <v>13</v>
      </c>
      <c r="K172" s="157">
        <v>3</v>
      </c>
      <c r="L172" s="157">
        <v>30</v>
      </c>
      <c r="M172" s="157">
        <v>4</v>
      </c>
      <c r="N172" s="157">
        <v>2</v>
      </c>
      <c r="O172" s="157"/>
      <c r="P172" s="157"/>
      <c r="Q172" s="157">
        <v>1</v>
      </c>
      <c r="R172" s="157">
        <v>1</v>
      </c>
      <c r="S172" s="157"/>
      <c r="T172" s="157">
        <v>3</v>
      </c>
      <c r="U172" s="157">
        <v>3</v>
      </c>
      <c r="V172" s="157"/>
      <c r="W172" s="157">
        <v>1</v>
      </c>
      <c r="X172" s="157"/>
      <c r="Y172" s="157">
        <f t="shared" si="2"/>
        <v>81</v>
      </c>
    </row>
    <row r="173" spans="1:25" x14ac:dyDescent="0.35">
      <c r="A173" s="157" t="s">
        <v>626</v>
      </c>
      <c r="B173" s="157" t="s">
        <v>627</v>
      </c>
      <c r="C173" s="157"/>
      <c r="D173" s="157"/>
      <c r="E173" s="157"/>
      <c r="F173" s="157"/>
      <c r="G173" s="157"/>
      <c r="H173" s="157"/>
      <c r="I173" s="157">
        <v>1</v>
      </c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>
        <f t="shared" si="2"/>
        <v>1</v>
      </c>
    </row>
    <row r="174" spans="1:25" x14ac:dyDescent="0.35">
      <c r="A174" s="157" t="s">
        <v>628</v>
      </c>
      <c r="B174" s="157" t="s">
        <v>629</v>
      </c>
      <c r="C174" s="157"/>
      <c r="D174" s="157"/>
      <c r="E174" s="157"/>
      <c r="F174" s="157">
        <v>1</v>
      </c>
      <c r="G174" s="157"/>
      <c r="H174" s="157"/>
      <c r="I174" s="157"/>
      <c r="J174" s="157"/>
      <c r="K174" s="157"/>
      <c r="L174" s="157">
        <v>1</v>
      </c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>
        <f t="shared" si="2"/>
        <v>2</v>
      </c>
    </row>
    <row r="175" spans="1:25" x14ac:dyDescent="0.35">
      <c r="A175" s="157" t="s">
        <v>630</v>
      </c>
      <c r="B175" s="157" t="s">
        <v>631</v>
      </c>
      <c r="C175" s="157"/>
      <c r="D175" s="157"/>
      <c r="E175" s="157"/>
      <c r="F175" s="157"/>
      <c r="G175" s="157"/>
      <c r="H175" s="157"/>
      <c r="I175" s="157"/>
      <c r="J175" s="157">
        <v>2</v>
      </c>
      <c r="K175" s="157">
        <v>1</v>
      </c>
      <c r="L175" s="157">
        <v>1</v>
      </c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>
        <f t="shared" si="2"/>
        <v>4</v>
      </c>
    </row>
    <row r="176" spans="1:25" x14ac:dyDescent="0.35">
      <c r="A176" s="157" t="s">
        <v>632</v>
      </c>
      <c r="B176" s="157" t="s">
        <v>633</v>
      </c>
      <c r="C176" s="157"/>
      <c r="D176" s="157"/>
      <c r="E176" s="157">
        <v>1</v>
      </c>
      <c r="F176" s="157"/>
      <c r="G176" s="157"/>
      <c r="H176" s="157"/>
      <c r="I176" s="157">
        <v>1</v>
      </c>
      <c r="J176" s="157">
        <v>1</v>
      </c>
      <c r="K176" s="157"/>
      <c r="L176" s="157">
        <v>3</v>
      </c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>
        <f t="shared" si="2"/>
        <v>6</v>
      </c>
    </row>
    <row r="177" spans="1:25" x14ac:dyDescent="0.35">
      <c r="A177" s="157" t="s">
        <v>634</v>
      </c>
      <c r="B177" s="157" t="s">
        <v>635</v>
      </c>
      <c r="C177" s="157"/>
      <c r="D177" s="157"/>
      <c r="E177" s="157">
        <v>1</v>
      </c>
      <c r="F177" s="157"/>
      <c r="G177" s="157">
        <v>1</v>
      </c>
      <c r="H177" s="157"/>
      <c r="I177" s="157">
        <v>1</v>
      </c>
      <c r="J177" s="157">
        <v>1</v>
      </c>
      <c r="K177" s="157">
        <v>1</v>
      </c>
      <c r="L177" s="157">
        <v>2</v>
      </c>
      <c r="M177" s="157">
        <v>2</v>
      </c>
      <c r="N177" s="157">
        <v>1</v>
      </c>
      <c r="O177" s="157">
        <v>1</v>
      </c>
      <c r="P177" s="157"/>
      <c r="Q177" s="157"/>
      <c r="R177" s="157"/>
      <c r="S177" s="157"/>
      <c r="T177" s="157"/>
      <c r="U177" s="157"/>
      <c r="V177" s="157"/>
      <c r="W177" s="157">
        <v>1</v>
      </c>
      <c r="X177" s="157"/>
      <c r="Y177" s="157">
        <f t="shared" si="2"/>
        <v>12</v>
      </c>
    </row>
    <row r="178" spans="1:25" x14ac:dyDescent="0.35">
      <c r="A178" s="157" t="s">
        <v>636</v>
      </c>
      <c r="B178" s="157" t="s">
        <v>637</v>
      </c>
      <c r="C178" s="157"/>
      <c r="D178" s="157"/>
      <c r="E178" s="157">
        <v>1</v>
      </c>
      <c r="F178" s="157"/>
      <c r="G178" s="157"/>
      <c r="H178" s="157"/>
      <c r="I178" s="157">
        <v>1</v>
      </c>
      <c r="J178" s="157">
        <v>1</v>
      </c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>
        <f t="shared" si="2"/>
        <v>3</v>
      </c>
    </row>
    <row r="179" spans="1:25" x14ac:dyDescent="0.35">
      <c r="A179" s="157" t="s">
        <v>638</v>
      </c>
      <c r="B179" s="157" t="s">
        <v>1227</v>
      </c>
      <c r="C179" s="157">
        <v>9</v>
      </c>
      <c r="D179" s="157">
        <v>49</v>
      </c>
      <c r="E179" s="157">
        <v>49</v>
      </c>
      <c r="F179" s="157">
        <v>26</v>
      </c>
      <c r="G179" s="157">
        <v>13</v>
      </c>
      <c r="H179" s="157">
        <v>12</v>
      </c>
      <c r="I179" s="157">
        <v>41</v>
      </c>
      <c r="J179" s="157">
        <v>58</v>
      </c>
      <c r="K179" s="157">
        <v>22</v>
      </c>
      <c r="L179" s="157">
        <v>125</v>
      </c>
      <c r="M179" s="157">
        <v>43</v>
      </c>
      <c r="N179" s="157">
        <v>13</v>
      </c>
      <c r="O179" s="157"/>
      <c r="P179" s="157">
        <v>7</v>
      </c>
      <c r="Q179" s="157">
        <v>18</v>
      </c>
      <c r="R179" s="157">
        <v>9</v>
      </c>
      <c r="S179" s="157">
        <v>8</v>
      </c>
      <c r="T179" s="157">
        <v>8</v>
      </c>
      <c r="U179" s="157">
        <v>5</v>
      </c>
      <c r="V179" s="157">
        <v>4</v>
      </c>
      <c r="W179" s="157">
        <v>12</v>
      </c>
      <c r="X179" s="157">
        <v>3</v>
      </c>
      <c r="Y179" s="157">
        <f t="shared" si="2"/>
        <v>534</v>
      </c>
    </row>
    <row r="180" spans="1:25" x14ac:dyDescent="0.35">
      <c r="A180" s="157" t="s">
        <v>639</v>
      </c>
      <c r="B180" s="157" t="s">
        <v>640</v>
      </c>
      <c r="C180" s="157">
        <v>1</v>
      </c>
      <c r="D180" s="157">
        <v>9</v>
      </c>
      <c r="E180" s="157">
        <v>3</v>
      </c>
      <c r="F180" s="157"/>
      <c r="G180" s="157">
        <v>6</v>
      </c>
      <c r="H180" s="157">
        <v>3</v>
      </c>
      <c r="I180" s="157">
        <v>2</v>
      </c>
      <c r="J180" s="157">
        <v>1</v>
      </c>
      <c r="K180" s="157">
        <v>3</v>
      </c>
      <c r="L180" s="157">
        <v>11</v>
      </c>
      <c r="M180" s="157">
        <v>29</v>
      </c>
      <c r="N180" s="157">
        <v>2</v>
      </c>
      <c r="O180" s="157"/>
      <c r="P180" s="157"/>
      <c r="Q180" s="157">
        <v>2</v>
      </c>
      <c r="R180" s="157">
        <v>1</v>
      </c>
      <c r="S180" s="157">
        <v>1</v>
      </c>
      <c r="T180" s="157">
        <v>1</v>
      </c>
      <c r="U180" s="157">
        <v>1</v>
      </c>
      <c r="V180" s="157"/>
      <c r="W180" s="157">
        <v>1</v>
      </c>
      <c r="X180" s="157"/>
      <c r="Y180" s="157">
        <f t="shared" si="2"/>
        <v>77</v>
      </c>
    </row>
    <row r="181" spans="1:25" x14ac:dyDescent="0.35">
      <c r="A181" s="157" t="s">
        <v>1373</v>
      </c>
      <c r="B181" s="157" t="s">
        <v>1374</v>
      </c>
      <c r="C181" s="157">
        <v>2</v>
      </c>
      <c r="D181" s="157">
        <v>7</v>
      </c>
      <c r="E181" s="157">
        <v>12</v>
      </c>
      <c r="F181" s="157">
        <v>9</v>
      </c>
      <c r="G181" s="157">
        <v>3</v>
      </c>
      <c r="H181" s="157">
        <v>2</v>
      </c>
      <c r="I181" s="157">
        <v>34</v>
      </c>
      <c r="J181" s="157">
        <v>5</v>
      </c>
      <c r="K181" s="157">
        <v>4</v>
      </c>
      <c r="L181" s="157">
        <v>91</v>
      </c>
      <c r="M181" s="157">
        <v>18</v>
      </c>
      <c r="N181" s="157">
        <v>4</v>
      </c>
      <c r="O181" s="157"/>
      <c r="P181" s="157"/>
      <c r="Q181" s="157">
        <v>5</v>
      </c>
      <c r="R181" s="157">
        <v>3</v>
      </c>
      <c r="S181" s="157">
        <v>1</v>
      </c>
      <c r="T181" s="157">
        <v>3</v>
      </c>
      <c r="U181" s="157">
        <v>1</v>
      </c>
      <c r="V181" s="157">
        <v>3</v>
      </c>
      <c r="W181" s="157">
        <v>2</v>
      </c>
      <c r="X181" s="157"/>
      <c r="Y181" s="157">
        <f t="shared" si="2"/>
        <v>209</v>
      </c>
    </row>
    <row r="182" spans="1:25" x14ac:dyDescent="0.35">
      <c r="A182" s="157" t="s">
        <v>1375</v>
      </c>
      <c r="B182" s="157" t="s">
        <v>1376</v>
      </c>
      <c r="C182" s="157">
        <v>4</v>
      </c>
      <c r="D182" s="157">
        <v>3</v>
      </c>
      <c r="E182" s="157">
        <v>7</v>
      </c>
      <c r="F182" s="157">
        <v>3</v>
      </c>
      <c r="G182" s="157">
        <v>4</v>
      </c>
      <c r="H182" s="157">
        <v>2</v>
      </c>
      <c r="I182" s="157">
        <v>13</v>
      </c>
      <c r="J182" s="157">
        <v>4</v>
      </c>
      <c r="K182" s="157">
        <v>2</v>
      </c>
      <c r="L182" s="157">
        <v>49</v>
      </c>
      <c r="M182" s="157">
        <v>12</v>
      </c>
      <c r="N182" s="157"/>
      <c r="O182" s="157"/>
      <c r="P182" s="157"/>
      <c r="Q182" s="157">
        <v>2</v>
      </c>
      <c r="R182" s="157"/>
      <c r="S182" s="157">
        <v>3</v>
      </c>
      <c r="T182" s="157">
        <v>1</v>
      </c>
      <c r="U182" s="157"/>
      <c r="V182" s="157"/>
      <c r="W182" s="157">
        <v>1</v>
      </c>
      <c r="X182" s="157"/>
      <c r="Y182" s="157">
        <f t="shared" si="2"/>
        <v>110</v>
      </c>
    </row>
    <row r="183" spans="1:25" x14ac:dyDescent="0.35">
      <c r="A183" s="157" t="s">
        <v>641</v>
      </c>
      <c r="B183" s="157" t="s">
        <v>642</v>
      </c>
      <c r="C183" s="157"/>
      <c r="D183" s="157"/>
      <c r="E183" s="157">
        <v>2</v>
      </c>
      <c r="F183" s="157">
        <v>1</v>
      </c>
      <c r="G183" s="157">
        <v>1</v>
      </c>
      <c r="H183" s="157">
        <v>1</v>
      </c>
      <c r="I183" s="157"/>
      <c r="J183" s="157">
        <v>1</v>
      </c>
      <c r="K183" s="157"/>
      <c r="L183" s="157">
        <v>3</v>
      </c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>
        <f t="shared" si="2"/>
        <v>9</v>
      </c>
    </row>
    <row r="184" spans="1:25" x14ac:dyDescent="0.35">
      <c r="A184" s="157" t="s">
        <v>643</v>
      </c>
      <c r="B184" s="157" t="s">
        <v>644</v>
      </c>
      <c r="C184" s="157">
        <v>2</v>
      </c>
      <c r="D184" s="157"/>
      <c r="E184" s="157">
        <v>4</v>
      </c>
      <c r="F184" s="157">
        <v>1</v>
      </c>
      <c r="G184" s="157"/>
      <c r="H184" s="157">
        <v>1</v>
      </c>
      <c r="I184" s="157">
        <v>7</v>
      </c>
      <c r="J184" s="157"/>
      <c r="K184" s="157">
        <v>3</v>
      </c>
      <c r="L184" s="157">
        <v>4</v>
      </c>
      <c r="M184" s="157">
        <v>1</v>
      </c>
      <c r="N184" s="157">
        <v>1</v>
      </c>
      <c r="O184" s="157"/>
      <c r="P184" s="157"/>
      <c r="Q184" s="157">
        <v>1</v>
      </c>
      <c r="R184" s="157"/>
      <c r="S184" s="157"/>
      <c r="T184" s="157"/>
      <c r="U184" s="157"/>
      <c r="V184" s="157"/>
      <c r="W184" s="157">
        <v>2</v>
      </c>
      <c r="X184" s="157"/>
      <c r="Y184" s="157">
        <f t="shared" si="2"/>
        <v>27</v>
      </c>
    </row>
    <row r="185" spans="1:25" x14ac:dyDescent="0.35">
      <c r="A185" s="157" t="s">
        <v>645</v>
      </c>
      <c r="B185" s="157" t="s">
        <v>646</v>
      </c>
      <c r="C185" s="157"/>
      <c r="D185" s="157">
        <v>3</v>
      </c>
      <c r="E185" s="157">
        <v>4</v>
      </c>
      <c r="F185" s="157">
        <v>3</v>
      </c>
      <c r="G185" s="157">
        <v>1</v>
      </c>
      <c r="H185" s="157">
        <v>5</v>
      </c>
      <c r="I185" s="157">
        <v>4</v>
      </c>
      <c r="J185" s="157">
        <v>1</v>
      </c>
      <c r="K185" s="157">
        <v>1</v>
      </c>
      <c r="L185" s="157">
        <v>2</v>
      </c>
      <c r="M185" s="157">
        <v>3</v>
      </c>
      <c r="N185" s="157">
        <v>3</v>
      </c>
      <c r="O185" s="157"/>
      <c r="P185" s="157"/>
      <c r="Q185" s="157"/>
      <c r="R185" s="157"/>
      <c r="S185" s="157"/>
      <c r="T185" s="157">
        <v>1</v>
      </c>
      <c r="U185" s="157"/>
      <c r="V185" s="157">
        <v>1</v>
      </c>
      <c r="W185" s="157"/>
      <c r="X185" s="157"/>
      <c r="Y185" s="157">
        <f t="shared" si="2"/>
        <v>32</v>
      </c>
    </row>
    <row r="186" spans="1:25" x14ac:dyDescent="0.35">
      <c r="A186" s="157" t="s">
        <v>647</v>
      </c>
      <c r="B186" s="157" t="s">
        <v>648</v>
      </c>
      <c r="C186" s="157">
        <v>1</v>
      </c>
      <c r="D186" s="157">
        <v>3</v>
      </c>
      <c r="E186" s="157">
        <v>32</v>
      </c>
      <c r="F186" s="157">
        <v>7</v>
      </c>
      <c r="G186" s="157">
        <v>4</v>
      </c>
      <c r="H186" s="157">
        <v>2</v>
      </c>
      <c r="I186" s="157">
        <v>25</v>
      </c>
      <c r="J186" s="157">
        <v>8</v>
      </c>
      <c r="K186" s="157">
        <v>8</v>
      </c>
      <c r="L186" s="157">
        <v>56</v>
      </c>
      <c r="M186" s="157">
        <v>26</v>
      </c>
      <c r="N186" s="157">
        <v>2</v>
      </c>
      <c r="O186" s="157"/>
      <c r="P186" s="157">
        <v>4</v>
      </c>
      <c r="Q186" s="157">
        <v>5</v>
      </c>
      <c r="R186" s="157">
        <v>3</v>
      </c>
      <c r="S186" s="157">
        <v>3</v>
      </c>
      <c r="T186" s="157">
        <v>4</v>
      </c>
      <c r="U186" s="157">
        <v>2</v>
      </c>
      <c r="V186" s="157"/>
      <c r="W186" s="157">
        <v>8</v>
      </c>
      <c r="X186" s="157"/>
      <c r="Y186" s="157">
        <f t="shared" si="2"/>
        <v>203</v>
      </c>
    </row>
    <row r="187" spans="1:25" x14ac:dyDescent="0.35">
      <c r="A187" s="157" t="s">
        <v>649</v>
      </c>
      <c r="B187" s="157" t="s">
        <v>650</v>
      </c>
      <c r="C187" s="157"/>
      <c r="D187" s="157">
        <v>8</v>
      </c>
      <c r="E187" s="157">
        <v>14</v>
      </c>
      <c r="F187" s="157">
        <v>9</v>
      </c>
      <c r="G187" s="157">
        <v>7</v>
      </c>
      <c r="H187" s="157">
        <v>14</v>
      </c>
      <c r="I187" s="157">
        <v>32</v>
      </c>
      <c r="J187" s="157">
        <v>38</v>
      </c>
      <c r="K187" s="157">
        <v>13</v>
      </c>
      <c r="L187" s="157">
        <v>60</v>
      </c>
      <c r="M187" s="157">
        <v>15</v>
      </c>
      <c r="N187" s="157">
        <v>4</v>
      </c>
      <c r="O187" s="157"/>
      <c r="P187" s="157">
        <v>2</v>
      </c>
      <c r="Q187" s="157">
        <v>9</v>
      </c>
      <c r="R187" s="157">
        <v>3</v>
      </c>
      <c r="S187" s="157">
        <v>8</v>
      </c>
      <c r="T187" s="157">
        <v>3</v>
      </c>
      <c r="U187" s="157">
        <v>1</v>
      </c>
      <c r="V187" s="157">
        <v>3</v>
      </c>
      <c r="W187" s="157">
        <v>5</v>
      </c>
      <c r="X187" s="157">
        <v>1</v>
      </c>
      <c r="Y187" s="157">
        <f t="shared" si="2"/>
        <v>249</v>
      </c>
    </row>
    <row r="188" spans="1:25" x14ac:dyDescent="0.35">
      <c r="A188" s="157" t="s">
        <v>651</v>
      </c>
      <c r="B188" s="157" t="s">
        <v>652</v>
      </c>
      <c r="C188" s="157">
        <v>2</v>
      </c>
      <c r="D188" s="157">
        <v>7</v>
      </c>
      <c r="E188" s="157">
        <v>6</v>
      </c>
      <c r="F188" s="157">
        <v>6</v>
      </c>
      <c r="G188" s="157">
        <v>6</v>
      </c>
      <c r="H188" s="157">
        <v>1</v>
      </c>
      <c r="I188" s="157">
        <v>6</v>
      </c>
      <c r="J188" s="157">
        <v>9</v>
      </c>
      <c r="K188" s="157">
        <v>7</v>
      </c>
      <c r="L188" s="157">
        <v>26</v>
      </c>
      <c r="M188" s="157">
        <v>13</v>
      </c>
      <c r="N188" s="157">
        <v>5</v>
      </c>
      <c r="O188" s="157"/>
      <c r="P188" s="157">
        <v>1</v>
      </c>
      <c r="Q188" s="157">
        <v>7</v>
      </c>
      <c r="R188" s="157">
        <v>2</v>
      </c>
      <c r="S188" s="157">
        <v>3</v>
      </c>
      <c r="T188" s="157">
        <v>7</v>
      </c>
      <c r="U188" s="157">
        <v>1</v>
      </c>
      <c r="V188" s="157"/>
      <c r="W188" s="157">
        <v>1</v>
      </c>
      <c r="X188" s="157"/>
      <c r="Y188" s="157">
        <f t="shared" si="2"/>
        <v>116</v>
      </c>
    </row>
    <row r="189" spans="1:25" x14ac:dyDescent="0.35">
      <c r="A189" s="157" t="s">
        <v>653</v>
      </c>
      <c r="B189" s="157" t="s">
        <v>654</v>
      </c>
      <c r="C189" s="157">
        <v>8</v>
      </c>
      <c r="D189" s="157">
        <v>17</v>
      </c>
      <c r="E189" s="157">
        <v>51</v>
      </c>
      <c r="F189" s="157">
        <v>23</v>
      </c>
      <c r="G189" s="157">
        <v>27</v>
      </c>
      <c r="H189" s="157">
        <v>22</v>
      </c>
      <c r="I189" s="157">
        <v>40</v>
      </c>
      <c r="J189" s="157">
        <v>75</v>
      </c>
      <c r="K189" s="157">
        <v>22</v>
      </c>
      <c r="L189" s="157">
        <v>119</v>
      </c>
      <c r="M189" s="157">
        <v>56</v>
      </c>
      <c r="N189" s="157">
        <v>10</v>
      </c>
      <c r="O189" s="157">
        <v>1</v>
      </c>
      <c r="P189" s="157">
        <v>2</v>
      </c>
      <c r="Q189" s="157">
        <v>27</v>
      </c>
      <c r="R189" s="157">
        <v>16</v>
      </c>
      <c r="S189" s="157">
        <v>10</v>
      </c>
      <c r="T189" s="157">
        <v>14</v>
      </c>
      <c r="U189" s="157">
        <v>6</v>
      </c>
      <c r="V189" s="157">
        <v>2</v>
      </c>
      <c r="W189" s="157">
        <v>10</v>
      </c>
      <c r="X189" s="157">
        <v>2</v>
      </c>
      <c r="Y189" s="157">
        <f t="shared" si="2"/>
        <v>560</v>
      </c>
    </row>
    <row r="190" spans="1:25" x14ac:dyDescent="0.35">
      <c r="A190" s="157" t="s">
        <v>655</v>
      </c>
      <c r="B190" s="157" t="s">
        <v>656</v>
      </c>
      <c r="C190" s="157"/>
      <c r="D190" s="157">
        <v>2</v>
      </c>
      <c r="E190" s="157">
        <v>15</v>
      </c>
      <c r="F190" s="157">
        <v>2</v>
      </c>
      <c r="G190" s="157">
        <v>3</v>
      </c>
      <c r="H190" s="157">
        <v>1</v>
      </c>
      <c r="I190" s="157">
        <v>9</v>
      </c>
      <c r="J190" s="157">
        <v>6</v>
      </c>
      <c r="K190" s="157">
        <v>10</v>
      </c>
      <c r="L190" s="157">
        <v>13</v>
      </c>
      <c r="M190" s="157">
        <v>13</v>
      </c>
      <c r="N190" s="157">
        <v>1</v>
      </c>
      <c r="O190" s="157"/>
      <c r="P190" s="157"/>
      <c r="Q190" s="157">
        <v>3</v>
      </c>
      <c r="R190" s="157"/>
      <c r="S190" s="157">
        <v>1</v>
      </c>
      <c r="T190" s="157">
        <v>4</v>
      </c>
      <c r="U190" s="157"/>
      <c r="V190" s="157"/>
      <c r="W190" s="157">
        <v>2</v>
      </c>
      <c r="X190" s="157"/>
      <c r="Y190" s="157">
        <f t="shared" si="2"/>
        <v>85</v>
      </c>
    </row>
    <row r="191" spans="1:25" x14ac:dyDescent="0.35">
      <c r="A191" s="157" t="s">
        <v>657</v>
      </c>
      <c r="B191" s="157" t="s">
        <v>658</v>
      </c>
      <c r="C191" s="157">
        <v>2</v>
      </c>
      <c r="D191" s="157">
        <v>6</v>
      </c>
      <c r="E191" s="157">
        <v>11</v>
      </c>
      <c r="F191" s="157">
        <v>6</v>
      </c>
      <c r="G191" s="157">
        <v>5</v>
      </c>
      <c r="H191" s="157">
        <v>6</v>
      </c>
      <c r="I191" s="157">
        <v>5</v>
      </c>
      <c r="J191" s="157">
        <v>12</v>
      </c>
      <c r="K191" s="157">
        <v>5</v>
      </c>
      <c r="L191" s="157">
        <v>23</v>
      </c>
      <c r="M191" s="157">
        <v>13</v>
      </c>
      <c r="N191" s="157">
        <v>5</v>
      </c>
      <c r="O191" s="157"/>
      <c r="P191" s="157">
        <v>2</v>
      </c>
      <c r="Q191" s="157">
        <v>6</v>
      </c>
      <c r="R191" s="157">
        <v>1</v>
      </c>
      <c r="S191" s="157">
        <v>2</v>
      </c>
      <c r="T191" s="157">
        <v>2</v>
      </c>
      <c r="U191" s="157">
        <v>4</v>
      </c>
      <c r="V191" s="157"/>
      <c r="W191" s="157">
        <v>5</v>
      </c>
      <c r="X191" s="157">
        <v>2</v>
      </c>
      <c r="Y191" s="157">
        <f t="shared" si="2"/>
        <v>123</v>
      </c>
    </row>
    <row r="192" spans="1:25" x14ac:dyDescent="0.35">
      <c r="A192" s="157" t="s">
        <v>659</v>
      </c>
      <c r="B192" s="157" t="s">
        <v>660</v>
      </c>
      <c r="C192" s="157"/>
      <c r="D192" s="157">
        <v>1</v>
      </c>
      <c r="E192" s="157">
        <v>2</v>
      </c>
      <c r="F192" s="157"/>
      <c r="G192" s="157">
        <v>2</v>
      </c>
      <c r="H192" s="157"/>
      <c r="I192" s="157">
        <v>9</v>
      </c>
      <c r="J192" s="157">
        <v>1</v>
      </c>
      <c r="K192" s="157">
        <v>1</v>
      </c>
      <c r="L192" s="157">
        <v>5</v>
      </c>
      <c r="M192" s="157">
        <v>2</v>
      </c>
      <c r="N192" s="157"/>
      <c r="O192" s="157"/>
      <c r="P192" s="157"/>
      <c r="Q192" s="157"/>
      <c r="R192" s="157">
        <v>3</v>
      </c>
      <c r="S192" s="157"/>
      <c r="T192" s="157"/>
      <c r="U192" s="157"/>
      <c r="V192" s="157"/>
      <c r="W192" s="157"/>
      <c r="X192" s="157"/>
      <c r="Y192" s="157">
        <f t="shared" si="2"/>
        <v>26</v>
      </c>
    </row>
    <row r="193" spans="1:25" x14ac:dyDescent="0.35">
      <c r="A193" s="157" t="s">
        <v>661</v>
      </c>
      <c r="B193" s="157" t="s">
        <v>662</v>
      </c>
      <c r="C193" s="157">
        <v>2</v>
      </c>
      <c r="D193" s="157">
        <v>3</v>
      </c>
      <c r="E193" s="157">
        <v>11</v>
      </c>
      <c r="F193" s="157">
        <v>1</v>
      </c>
      <c r="G193" s="157">
        <v>4</v>
      </c>
      <c r="H193" s="157">
        <v>1</v>
      </c>
      <c r="I193" s="157">
        <v>6</v>
      </c>
      <c r="J193" s="157">
        <v>3</v>
      </c>
      <c r="K193" s="157">
        <v>3</v>
      </c>
      <c r="L193" s="157">
        <v>12</v>
      </c>
      <c r="M193" s="157">
        <v>4</v>
      </c>
      <c r="N193" s="157">
        <v>2</v>
      </c>
      <c r="O193" s="157"/>
      <c r="P193" s="157">
        <v>1</v>
      </c>
      <c r="Q193" s="157">
        <v>5</v>
      </c>
      <c r="R193" s="157"/>
      <c r="S193" s="157"/>
      <c r="T193" s="157">
        <v>1</v>
      </c>
      <c r="U193" s="157">
        <v>1</v>
      </c>
      <c r="V193" s="157"/>
      <c r="W193" s="157">
        <v>4</v>
      </c>
      <c r="X193" s="157"/>
      <c r="Y193" s="157">
        <f t="shared" si="2"/>
        <v>64</v>
      </c>
    </row>
    <row r="194" spans="1:25" x14ac:dyDescent="0.35">
      <c r="A194" s="157" t="s">
        <v>663</v>
      </c>
      <c r="B194" s="157" t="s">
        <v>1228</v>
      </c>
      <c r="C194" s="157">
        <v>1</v>
      </c>
      <c r="D194" s="157">
        <v>1</v>
      </c>
      <c r="E194" s="157">
        <v>7</v>
      </c>
      <c r="F194" s="157">
        <v>2</v>
      </c>
      <c r="G194" s="157"/>
      <c r="H194" s="157">
        <v>2</v>
      </c>
      <c r="I194" s="157">
        <v>7</v>
      </c>
      <c r="J194" s="157">
        <v>6</v>
      </c>
      <c r="K194" s="157">
        <v>5</v>
      </c>
      <c r="L194" s="157">
        <v>7</v>
      </c>
      <c r="M194" s="157">
        <v>5</v>
      </c>
      <c r="N194" s="157">
        <v>3</v>
      </c>
      <c r="O194" s="157"/>
      <c r="P194" s="157">
        <v>1</v>
      </c>
      <c r="Q194" s="157">
        <v>1</v>
      </c>
      <c r="R194" s="157">
        <v>1</v>
      </c>
      <c r="S194" s="157"/>
      <c r="T194" s="157">
        <v>1</v>
      </c>
      <c r="U194" s="157"/>
      <c r="V194" s="157"/>
      <c r="W194" s="157"/>
      <c r="X194" s="157"/>
      <c r="Y194" s="157">
        <f t="shared" si="2"/>
        <v>50</v>
      </c>
    </row>
    <row r="195" spans="1:25" x14ac:dyDescent="0.35">
      <c r="A195" s="157" t="s">
        <v>664</v>
      </c>
      <c r="B195" s="157" t="s">
        <v>665</v>
      </c>
      <c r="C195" s="157"/>
      <c r="D195" s="157">
        <v>2</v>
      </c>
      <c r="E195" s="157">
        <v>47</v>
      </c>
      <c r="F195" s="157">
        <v>3</v>
      </c>
      <c r="G195" s="157">
        <v>7</v>
      </c>
      <c r="H195" s="157">
        <v>1</v>
      </c>
      <c r="I195" s="157">
        <v>120</v>
      </c>
      <c r="J195" s="157">
        <v>3</v>
      </c>
      <c r="K195" s="157">
        <v>4</v>
      </c>
      <c r="L195" s="157">
        <v>8</v>
      </c>
      <c r="M195" s="157">
        <v>12</v>
      </c>
      <c r="N195" s="157"/>
      <c r="O195" s="157"/>
      <c r="P195" s="157">
        <v>3</v>
      </c>
      <c r="Q195" s="157">
        <v>4</v>
      </c>
      <c r="R195" s="157"/>
      <c r="S195" s="157"/>
      <c r="T195" s="157">
        <v>1</v>
      </c>
      <c r="U195" s="157"/>
      <c r="V195" s="157"/>
      <c r="W195" s="157">
        <v>1</v>
      </c>
      <c r="X195" s="157">
        <v>1</v>
      </c>
      <c r="Y195" s="157">
        <f t="shared" si="2"/>
        <v>217</v>
      </c>
    </row>
    <row r="196" spans="1:25" x14ac:dyDescent="0.35">
      <c r="A196" s="157" t="s">
        <v>666</v>
      </c>
      <c r="B196" s="157" t="s">
        <v>667</v>
      </c>
      <c r="C196" s="157"/>
      <c r="D196" s="157"/>
      <c r="E196" s="157"/>
      <c r="F196" s="157">
        <v>1</v>
      </c>
      <c r="G196" s="157"/>
      <c r="H196" s="157"/>
      <c r="I196" s="157">
        <v>5</v>
      </c>
      <c r="J196" s="157">
        <v>3</v>
      </c>
      <c r="K196" s="157"/>
      <c r="L196" s="157"/>
      <c r="M196" s="157">
        <v>1</v>
      </c>
      <c r="N196" s="157"/>
      <c r="O196" s="157"/>
      <c r="P196" s="157"/>
      <c r="Q196" s="157"/>
      <c r="R196" s="157"/>
      <c r="S196" s="157"/>
      <c r="T196" s="157"/>
      <c r="U196" s="157"/>
      <c r="V196" s="157"/>
      <c r="W196" s="157">
        <v>1</v>
      </c>
      <c r="X196" s="157"/>
      <c r="Y196" s="157">
        <f t="shared" si="2"/>
        <v>11</v>
      </c>
    </row>
    <row r="197" spans="1:25" x14ac:dyDescent="0.35">
      <c r="A197" s="157" t="s">
        <v>668</v>
      </c>
      <c r="B197" s="157" t="s">
        <v>669</v>
      </c>
      <c r="C197" s="157"/>
      <c r="D197" s="157"/>
      <c r="E197" s="157"/>
      <c r="F197" s="157"/>
      <c r="G197" s="157"/>
      <c r="H197" s="157"/>
      <c r="I197" s="157">
        <v>3</v>
      </c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>
        <f t="shared" si="2"/>
        <v>3</v>
      </c>
    </row>
    <row r="198" spans="1:25" x14ac:dyDescent="0.35">
      <c r="A198" s="157" t="s">
        <v>670</v>
      </c>
      <c r="B198" s="157" t="s">
        <v>671</v>
      </c>
      <c r="C198" s="157"/>
      <c r="D198" s="157"/>
      <c r="E198" s="157">
        <v>11</v>
      </c>
      <c r="F198" s="157"/>
      <c r="G198" s="157"/>
      <c r="H198" s="157"/>
      <c r="I198" s="157">
        <v>11</v>
      </c>
      <c r="J198" s="157">
        <v>3</v>
      </c>
      <c r="K198" s="157"/>
      <c r="L198" s="157">
        <v>1</v>
      </c>
      <c r="M198" s="157">
        <v>1</v>
      </c>
      <c r="N198" s="157"/>
      <c r="O198" s="157"/>
      <c r="P198" s="157"/>
      <c r="Q198" s="157"/>
      <c r="R198" s="157">
        <v>1</v>
      </c>
      <c r="S198" s="157"/>
      <c r="T198" s="157"/>
      <c r="U198" s="157"/>
      <c r="V198" s="157"/>
      <c r="W198" s="157"/>
      <c r="X198" s="157"/>
      <c r="Y198" s="157">
        <f t="shared" ref="Y198:Y261" si="3">+SUM(C198:X198)</f>
        <v>28</v>
      </c>
    </row>
    <row r="199" spans="1:25" x14ac:dyDescent="0.35">
      <c r="A199" s="157" t="s">
        <v>672</v>
      </c>
      <c r="B199" s="157" t="s">
        <v>1377</v>
      </c>
      <c r="C199" s="157"/>
      <c r="D199" s="157">
        <v>2</v>
      </c>
      <c r="E199" s="157">
        <v>1</v>
      </c>
      <c r="F199" s="157"/>
      <c r="G199" s="157"/>
      <c r="H199" s="157"/>
      <c r="I199" s="157">
        <v>1</v>
      </c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>
        <v>1</v>
      </c>
      <c r="V199" s="157"/>
      <c r="W199" s="157">
        <v>1</v>
      </c>
      <c r="X199" s="157"/>
      <c r="Y199" s="157">
        <f t="shared" si="3"/>
        <v>6</v>
      </c>
    </row>
    <row r="200" spans="1:25" x14ac:dyDescent="0.35">
      <c r="A200" s="157" t="s">
        <v>673</v>
      </c>
      <c r="B200" s="157" t="s">
        <v>674</v>
      </c>
      <c r="C200" s="157"/>
      <c r="D200" s="157"/>
      <c r="E200" s="157"/>
      <c r="F200" s="157"/>
      <c r="G200" s="157"/>
      <c r="H200" s="157">
        <v>1</v>
      </c>
      <c r="I200" s="157"/>
      <c r="J200" s="157"/>
      <c r="K200" s="157"/>
      <c r="L200" s="157"/>
      <c r="M200" s="157"/>
      <c r="N200" s="157"/>
      <c r="O200" s="157"/>
      <c r="P200" s="157"/>
      <c r="Q200" s="157">
        <v>1</v>
      </c>
      <c r="R200" s="157">
        <v>1</v>
      </c>
      <c r="S200" s="157"/>
      <c r="T200" s="157">
        <v>2</v>
      </c>
      <c r="U200" s="157"/>
      <c r="V200" s="157"/>
      <c r="W200" s="157">
        <v>2</v>
      </c>
      <c r="X200" s="157"/>
      <c r="Y200" s="157">
        <f t="shared" si="3"/>
        <v>7</v>
      </c>
    </row>
    <row r="201" spans="1:25" x14ac:dyDescent="0.35">
      <c r="A201" s="157" t="s">
        <v>675</v>
      </c>
      <c r="B201" s="157" t="s">
        <v>154</v>
      </c>
      <c r="C201" s="157"/>
      <c r="D201" s="157">
        <v>1</v>
      </c>
      <c r="E201" s="157">
        <v>2</v>
      </c>
      <c r="F201" s="157"/>
      <c r="G201" s="157">
        <v>3</v>
      </c>
      <c r="H201" s="157">
        <v>1</v>
      </c>
      <c r="I201" s="157">
        <v>5</v>
      </c>
      <c r="J201" s="157">
        <v>2</v>
      </c>
      <c r="K201" s="157">
        <v>5</v>
      </c>
      <c r="L201" s="157">
        <v>1</v>
      </c>
      <c r="M201" s="157">
        <v>8</v>
      </c>
      <c r="N201" s="157"/>
      <c r="O201" s="157"/>
      <c r="P201" s="157">
        <v>1</v>
      </c>
      <c r="Q201" s="157">
        <v>1</v>
      </c>
      <c r="R201" s="157">
        <v>1</v>
      </c>
      <c r="S201" s="157"/>
      <c r="T201" s="157"/>
      <c r="U201" s="157">
        <v>1</v>
      </c>
      <c r="V201" s="157"/>
      <c r="W201" s="157">
        <v>1</v>
      </c>
      <c r="X201" s="157"/>
      <c r="Y201" s="157">
        <f t="shared" si="3"/>
        <v>33</v>
      </c>
    </row>
    <row r="202" spans="1:25" x14ac:dyDescent="0.35">
      <c r="A202" s="157" t="s">
        <v>676</v>
      </c>
      <c r="B202" s="157" t="s">
        <v>156</v>
      </c>
      <c r="C202" s="157"/>
      <c r="D202" s="157"/>
      <c r="E202" s="157">
        <v>3</v>
      </c>
      <c r="F202" s="157"/>
      <c r="G202" s="157">
        <v>1</v>
      </c>
      <c r="H202" s="157">
        <v>1</v>
      </c>
      <c r="I202" s="157">
        <v>2</v>
      </c>
      <c r="J202" s="157">
        <v>2</v>
      </c>
      <c r="K202" s="157">
        <v>2</v>
      </c>
      <c r="L202" s="157">
        <v>1</v>
      </c>
      <c r="M202" s="157">
        <v>5</v>
      </c>
      <c r="N202" s="157"/>
      <c r="O202" s="157"/>
      <c r="P202" s="157"/>
      <c r="Q202" s="157">
        <v>1</v>
      </c>
      <c r="R202" s="157">
        <v>3</v>
      </c>
      <c r="S202" s="157"/>
      <c r="T202" s="157"/>
      <c r="U202" s="157"/>
      <c r="V202" s="157"/>
      <c r="W202" s="157"/>
      <c r="X202" s="157"/>
      <c r="Y202" s="157">
        <f t="shared" si="3"/>
        <v>21</v>
      </c>
    </row>
    <row r="203" spans="1:25" x14ac:dyDescent="0.35">
      <c r="A203" s="157" t="s">
        <v>677</v>
      </c>
      <c r="B203" s="157" t="s">
        <v>678</v>
      </c>
      <c r="C203" s="157">
        <v>1</v>
      </c>
      <c r="D203" s="157">
        <v>4</v>
      </c>
      <c r="E203" s="157">
        <v>2</v>
      </c>
      <c r="F203" s="157">
        <v>2</v>
      </c>
      <c r="G203" s="157">
        <v>1</v>
      </c>
      <c r="H203" s="157">
        <v>5</v>
      </c>
      <c r="I203" s="157">
        <v>4</v>
      </c>
      <c r="J203" s="157">
        <v>9</v>
      </c>
      <c r="K203" s="157">
        <v>1</v>
      </c>
      <c r="L203" s="157">
        <v>12</v>
      </c>
      <c r="M203" s="157">
        <v>2</v>
      </c>
      <c r="N203" s="157">
        <v>2</v>
      </c>
      <c r="O203" s="157"/>
      <c r="P203" s="157"/>
      <c r="Q203" s="157">
        <v>2</v>
      </c>
      <c r="R203" s="157"/>
      <c r="S203" s="157"/>
      <c r="T203" s="157"/>
      <c r="U203" s="157">
        <v>1</v>
      </c>
      <c r="V203" s="157"/>
      <c r="W203" s="157"/>
      <c r="X203" s="157">
        <v>1</v>
      </c>
      <c r="Y203" s="157">
        <f t="shared" si="3"/>
        <v>49</v>
      </c>
    </row>
    <row r="204" spans="1:25" x14ac:dyDescent="0.35">
      <c r="A204" s="157" t="s">
        <v>679</v>
      </c>
      <c r="B204" s="157" t="s">
        <v>680</v>
      </c>
      <c r="C204" s="157"/>
      <c r="D204" s="157"/>
      <c r="E204" s="157"/>
      <c r="F204" s="157"/>
      <c r="G204" s="157"/>
      <c r="H204" s="157"/>
      <c r="I204" s="157"/>
      <c r="J204" s="157"/>
      <c r="K204" s="157"/>
      <c r="L204" s="157">
        <v>1</v>
      </c>
      <c r="M204" s="157">
        <v>1</v>
      </c>
      <c r="N204" s="157"/>
      <c r="O204" s="157"/>
      <c r="P204" s="157"/>
      <c r="Q204" s="157"/>
      <c r="R204" s="157"/>
      <c r="S204" s="157"/>
      <c r="T204" s="157"/>
      <c r="U204" s="157">
        <v>1</v>
      </c>
      <c r="V204" s="157"/>
      <c r="W204" s="157"/>
      <c r="X204" s="157"/>
      <c r="Y204" s="157">
        <f t="shared" si="3"/>
        <v>3</v>
      </c>
    </row>
    <row r="205" spans="1:25" x14ac:dyDescent="0.35">
      <c r="A205" s="157" t="s">
        <v>681</v>
      </c>
      <c r="B205" s="157" t="s">
        <v>682</v>
      </c>
      <c r="C205" s="157">
        <v>1</v>
      </c>
      <c r="D205" s="157"/>
      <c r="E205" s="157">
        <v>2</v>
      </c>
      <c r="F205" s="157"/>
      <c r="G205" s="157">
        <v>1</v>
      </c>
      <c r="H205" s="157"/>
      <c r="I205" s="157">
        <v>5</v>
      </c>
      <c r="J205" s="157">
        <v>1</v>
      </c>
      <c r="K205" s="157">
        <v>1</v>
      </c>
      <c r="L205" s="157">
        <v>1</v>
      </c>
      <c r="M205" s="157">
        <v>1</v>
      </c>
      <c r="N205" s="157"/>
      <c r="O205" s="157"/>
      <c r="P205" s="157"/>
      <c r="Q205" s="157"/>
      <c r="R205" s="157">
        <v>2</v>
      </c>
      <c r="S205" s="157"/>
      <c r="T205" s="157"/>
      <c r="U205" s="157">
        <v>1</v>
      </c>
      <c r="V205" s="157"/>
      <c r="W205" s="157"/>
      <c r="X205" s="157"/>
      <c r="Y205" s="157">
        <f t="shared" si="3"/>
        <v>16</v>
      </c>
    </row>
    <row r="206" spans="1:25" x14ac:dyDescent="0.35">
      <c r="A206" s="157" t="s">
        <v>683</v>
      </c>
      <c r="B206" s="157" t="s">
        <v>684</v>
      </c>
      <c r="C206" s="157"/>
      <c r="D206" s="157"/>
      <c r="E206" s="157">
        <v>1</v>
      </c>
      <c r="F206" s="157"/>
      <c r="G206" s="157"/>
      <c r="H206" s="157"/>
      <c r="I206" s="157">
        <v>3</v>
      </c>
      <c r="J206" s="157">
        <v>1</v>
      </c>
      <c r="K206" s="157"/>
      <c r="L206" s="157">
        <v>1</v>
      </c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>
        <f t="shared" si="3"/>
        <v>6</v>
      </c>
    </row>
    <row r="207" spans="1:25" x14ac:dyDescent="0.35">
      <c r="A207" s="157" t="s">
        <v>685</v>
      </c>
      <c r="B207" s="157" t="s">
        <v>686</v>
      </c>
      <c r="C207" s="157">
        <v>1</v>
      </c>
      <c r="D207" s="157">
        <v>31</v>
      </c>
      <c r="E207" s="157">
        <v>15</v>
      </c>
      <c r="F207" s="157">
        <v>7</v>
      </c>
      <c r="G207" s="157">
        <v>8</v>
      </c>
      <c r="H207" s="157">
        <v>9</v>
      </c>
      <c r="I207" s="157">
        <v>8</v>
      </c>
      <c r="J207" s="157">
        <v>20</v>
      </c>
      <c r="K207" s="157">
        <v>7</v>
      </c>
      <c r="L207" s="157">
        <v>54</v>
      </c>
      <c r="M207" s="157">
        <v>11</v>
      </c>
      <c r="N207" s="157">
        <v>9</v>
      </c>
      <c r="O207" s="157"/>
      <c r="P207" s="157">
        <v>8</v>
      </c>
      <c r="Q207" s="157">
        <v>9</v>
      </c>
      <c r="R207" s="157">
        <v>5</v>
      </c>
      <c r="S207" s="157">
        <v>1</v>
      </c>
      <c r="T207" s="157">
        <v>4</v>
      </c>
      <c r="U207" s="157">
        <v>14</v>
      </c>
      <c r="V207" s="157">
        <v>1</v>
      </c>
      <c r="W207" s="157">
        <v>2</v>
      </c>
      <c r="X207" s="157"/>
      <c r="Y207" s="157">
        <f t="shared" si="3"/>
        <v>224</v>
      </c>
    </row>
    <row r="208" spans="1:25" x14ac:dyDescent="0.35">
      <c r="A208" s="157" t="s">
        <v>687</v>
      </c>
      <c r="B208" s="157" t="s">
        <v>160</v>
      </c>
      <c r="C208" s="157"/>
      <c r="D208" s="157">
        <v>1</v>
      </c>
      <c r="E208" s="157">
        <v>1</v>
      </c>
      <c r="F208" s="157">
        <v>1</v>
      </c>
      <c r="G208" s="157">
        <v>2</v>
      </c>
      <c r="H208" s="157">
        <v>1</v>
      </c>
      <c r="I208" s="157">
        <v>3</v>
      </c>
      <c r="J208" s="157">
        <v>2</v>
      </c>
      <c r="K208" s="157">
        <v>3</v>
      </c>
      <c r="L208" s="157">
        <v>2</v>
      </c>
      <c r="M208" s="157">
        <v>5</v>
      </c>
      <c r="N208" s="157">
        <v>1</v>
      </c>
      <c r="O208" s="157"/>
      <c r="P208" s="157"/>
      <c r="Q208" s="157"/>
      <c r="R208" s="157"/>
      <c r="S208" s="157">
        <v>1</v>
      </c>
      <c r="T208" s="157"/>
      <c r="U208" s="157">
        <v>1</v>
      </c>
      <c r="V208" s="157"/>
      <c r="W208" s="157">
        <v>1</v>
      </c>
      <c r="X208" s="157">
        <v>1</v>
      </c>
      <c r="Y208" s="157">
        <f t="shared" si="3"/>
        <v>26</v>
      </c>
    </row>
    <row r="209" spans="1:25" x14ac:dyDescent="0.35">
      <c r="A209" s="157" t="s">
        <v>688</v>
      </c>
      <c r="B209" s="157" t="s">
        <v>689</v>
      </c>
      <c r="C209" s="157">
        <v>29</v>
      </c>
      <c r="D209" s="157">
        <v>53</v>
      </c>
      <c r="E209" s="157">
        <v>160</v>
      </c>
      <c r="F209" s="157">
        <v>70</v>
      </c>
      <c r="G209" s="157">
        <v>59</v>
      </c>
      <c r="H209" s="157">
        <v>38</v>
      </c>
      <c r="I209" s="157">
        <v>428</v>
      </c>
      <c r="J209" s="157">
        <v>53</v>
      </c>
      <c r="K209" s="157">
        <v>67</v>
      </c>
      <c r="L209" s="157">
        <v>182</v>
      </c>
      <c r="M209" s="157">
        <v>174</v>
      </c>
      <c r="N209" s="157">
        <v>54</v>
      </c>
      <c r="O209" s="157">
        <v>1</v>
      </c>
      <c r="P209" s="157">
        <v>33</v>
      </c>
      <c r="Q209" s="157">
        <v>77</v>
      </c>
      <c r="R209" s="157">
        <v>34</v>
      </c>
      <c r="S209" s="157">
        <v>50</v>
      </c>
      <c r="T209" s="157">
        <v>58</v>
      </c>
      <c r="U209" s="157">
        <v>35</v>
      </c>
      <c r="V209" s="157">
        <v>27</v>
      </c>
      <c r="W209" s="157">
        <v>71</v>
      </c>
      <c r="X209" s="157">
        <v>10</v>
      </c>
      <c r="Y209" s="157">
        <f t="shared" si="3"/>
        <v>1763</v>
      </c>
    </row>
    <row r="210" spans="1:25" x14ac:dyDescent="0.35">
      <c r="A210" s="157" t="s">
        <v>690</v>
      </c>
      <c r="B210" s="157" t="s">
        <v>691</v>
      </c>
      <c r="C210" s="157">
        <v>3</v>
      </c>
      <c r="D210" s="157">
        <v>5</v>
      </c>
      <c r="E210" s="157">
        <v>16</v>
      </c>
      <c r="F210" s="157">
        <v>7</v>
      </c>
      <c r="G210" s="157">
        <v>6</v>
      </c>
      <c r="H210" s="157">
        <v>10</v>
      </c>
      <c r="I210" s="157">
        <v>84</v>
      </c>
      <c r="J210" s="157">
        <v>10</v>
      </c>
      <c r="K210" s="157">
        <v>8</v>
      </c>
      <c r="L210" s="157">
        <v>33</v>
      </c>
      <c r="M210" s="157">
        <v>24</v>
      </c>
      <c r="N210" s="157">
        <v>4</v>
      </c>
      <c r="O210" s="157"/>
      <c r="P210" s="157">
        <v>3</v>
      </c>
      <c r="Q210" s="157">
        <v>8</v>
      </c>
      <c r="R210" s="157">
        <v>1</v>
      </c>
      <c r="S210" s="157">
        <v>5</v>
      </c>
      <c r="T210" s="157">
        <v>5</v>
      </c>
      <c r="U210" s="157">
        <v>4</v>
      </c>
      <c r="V210" s="157">
        <v>1</v>
      </c>
      <c r="W210" s="157">
        <v>10</v>
      </c>
      <c r="X210" s="157">
        <v>1</v>
      </c>
      <c r="Y210" s="157">
        <f t="shared" si="3"/>
        <v>248</v>
      </c>
    </row>
    <row r="211" spans="1:25" x14ac:dyDescent="0.35">
      <c r="A211" s="157" t="s">
        <v>692</v>
      </c>
      <c r="B211" s="157" t="s">
        <v>693</v>
      </c>
      <c r="C211" s="157">
        <v>1</v>
      </c>
      <c r="D211" s="157"/>
      <c r="E211" s="157">
        <v>13</v>
      </c>
      <c r="F211" s="157"/>
      <c r="G211" s="157">
        <v>3</v>
      </c>
      <c r="H211" s="157">
        <v>2</v>
      </c>
      <c r="I211" s="157">
        <v>37</v>
      </c>
      <c r="J211" s="157">
        <v>3</v>
      </c>
      <c r="K211" s="157">
        <v>6</v>
      </c>
      <c r="L211" s="157">
        <v>22</v>
      </c>
      <c r="M211" s="157">
        <v>5</v>
      </c>
      <c r="N211" s="157">
        <v>1</v>
      </c>
      <c r="O211" s="157"/>
      <c r="P211" s="157">
        <v>5</v>
      </c>
      <c r="Q211" s="157">
        <v>2</v>
      </c>
      <c r="R211" s="157">
        <v>2</v>
      </c>
      <c r="S211" s="157">
        <v>1</v>
      </c>
      <c r="T211" s="157">
        <v>1</v>
      </c>
      <c r="U211" s="157"/>
      <c r="V211" s="157">
        <v>2</v>
      </c>
      <c r="W211" s="157">
        <v>3</v>
      </c>
      <c r="X211" s="157">
        <v>1</v>
      </c>
      <c r="Y211" s="157">
        <f t="shared" si="3"/>
        <v>110</v>
      </c>
    </row>
    <row r="212" spans="1:25" x14ac:dyDescent="0.35">
      <c r="A212" s="157" t="s">
        <v>694</v>
      </c>
      <c r="B212" s="157" t="s">
        <v>695</v>
      </c>
      <c r="C212" s="157">
        <v>2</v>
      </c>
      <c r="D212" s="157">
        <v>2</v>
      </c>
      <c r="E212" s="157">
        <v>8</v>
      </c>
      <c r="F212" s="157">
        <v>4</v>
      </c>
      <c r="G212" s="157">
        <v>4</v>
      </c>
      <c r="H212" s="157">
        <v>2</v>
      </c>
      <c r="I212" s="157">
        <v>17</v>
      </c>
      <c r="J212" s="157">
        <v>3</v>
      </c>
      <c r="K212" s="157">
        <v>10</v>
      </c>
      <c r="L212" s="157">
        <v>6</v>
      </c>
      <c r="M212" s="157">
        <v>13</v>
      </c>
      <c r="N212" s="157">
        <v>2</v>
      </c>
      <c r="O212" s="157"/>
      <c r="P212" s="157"/>
      <c r="Q212" s="157">
        <v>6</v>
      </c>
      <c r="R212" s="157">
        <v>1</v>
      </c>
      <c r="S212" s="157"/>
      <c r="T212" s="157">
        <v>4</v>
      </c>
      <c r="U212" s="157"/>
      <c r="V212" s="157"/>
      <c r="W212" s="157">
        <v>2</v>
      </c>
      <c r="X212" s="157"/>
      <c r="Y212" s="157">
        <f t="shared" si="3"/>
        <v>86</v>
      </c>
    </row>
    <row r="213" spans="1:25" x14ac:dyDescent="0.35">
      <c r="A213" s="157" t="s">
        <v>696</v>
      </c>
      <c r="B213" s="157" t="s">
        <v>697</v>
      </c>
      <c r="C213" s="157">
        <v>14</v>
      </c>
      <c r="D213" s="157">
        <v>24</v>
      </c>
      <c r="E213" s="157">
        <v>131</v>
      </c>
      <c r="F213" s="157">
        <v>58</v>
      </c>
      <c r="G213" s="157">
        <v>46</v>
      </c>
      <c r="H213" s="157">
        <v>44</v>
      </c>
      <c r="I213" s="157">
        <v>293</v>
      </c>
      <c r="J213" s="157">
        <v>70</v>
      </c>
      <c r="K213" s="157">
        <v>78</v>
      </c>
      <c r="L213" s="157">
        <v>151</v>
      </c>
      <c r="M213" s="157">
        <v>170</v>
      </c>
      <c r="N213" s="157">
        <v>19</v>
      </c>
      <c r="O213" s="157"/>
      <c r="P213" s="157">
        <v>18</v>
      </c>
      <c r="Q213" s="157">
        <v>63</v>
      </c>
      <c r="R213" s="157">
        <v>31</v>
      </c>
      <c r="S213" s="157">
        <v>26</v>
      </c>
      <c r="T213" s="157">
        <v>49</v>
      </c>
      <c r="U213" s="157">
        <v>27</v>
      </c>
      <c r="V213" s="157">
        <v>10</v>
      </c>
      <c r="W213" s="157">
        <v>44</v>
      </c>
      <c r="X213" s="157">
        <v>5</v>
      </c>
      <c r="Y213" s="157">
        <f t="shared" si="3"/>
        <v>1371</v>
      </c>
    </row>
    <row r="214" spans="1:25" x14ac:dyDescent="0.35">
      <c r="A214" s="157" t="s">
        <v>698</v>
      </c>
      <c r="B214" s="157" t="s">
        <v>699</v>
      </c>
      <c r="C214" s="157">
        <v>2</v>
      </c>
      <c r="D214" s="157">
        <v>1</v>
      </c>
      <c r="E214" s="157">
        <v>2</v>
      </c>
      <c r="F214" s="157">
        <v>2</v>
      </c>
      <c r="G214" s="157">
        <v>1</v>
      </c>
      <c r="H214" s="157"/>
      <c r="I214" s="157">
        <v>3</v>
      </c>
      <c r="J214" s="157"/>
      <c r="K214" s="157">
        <v>1</v>
      </c>
      <c r="L214" s="157">
        <v>2</v>
      </c>
      <c r="M214" s="157">
        <v>1</v>
      </c>
      <c r="N214" s="157"/>
      <c r="O214" s="157"/>
      <c r="P214" s="157"/>
      <c r="Q214" s="157">
        <v>2</v>
      </c>
      <c r="R214" s="157"/>
      <c r="S214" s="157"/>
      <c r="T214" s="157">
        <v>1</v>
      </c>
      <c r="U214" s="157"/>
      <c r="V214" s="157">
        <v>2</v>
      </c>
      <c r="W214" s="157">
        <v>1</v>
      </c>
      <c r="X214" s="157"/>
      <c r="Y214" s="157">
        <f t="shared" si="3"/>
        <v>21</v>
      </c>
    </row>
    <row r="215" spans="1:25" x14ac:dyDescent="0.35">
      <c r="A215" s="157" t="s">
        <v>700</v>
      </c>
      <c r="B215" s="157" t="s">
        <v>701</v>
      </c>
      <c r="C215" s="157">
        <v>2</v>
      </c>
      <c r="D215" s="157">
        <v>2</v>
      </c>
      <c r="E215" s="157">
        <v>14</v>
      </c>
      <c r="F215" s="157">
        <v>2</v>
      </c>
      <c r="G215" s="157">
        <v>8</v>
      </c>
      <c r="H215" s="157">
        <v>2</v>
      </c>
      <c r="I215" s="157">
        <v>27</v>
      </c>
      <c r="J215" s="157">
        <v>3</v>
      </c>
      <c r="K215" s="157">
        <v>4</v>
      </c>
      <c r="L215" s="157">
        <v>12</v>
      </c>
      <c r="M215" s="157">
        <v>13</v>
      </c>
      <c r="N215" s="157">
        <v>1</v>
      </c>
      <c r="O215" s="157"/>
      <c r="P215" s="157">
        <v>5</v>
      </c>
      <c r="Q215" s="157">
        <v>3</v>
      </c>
      <c r="R215" s="157">
        <v>1</v>
      </c>
      <c r="S215" s="157">
        <v>1</v>
      </c>
      <c r="T215" s="157">
        <v>3</v>
      </c>
      <c r="U215" s="157">
        <v>4</v>
      </c>
      <c r="V215" s="157"/>
      <c r="W215" s="157">
        <v>2</v>
      </c>
      <c r="X215" s="157">
        <v>1</v>
      </c>
      <c r="Y215" s="157">
        <f t="shared" si="3"/>
        <v>110</v>
      </c>
    </row>
    <row r="216" spans="1:25" x14ac:dyDescent="0.35">
      <c r="A216" s="157" t="s">
        <v>702</v>
      </c>
      <c r="B216" s="157" t="s">
        <v>703</v>
      </c>
      <c r="C216" s="157">
        <v>7</v>
      </c>
      <c r="D216" s="157">
        <v>28</v>
      </c>
      <c r="E216" s="157">
        <v>58</v>
      </c>
      <c r="F216" s="157">
        <v>40</v>
      </c>
      <c r="G216" s="157">
        <v>37</v>
      </c>
      <c r="H216" s="157">
        <v>36</v>
      </c>
      <c r="I216" s="157">
        <v>59</v>
      </c>
      <c r="J216" s="157">
        <v>33</v>
      </c>
      <c r="K216" s="157">
        <v>35</v>
      </c>
      <c r="L216" s="157">
        <v>53</v>
      </c>
      <c r="M216" s="157">
        <v>63</v>
      </c>
      <c r="N216" s="157">
        <v>24</v>
      </c>
      <c r="O216" s="157"/>
      <c r="P216" s="157">
        <v>17</v>
      </c>
      <c r="Q216" s="157">
        <v>40</v>
      </c>
      <c r="R216" s="157">
        <v>10</v>
      </c>
      <c r="S216" s="157">
        <v>17</v>
      </c>
      <c r="T216" s="157">
        <v>28</v>
      </c>
      <c r="U216" s="157">
        <v>25</v>
      </c>
      <c r="V216" s="157">
        <v>5</v>
      </c>
      <c r="W216" s="157">
        <v>29</v>
      </c>
      <c r="X216" s="157">
        <v>1</v>
      </c>
      <c r="Y216" s="157">
        <f t="shared" si="3"/>
        <v>645</v>
      </c>
    </row>
    <row r="217" spans="1:25" x14ac:dyDescent="0.35">
      <c r="A217" s="157" t="s">
        <v>704</v>
      </c>
      <c r="B217" s="157" t="s">
        <v>705</v>
      </c>
      <c r="C217" s="157">
        <v>5</v>
      </c>
      <c r="D217" s="157">
        <v>18</v>
      </c>
      <c r="E217" s="157">
        <v>26</v>
      </c>
      <c r="F217" s="157">
        <v>25</v>
      </c>
      <c r="G217" s="157">
        <v>24</v>
      </c>
      <c r="H217" s="157">
        <v>12</v>
      </c>
      <c r="I217" s="157">
        <v>19</v>
      </c>
      <c r="J217" s="157">
        <v>20</v>
      </c>
      <c r="K217" s="157">
        <v>13</v>
      </c>
      <c r="L217" s="157">
        <v>45</v>
      </c>
      <c r="M217" s="157">
        <v>15</v>
      </c>
      <c r="N217" s="157">
        <v>16</v>
      </c>
      <c r="O217" s="157"/>
      <c r="P217" s="157">
        <v>9</v>
      </c>
      <c r="Q217" s="157">
        <v>17</v>
      </c>
      <c r="R217" s="157">
        <v>7</v>
      </c>
      <c r="S217" s="157">
        <v>15</v>
      </c>
      <c r="T217" s="157">
        <v>11</v>
      </c>
      <c r="U217" s="157">
        <v>11</v>
      </c>
      <c r="V217" s="157">
        <v>4</v>
      </c>
      <c r="W217" s="157">
        <v>10</v>
      </c>
      <c r="X217" s="157">
        <v>6</v>
      </c>
      <c r="Y217" s="157">
        <f t="shared" si="3"/>
        <v>328</v>
      </c>
    </row>
    <row r="218" spans="1:25" x14ac:dyDescent="0.35">
      <c r="A218" s="157" t="s">
        <v>706</v>
      </c>
      <c r="B218" s="157" t="s">
        <v>707</v>
      </c>
      <c r="C218" s="157">
        <v>2</v>
      </c>
      <c r="D218" s="157">
        <v>5</v>
      </c>
      <c r="E218" s="157">
        <v>15</v>
      </c>
      <c r="F218" s="157">
        <v>7</v>
      </c>
      <c r="G218" s="157">
        <v>7</v>
      </c>
      <c r="H218" s="157">
        <v>10</v>
      </c>
      <c r="I218" s="157">
        <v>16</v>
      </c>
      <c r="J218" s="157">
        <v>8</v>
      </c>
      <c r="K218" s="157">
        <v>6</v>
      </c>
      <c r="L218" s="157">
        <v>14</v>
      </c>
      <c r="M218" s="157">
        <v>13</v>
      </c>
      <c r="N218" s="157">
        <v>7</v>
      </c>
      <c r="O218" s="157"/>
      <c r="P218" s="157">
        <v>2</v>
      </c>
      <c r="Q218" s="157">
        <v>9</v>
      </c>
      <c r="R218" s="157">
        <v>1</v>
      </c>
      <c r="S218" s="157">
        <v>5</v>
      </c>
      <c r="T218" s="157">
        <v>3</v>
      </c>
      <c r="U218" s="157">
        <v>5</v>
      </c>
      <c r="V218" s="157"/>
      <c r="W218" s="157">
        <v>9</v>
      </c>
      <c r="X218" s="157"/>
      <c r="Y218" s="157">
        <f t="shared" si="3"/>
        <v>144</v>
      </c>
    </row>
    <row r="219" spans="1:25" x14ac:dyDescent="0.35">
      <c r="A219" s="157" t="s">
        <v>708</v>
      </c>
      <c r="B219" s="157" t="s">
        <v>709</v>
      </c>
      <c r="C219" s="157">
        <v>28</v>
      </c>
      <c r="D219" s="157">
        <v>58</v>
      </c>
      <c r="E219" s="157">
        <v>109</v>
      </c>
      <c r="F219" s="157">
        <v>75</v>
      </c>
      <c r="G219" s="157">
        <v>46</v>
      </c>
      <c r="H219" s="157">
        <v>61</v>
      </c>
      <c r="I219" s="157">
        <v>83</v>
      </c>
      <c r="J219" s="157">
        <v>55</v>
      </c>
      <c r="K219" s="157">
        <v>56</v>
      </c>
      <c r="L219" s="157">
        <v>98</v>
      </c>
      <c r="M219" s="157">
        <v>100</v>
      </c>
      <c r="N219" s="157">
        <v>62</v>
      </c>
      <c r="O219" s="157">
        <v>1</v>
      </c>
      <c r="P219" s="157">
        <v>38</v>
      </c>
      <c r="Q219" s="157">
        <v>88</v>
      </c>
      <c r="R219" s="157">
        <v>29</v>
      </c>
      <c r="S219" s="157">
        <v>36</v>
      </c>
      <c r="T219" s="157">
        <v>55</v>
      </c>
      <c r="U219" s="157">
        <v>35</v>
      </c>
      <c r="V219" s="157">
        <v>5</v>
      </c>
      <c r="W219" s="157">
        <v>63</v>
      </c>
      <c r="X219" s="157">
        <v>11</v>
      </c>
      <c r="Y219" s="157">
        <f t="shared" si="3"/>
        <v>1192</v>
      </c>
    </row>
    <row r="220" spans="1:25" x14ac:dyDescent="0.35">
      <c r="A220" s="157" t="s">
        <v>710</v>
      </c>
      <c r="B220" s="157" t="s">
        <v>711</v>
      </c>
      <c r="C220" s="157">
        <v>11</v>
      </c>
      <c r="D220" s="157">
        <v>18</v>
      </c>
      <c r="E220" s="157">
        <v>71</v>
      </c>
      <c r="F220" s="157">
        <v>23</v>
      </c>
      <c r="G220" s="157">
        <v>10</v>
      </c>
      <c r="H220" s="157">
        <v>22</v>
      </c>
      <c r="I220" s="157">
        <v>95</v>
      </c>
      <c r="J220" s="157">
        <v>27</v>
      </c>
      <c r="K220" s="157">
        <v>32</v>
      </c>
      <c r="L220" s="157">
        <v>60</v>
      </c>
      <c r="M220" s="157">
        <v>51</v>
      </c>
      <c r="N220" s="157">
        <v>14</v>
      </c>
      <c r="O220" s="157"/>
      <c r="P220" s="157">
        <v>13</v>
      </c>
      <c r="Q220" s="157">
        <v>26</v>
      </c>
      <c r="R220" s="157">
        <v>6</v>
      </c>
      <c r="S220" s="157">
        <v>9</v>
      </c>
      <c r="T220" s="157">
        <v>15</v>
      </c>
      <c r="U220" s="157">
        <v>7</v>
      </c>
      <c r="V220" s="157">
        <v>2</v>
      </c>
      <c r="W220" s="157">
        <v>27</v>
      </c>
      <c r="X220" s="157">
        <v>7</v>
      </c>
      <c r="Y220" s="157">
        <f t="shared" si="3"/>
        <v>546</v>
      </c>
    </row>
    <row r="221" spans="1:25" x14ac:dyDescent="0.35">
      <c r="A221" s="157" t="s">
        <v>712</v>
      </c>
      <c r="B221" s="157" t="s">
        <v>713</v>
      </c>
      <c r="C221" s="157">
        <v>2</v>
      </c>
      <c r="D221" s="157">
        <v>1</v>
      </c>
      <c r="E221" s="157">
        <v>6</v>
      </c>
      <c r="F221" s="157">
        <v>1</v>
      </c>
      <c r="G221" s="157">
        <v>3</v>
      </c>
      <c r="H221" s="157"/>
      <c r="I221" s="157">
        <v>40</v>
      </c>
      <c r="J221" s="157">
        <v>7</v>
      </c>
      <c r="K221" s="157">
        <v>3</v>
      </c>
      <c r="L221" s="157">
        <v>19</v>
      </c>
      <c r="M221" s="157">
        <v>4</v>
      </c>
      <c r="N221" s="157"/>
      <c r="O221" s="157"/>
      <c r="P221" s="157">
        <v>3</v>
      </c>
      <c r="Q221" s="157">
        <v>1</v>
      </c>
      <c r="R221" s="157">
        <v>3</v>
      </c>
      <c r="S221" s="157"/>
      <c r="T221" s="157"/>
      <c r="U221" s="157"/>
      <c r="V221" s="157"/>
      <c r="W221" s="157">
        <v>2</v>
      </c>
      <c r="X221" s="157">
        <v>2</v>
      </c>
      <c r="Y221" s="157">
        <f t="shared" si="3"/>
        <v>97</v>
      </c>
    </row>
    <row r="222" spans="1:25" x14ac:dyDescent="0.35">
      <c r="A222" s="157" t="s">
        <v>714</v>
      </c>
      <c r="B222" s="157" t="s">
        <v>715</v>
      </c>
      <c r="C222" s="157">
        <v>4</v>
      </c>
      <c r="D222" s="157">
        <v>7</v>
      </c>
      <c r="E222" s="157">
        <v>34</v>
      </c>
      <c r="F222" s="157">
        <v>13</v>
      </c>
      <c r="G222" s="157">
        <v>5</v>
      </c>
      <c r="H222" s="157">
        <v>7</v>
      </c>
      <c r="I222" s="157">
        <v>165</v>
      </c>
      <c r="J222" s="157">
        <v>21</v>
      </c>
      <c r="K222" s="157">
        <v>17</v>
      </c>
      <c r="L222" s="157">
        <v>57</v>
      </c>
      <c r="M222" s="157">
        <v>81</v>
      </c>
      <c r="N222" s="157">
        <v>6</v>
      </c>
      <c r="O222" s="157"/>
      <c r="P222" s="157">
        <v>2</v>
      </c>
      <c r="Q222" s="157">
        <v>8</v>
      </c>
      <c r="R222" s="157">
        <v>5</v>
      </c>
      <c r="S222" s="157">
        <v>4</v>
      </c>
      <c r="T222" s="157">
        <v>2</v>
      </c>
      <c r="U222" s="157">
        <v>1</v>
      </c>
      <c r="V222" s="157">
        <v>3</v>
      </c>
      <c r="W222" s="157">
        <v>13</v>
      </c>
      <c r="X222" s="157">
        <v>2</v>
      </c>
      <c r="Y222" s="157">
        <f t="shared" si="3"/>
        <v>457</v>
      </c>
    </row>
    <row r="223" spans="1:25" x14ac:dyDescent="0.35">
      <c r="A223" s="157" t="s">
        <v>716</v>
      </c>
      <c r="B223" s="157" t="s">
        <v>717</v>
      </c>
      <c r="C223" s="157">
        <v>9</v>
      </c>
      <c r="D223" s="157">
        <v>107</v>
      </c>
      <c r="E223" s="157">
        <v>106</v>
      </c>
      <c r="F223" s="157">
        <v>62</v>
      </c>
      <c r="G223" s="157">
        <v>90</v>
      </c>
      <c r="H223" s="157">
        <v>24</v>
      </c>
      <c r="I223" s="157">
        <v>122</v>
      </c>
      <c r="J223" s="157">
        <v>103</v>
      </c>
      <c r="K223" s="157">
        <v>61</v>
      </c>
      <c r="L223" s="157">
        <v>410</v>
      </c>
      <c r="M223" s="157">
        <v>146</v>
      </c>
      <c r="N223" s="157">
        <v>24</v>
      </c>
      <c r="O223" s="157">
        <v>1</v>
      </c>
      <c r="P223" s="157">
        <v>13</v>
      </c>
      <c r="Q223" s="157">
        <v>60</v>
      </c>
      <c r="R223" s="157">
        <v>12</v>
      </c>
      <c r="S223" s="157">
        <v>10</v>
      </c>
      <c r="T223" s="157">
        <v>23</v>
      </c>
      <c r="U223" s="157">
        <v>18</v>
      </c>
      <c r="V223" s="157">
        <v>3</v>
      </c>
      <c r="W223" s="157">
        <v>20</v>
      </c>
      <c r="X223" s="157">
        <v>2</v>
      </c>
      <c r="Y223" s="157">
        <f t="shared" si="3"/>
        <v>1426</v>
      </c>
    </row>
    <row r="224" spans="1:25" x14ac:dyDescent="0.35">
      <c r="A224" s="157" t="s">
        <v>718</v>
      </c>
      <c r="B224" s="157" t="s">
        <v>719</v>
      </c>
      <c r="C224" s="157">
        <v>5</v>
      </c>
      <c r="D224" s="157">
        <v>62</v>
      </c>
      <c r="E224" s="157">
        <v>93</v>
      </c>
      <c r="F224" s="157">
        <v>33</v>
      </c>
      <c r="G224" s="157">
        <v>66</v>
      </c>
      <c r="H224" s="157">
        <v>25</v>
      </c>
      <c r="I224" s="157">
        <v>90</v>
      </c>
      <c r="J224" s="157">
        <v>65</v>
      </c>
      <c r="K224" s="157">
        <v>39</v>
      </c>
      <c r="L224" s="157">
        <v>649</v>
      </c>
      <c r="M224" s="157">
        <v>118</v>
      </c>
      <c r="N224" s="157">
        <v>14</v>
      </c>
      <c r="O224" s="157"/>
      <c r="P224" s="157">
        <v>10</v>
      </c>
      <c r="Q224" s="157">
        <v>42</v>
      </c>
      <c r="R224" s="157">
        <v>12</v>
      </c>
      <c r="S224" s="157">
        <v>8</v>
      </c>
      <c r="T224" s="157">
        <v>9</v>
      </c>
      <c r="U224" s="157">
        <v>12</v>
      </c>
      <c r="V224" s="157">
        <v>1</v>
      </c>
      <c r="W224" s="157">
        <v>8</v>
      </c>
      <c r="X224" s="157">
        <v>5</v>
      </c>
      <c r="Y224" s="157">
        <f t="shared" si="3"/>
        <v>1366</v>
      </c>
    </row>
    <row r="225" spans="1:25" x14ac:dyDescent="0.35">
      <c r="A225" s="157" t="s">
        <v>720</v>
      </c>
      <c r="B225" s="157" t="s">
        <v>721</v>
      </c>
      <c r="C225" s="157">
        <v>1</v>
      </c>
      <c r="D225" s="157">
        <v>27</v>
      </c>
      <c r="E225" s="157">
        <v>41</v>
      </c>
      <c r="F225" s="157">
        <v>19</v>
      </c>
      <c r="G225" s="157">
        <v>19</v>
      </c>
      <c r="H225" s="157">
        <v>22</v>
      </c>
      <c r="I225" s="157">
        <v>34</v>
      </c>
      <c r="J225" s="157">
        <v>13</v>
      </c>
      <c r="K225" s="157">
        <v>15</v>
      </c>
      <c r="L225" s="157">
        <v>200</v>
      </c>
      <c r="M225" s="157">
        <v>58</v>
      </c>
      <c r="N225" s="157">
        <v>12</v>
      </c>
      <c r="O225" s="157"/>
      <c r="P225" s="157">
        <v>8</v>
      </c>
      <c r="Q225" s="157">
        <v>15</v>
      </c>
      <c r="R225" s="157">
        <v>8</v>
      </c>
      <c r="S225" s="157">
        <v>13</v>
      </c>
      <c r="T225" s="157">
        <v>5</v>
      </c>
      <c r="U225" s="157">
        <v>12</v>
      </c>
      <c r="V225" s="157">
        <v>1</v>
      </c>
      <c r="W225" s="157">
        <v>14</v>
      </c>
      <c r="X225" s="157"/>
      <c r="Y225" s="157">
        <f t="shared" si="3"/>
        <v>537</v>
      </c>
    </row>
    <row r="226" spans="1:25" x14ac:dyDescent="0.35">
      <c r="A226" s="157" t="s">
        <v>722</v>
      </c>
      <c r="B226" s="157" t="s">
        <v>723</v>
      </c>
      <c r="C226" s="157">
        <v>4</v>
      </c>
      <c r="D226" s="157">
        <v>24</v>
      </c>
      <c r="E226" s="157">
        <v>47</v>
      </c>
      <c r="F226" s="157">
        <v>18</v>
      </c>
      <c r="G226" s="157">
        <v>19</v>
      </c>
      <c r="H226" s="157">
        <v>20</v>
      </c>
      <c r="I226" s="157">
        <v>8</v>
      </c>
      <c r="J226" s="157">
        <v>18</v>
      </c>
      <c r="K226" s="157">
        <v>27</v>
      </c>
      <c r="L226" s="157">
        <v>93</v>
      </c>
      <c r="M226" s="157">
        <v>25</v>
      </c>
      <c r="N226" s="157">
        <v>24</v>
      </c>
      <c r="O226" s="157"/>
      <c r="P226" s="157">
        <v>5</v>
      </c>
      <c r="Q226" s="157">
        <v>31</v>
      </c>
      <c r="R226" s="157">
        <v>5</v>
      </c>
      <c r="S226" s="157">
        <v>8</v>
      </c>
      <c r="T226" s="157">
        <v>11</v>
      </c>
      <c r="U226" s="157">
        <v>10</v>
      </c>
      <c r="V226" s="157">
        <v>1</v>
      </c>
      <c r="W226" s="157">
        <v>10</v>
      </c>
      <c r="X226" s="157"/>
      <c r="Y226" s="157">
        <f t="shared" si="3"/>
        <v>408</v>
      </c>
    </row>
    <row r="227" spans="1:25" x14ac:dyDescent="0.35">
      <c r="A227" s="157" t="s">
        <v>724</v>
      </c>
      <c r="B227" s="157" t="s">
        <v>725</v>
      </c>
      <c r="C227" s="157">
        <v>5</v>
      </c>
      <c r="D227" s="157">
        <v>3</v>
      </c>
      <c r="E227" s="157">
        <v>25</v>
      </c>
      <c r="F227" s="157">
        <v>7</v>
      </c>
      <c r="G227" s="157">
        <v>2</v>
      </c>
      <c r="H227" s="157">
        <v>2</v>
      </c>
      <c r="I227" s="157">
        <v>91</v>
      </c>
      <c r="J227" s="157">
        <v>14</v>
      </c>
      <c r="K227" s="157">
        <v>8</v>
      </c>
      <c r="L227" s="157">
        <v>45</v>
      </c>
      <c r="M227" s="157">
        <v>27</v>
      </c>
      <c r="N227" s="157">
        <v>3</v>
      </c>
      <c r="O227" s="157"/>
      <c r="P227" s="157">
        <v>2</v>
      </c>
      <c r="Q227" s="157">
        <v>3</v>
      </c>
      <c r="R227" s="157">
        <v>1</v>
      </c>
      <c r="S227" s="157">
        <v>2</v>
      </c>
      <c r="T227" s="157">
        <v>1</v>
      </c>
      <c r="U227" s="157">
        <v>1</v>
      </c>
      <c r="V227" s="157">
        <v>1</v>
      </c>
      <c r="W227" s="157">
        <v>6</v>
      </c>
      <c r="X227" s="157">
        <v>1</v>
      </c>
      <c r="Y227" s="157">
        <f t="shared" si="3"/>
        <v>250</v>
      </c>
    </row>
    <row r="228" spans="1:25" x14ac:dyDescent="0.35">
      <c r="A228" s="157" t="s">
        <v>726</v>
      </c>
      <c r="B228" s="157" t="s">
        <v>1378</v>
      </c>
      <c r="C228" s="157">
        <v>2</v>
      </c>
      <c r="D228" s="157">
        <v>3</v>
      </c>
      <c r="E228" s="157">
        <v>30</v>
      </c>
      <c r="F228" s="157">
        <v>10</v>
      </c>
      <c r="G228" s="157">
        <v>15</v>
      </c>
      <c r="H228" s="157">
        <v>4</v>
      </c>
      <c r="I228" s="157">
        <v>68</v>
      </c>
      <c r="J228" s="157">
        <v>13</v>
      </c>
      <c r="K228" s="157">
        <v>17</v>
      </c>
      <c r="L228" s="157">
        <v>36</v>
      </c>
      <c r="M228" s="157">
        <v>33</v>
      </c>
      <c r="N228" s="157">
        <v>5</v>
      </c>
      <c r="O228" s="157"/>
      <c r="P228" s="157">
        <v>5</v>
      </c>
      <c r="Q228" s="157">
        <v>10</v>
      </c>
      <c r="R228" s="157">
        <v>3</v>
      </c>
      <c r="S228" s="157">
        <v>6</v>
      </c>
      <c r="T228" s="157">
        <v>2</v>
      </c>
      <c r="U228" s="157">
        <v>2</v>
      </c>
      <c r="V228" s="157">
        <v>5</v>
      </c>
      <c r="W228" s="157">
        <v>2</v>
      </c>
      <c r="X228" s="157">
        <v>1</v>
      </c>
      <c r="Y228" s="157">
        <f t="shared" si="3"/>
        <v>272</v>
      </c>
    </row>
    <row r="229" spans="1:25" x14ac:dyDescent="0.35">
      <c r="A229" s="157" t="s">
        <v>727</v>
      </c>
      <c r="B229" s="157" t="s">
        <v>728</v>
      </c>
      <c r="C229" s="157">
        <v>10</v>
      </c>
      <c r="D229" s="157">
        <v>25</v>
      </c>
      <c r="E229" s="157">
        <v>69</v>
      </c>
      <c r="F229" s="157">
        <v>27</v>
      </c>
      <c r="G229" s="157">
        <v>24</v>
      </c>
      <c r="H229" s="157">
        <v>6</v>
      </c>
      <c r="I229" s="157">
        <v>146</v>
      </c>
      <c r="J229" s="157">
        <v>44</v>
      </c>
      <c r="K229" s="157">
        <v>22</v>
      </c>
      <c r="L229" s="157">
        <v>67</v>
      </c>
      <c r="M229" s="157">
        <v>69</v>
      </c>
      <c r="N229" s="157">
        <v>6</v>
      </c>
      <c r="O229" s="157"/>
      <c r="P229" s="157">
        <v>7</v>
      </c>
      <c r="Q229" s="157">
        <v>19</v>
      </c>
      <c r="R229" s="157">
        <v>9</v>
      </c>
      <c r="S229" s="157">
        <v>8</v>
      </c>
      <c r="T229" s="157">
        <v>21</v>
      </c>
      <c r="U229" s="157">
        <v>12</v>
      </c>
      <c r="V229" s="157">
        <v>6</v>
      </c>
      <c r="W229" s="157">
        <v>11</v>
      </c>
      <c r="X229" s="157">
        <v>1</v>
      </c>
      <c r="Y229" s="157">
        <f t="shared" si="3"/>
        <v>609</v>
      </c>
    </row>
    <row r="230" spans="1:25" x14ac:dyDescent="0.35">
      <c r="A230" s="157" t="s">
        <v>729</v>
      </c>
      <c r="B230" s="157" t="s">
        <v>730</v>
      </c>
      <c r="C230" s="157">
        <v>3</v>
      </c>
      <c r="D230" s="157">
        <v>4</v>
      </c>
      <c r="E230" s="157">
        <v>12</v>
      </c>
      <c r="F230" s="157">
        <v>3</v>
      </c>
      <c r="G230" s="157">
        <v>5</v>
      </c>
      <c r="H230" s="157">
        <v>4</v>
      </c>
      <c r="I230" s="157">
        <v>50</v>
      </c>
      <c r="J230" s="157">
        <v>4</v>
      </c>
      <c r="K230" s="157">
        <v>5</v>
      </c>
      <c r="L230" s="157">
        <v>15</v>
      </c>
      <c r="M230" s="157">
        <v>9</v>
      </c>
      <c r="N230" s="157">
        <v>1</v>
      </c>
      <c r="O230" s="157"/>
      <c r="P230" s="157">
        <v>2</v>
      </c>
      <c r="Q230" s="157">
        <v>4</v>
      </c>
      <c r="R230" s="157">
        <v>5</v>
      </c>
      <c r="S230" s="157">
        <v>1</v>
      </c>
      <c r="T230" s="157">
        <v>5</v>
      </c>
      <c r="U230" s="157">
        <v>2</v>
      </c>
      <c r="V230" s="157">
        <v>4</v>
      </c>
      <c r="W230" s="157">
        <v>3</v>
      </c>
      <c r="X230" s="157"/>
      <c r="Y230" s="157">
        <f t="shared" si="3"/>
        <v>141</v>
      </c>
    </row>
    <row r="231" spans="1:25" x14ac:dyDescent="0.35">
      <c r="A231" s="157" t="s">
        <v>731</v>
      </c>
      <c r="B231" s="157" t="s">
        <v>732</v>
      </c>
      <c r="C231" s="157">
        <v>1</v>
      </c>
      <c r="D231" s="157">
        <v>2</v>
      </c>
      <c r="E231" s="157">
        <v>23</v>
      </c>
      <c r="F231" s="157">
        <v>7</v>
      </c>
      <c r="G231" s="157">
        <v>5</v>
      </c>
      <c r="H231" s="157">
        <v>4</v>
      </c>
      <c r="I231" s="157">
        <v>47</v>
      </c>
      <c r="J231" s="157">
        <v>19</v>
      </c>
      <c r="K231" s="157">
        <v>11</v>
      </c>
      <c r="L231" s="157">
        <v>122</v>
      </c>
      <c r="M231" s="157">
        <v>19</v>
      </c>
      <c r="N231" s="157"/>
      <c r="O231" s="157"/>
      <c r="P231" s="157">
        <v>1</v>
      </c>
      <c r="Q231" s="157">
        <v>6</v>
      </c>
      <c r="R231" s="157">
        <v>5</v>
      </c>
      <c r="S231" s="157">
        <v>3</v>
      </c>
      <c r="T231" s="157">
        <v>5</v>
      </c>
      <c r="U231" s="157">
        <v>3</v>
      </c>
      <c r="V231" s="157">
        <v>1</v>
      </c>
      <c r="W231" s="157">
        <v>6</v>
      </c>
      <c r="X231" s="157">
        <v>2</v>
      </c>
      <c r="Y231" s="157">
        <f t="shared" si="3"/>
        <v>292</v>
      </c>
    </row>
    <row r="232" spans="1:25" x14ac:dyDescent="0.35">
      <c r="A232" s="157" t="s">
        <v>733</v>
      </c>
      <c r="B232" s="157" t="s">
        <v>734</v>
      </c>
      <c r="C232" s="157">
        <v>5</v>
      </c>
      <c r="D232" s="157">
        <v>8</v>
      </c>
      <c r="E232" s="157">
        <v>31</v>
      </c>
      <c r="F232" s="157">
        <v>17</v>
      </c>
      <c r="G232" s="157">
        <v>12</v>
      </c>
      <c r="H232" s="157">
        <v>10</v>
      </c>
      <c r="I232" s="157">
        <v>61</v>
      </c>
      <c r="J232" s="157">
        <v>23</v>
      </c>
      <c r="K232" s="157">
        <v>13</v>
      </c>
      <c r="L232" s="157">
        <v>134</v>
      </c>
      <c r="M232" s="157">
        <v>32</v>
      </c>
      <c r="N232" s="157">
        <v>8</v>
      </c>
      <c r="O232" s="157"/>
      <c r="P232" s="157">
        <v>5</v>
      </c>
      <c r="Q232" s="157">
        <v>11</v>
      </c>
      <c r="R232" s="157">
        <v>7</v>
      </c>
      <c r="S232" s="157">
        <v>2</v>
      </c>
      <c r="T232" s="157">
        <v>4</v>
      </c>
      <c r="U232" s="157">
        <v>10</v>
      </c>
      <c r="V232" s="157">
        <v>1</v>
      </c>
      <c r="W232" s="157">
        <v>10</v>
      </c>
      <c r="X232" s="157">
        <v>5</v>
      </c>
      <c r="Y232" s="157">
        <f t="shared" si="3"/>
        <v>409</v>
      </c>
    </row>
    <row r="233" spans="1:25" x14ac:dyDescent="0.35">
      <c r="A233" s="157" t="s">
        <v>735</v>
      </c>
      <c r="B233" s="157" t="s">
        <v>736</v>
      </c>
      <c r="C233" s="157"/>
      <c r="D233" s="157">
        <v>1</v>
      </c>
      <c r="E233" s="157">
        <v>4</v>
      </c>
      <c r="F233" s="157">
        <v>2</v>
      </c>
      <c r="G233" s="157">
        <v>1</v>
      </c>
      <c r="H233" s="157"/>
      <c r="I233" s="157">
        <v>7</v>
      </c>
      <c r="J233" s="157">
        <v>4</v>
      </c>
      <c r="K233" s="157">
        <v>2</v>
      </c>
      <c r="L233" s="157">
        <v>54</v>
      </c>
      <c r="M233" s="157">
        <v>5</v>
      </c>
      <c r="N233" s="157">
        <v>1</v>
      </c>
      <c r="O233" s="157"/>
      <c r="P233" s="157">
        <v>1</v>
      </c>
      <c r="Q233" s="157">
        <v>1</v>
      </c>
      <c r="R233" s="157">
        <v>2</v>
      </c>
      <c r="S233" s="157">
        <v>1</v>
      </c>
      <c r="T233" s="157"/>
      <c r="U233" s="157">
        <v>5</v>
      </c>
      <c r="V233" s="157">
        <v>1</v>
      </c>
      <c r="W233" s="157">
        <v>2</v>
      </c>
      <c r="X233" s="157"/>
      <c r="Y233" s="157">
        <f t="shared" si="3"/>
        <v>94</v>
      </c>
    </row>
    <row r="234" spans="1:25" x14ac:dyDescent="0.35">
      <c r="A234" s="157" t="s">
        <v>737</v>
      </c>
      <c r="B234" s="157" t="s">
        <v>738</v>
      </c>
      <c r="C234" s="157">
        <v>1</v>
      </c>
      <c r="D234" s="157">
        <v>4</v>
      </c>
      <c r="E234" s="157">
        <v>5</v>
      </c>
      <c r="F234" s="157">
        <v>2</v>
      </c>
      <c r="G234" s="157">
        <v>2</v>
      </c>
      <c r="H234" s="157">
        <v>1</v>
      </c>
      <c r="I234" s="157">
        <v>13</v>
      </c>
      <c r="J234" s="157">
        <v>3</v>
      </c>
      <c r="K234" s="157">
        <v>5</v>
      </c>
      <c r="L234" s="157">
        <v>30</v>
      </c>
      <c r="M234" s="157">
        <v>14</v>
      </c>
      <c r="N234" s="157"/>
      <c r="O234" s="157"/>
      <c r="P234" s="157"/>
      <c r="Q234" s="157">
        <v>2</v>
      </c>
      <c r="R234" s="157"/>
      <c r="S234" s="157"/>
      <c r="T234" s="157"/>
      <c r="U234" s="157">
        <v>1</v>
      </c>
      <c r="V234" s="157">
        <v>2</v>
      </c>
      <c r="W234" s="157">
        <v>2</v>
      </c>
      <c r="X234" s="157"/>
      <c r="Y234" s="157">
        <f t="shared" si="3"/>
        <v>87</v>
      </c>
    </row>
    <row r="235" spans="1:25" x14ac:dyDescent="0.35">
      <c r="A235" s="157" t="s">
        <v>739</v>
      </c>
      <c r="B235" s="157" t="s">
        <v>740</v>
      </c>
      <c r="C235" s="157">
        <v>6</v>
      </c>
      <c r="D235" s="157">
        <v>11</v>
      </c>
      <c r="E235" s="157">
        <v>61</v>
      </c>
      <c r="F235" s="157">
        <v>21</v>
      </c>
      <c r="G235" s="157">
        <v>18</v>
      </c>
      <c r="H235" s="157">
        <v>7</v>
      </c>
      <c r="I235" s="157">
        <v>115</v>
      </c>
      <c r="J235" s="157">
        <v>59</v>
      </c>
      <c r="K235" s="157">
        <v>36</v>
      </c>
      <c r="L235" s="157">
        <v>190</v>
      </c>
      <c r="M235" s="157">
        <v>93</v>
      </c>
      <c r="N235" s="157">
        <v>8</v>
      </c>
      <c r="O235" s="157"/>
      <c r="P235" s="157">
        <v>2</v>
      </c>
      <c r="Q235" s="157">
        <v>14</v>
      </c>
      <c r="R235" s="157">
        <v>12</v>
      </c>
      <c r="S235" s="157">
        <v>5</v>
      </c>
      <c r="T235" s="157">
        <v>11</v>
      </c>
      <c r="U235" s="157">
        <v>3</v>
      </c>
      <c r="V235" s="157">
        <v>4</v>
      </c>
      <c r="W235" s="157">
        <v>11</v>
      </c>
      <c r="X235" s="157">
        <v>5</v>
      </c>
      <c r="Y235" s="157">
        <f t="shared" si="3"/>
        <v>692</v>
      </c>
    </row>
    <row r="236" spans="1:25" x14ac:dyDescent="0.35">
      <c r="A236" s="157" t="s">
        <v>741</v>
      </c>
      <c r="B236" s="157" t="s">
        <v>742</v>
      </c>
      <c r="C236" s="157"/>
      <c r="D236" s="157">
        <v>4</v>
      </c>
      <c r="E236" s="157">
        <v>25</v>
      </c>
      <c r="F236" s="157">
        <v>4</v>
      </c>
      <c r="G236" s="157">
        <v>5</v>
      </c>
      <c r="H236" s="157">
        <v>4</v>
      </c>
      <c r="I236" s="157">
        <v>24</v>
      </c>
      <c r="J236" s="157">
        <v>12</v>
      </c>
      <c r="K236" s="157">
        <v>3</v>
      </c>
      <c r="L236" s="157">
        <v>115</v>
      </c>
      <c r="M236" s="157">
        <v>22</v>
      </c>
      <c r="N236" s="157">
        <v>2</v>
      </c>
      <c r="O236" s="157"/>
      <c r="P236" s="157">
        <v>2</v>
      </c>
      <c r="Q236" s="157">
        <v>1</v>
      </c>
      <c r="R236" s="157">
        <v>2</v>
      </c>
      <c r="S236" s="157"/>
      <c r="T236" s="157">
        <v>1</v>
      </c>
      <c r="U236" s="157"/>
      <c r="V236" s="157"/>
      <c r="W236" s="157">
        <v>4</v>
      </c>
      <c r="X236" s="157"/>
      <c r="Y236" s="157">
        <f t="shared" si="3"/>
        <v>230</v>
      </c>
    </row>
    <row r="237" spans="1:25" x14ac:dyDescent="0.35">
      <c r="A237" s="157" t="s">
        <v>743</v>
      </c>
      <c r="B237" s="157" t="s">
        <v>744</v>
      </c>
      <c r="C237" s="157"/>
      <c r="D237" s="157">
        <v>1</v>
      </c>
      <c r="E237" s="157">
        <v>9</v>
      </c>
      <c r="F237" s="157">
        <v>3</v>
      </c>
      <c r="G237" s="157"/>
      <c r="H237" s="157"/>
      <c r="I237" s="157">
        <v>33</v>
      </c>
      <c r="J237" s="157">
        <v>4</v>
      </c>
      <c r="K237" s="157">
        <v>7</v>
      </c>
      <c r="L237" s="157">
        <v>21</v>
      </c>
      <c r="M237" s="157">
        <v>8</v>
      </c>
      <c r="N237" s="157"/>
      <c r="O237" s="157"/>
      <c r="P237" s="157">
        <v>1</v>
      </c>
      <c r="Q237" s="157">
        <v>4</v>
      </c>
      <c r="R237" s="157">
        <v>3</v>
      </c>
      <c r="S237" s="157"/>
      <c r="T237" s="157"/>
      <c r="U237" s="157"/>
      <c r="V237" s="157"/>
      <c r="W237" s="157">
        <v>6</v>
      </c>
      <c r="X237" s="157">
        <v>1</v>
      </c>
      <c r="Y237" s="157">
        <f t="shared" si="3"/>
        <v>101</v>
      </c>
    </row>
    <row r="238" spans="1:25" x14ac:dyDescent="0.35">
      <c r="A238" s="157" t="s">
        <v>745</v>
      </c>
      <c r="B238" s="157" t="s">
        <v>746</v>
      </c>
      <c r="C238" s="157">
        <v>2</v>
      </c>
      <c r="D238" s="157">
        <v>8</v>
      </c>
      <c r="E238" s="157">
        <v>17</v>
      </c>
      <c r="F238" s="157">
        <v>9</v>
      </c>
      <c r="G238" s="157">
        <v>4</v>
      </c>
      <c r="H238" s="157">
        <v>8</v>
      </c>
      <c r="I238" s="157">
        <v>44</v>
      </c>
      <c r="J238" s="157">
        <v>13</v>
      </c>
      <c r="K238" s="157">
        <v>7</v>
      </c>
      <c r="L238" s="157">
        <v>65</v>
      </c>
      <c r="M238" s="157">
        <v>31</v>
      </c>
      <c r="N238" s="157">
        <v>4</v>
      </c>
      <c r="O238" s="157"/>
      <c r="P238" s="157">
        <v>2</v>
      </c>
      <c r="Q238" s="157">
        <v>6</v>
      </c>
      <c r="R238" s="157">
        <v>4</v>
      </c>
      <c r="S238" s="157"/>
      <c r="T238" s="157">
        <v>3</v>
      </c>
      <c r="U238" s="157">
        <v>1</v>
      </c>
      <c r="V238" s="157"/>
      <c r="W238" s="157">
        <v>2</v>
      </c>
      <c r="X238" s="157">
        <v>1</v>
      </c>
      <c r="Y238" s="157">
        <f t="shared" si="3"/>
        <v>231</v>
      </c>
    </row>
    <row r="239" spans="1:25" x14ac:dyDescent="0.35">
      <c r="A239" s="157" t="s">
        <v>747</v>
      </c>
      <c r="B239" s="157" t="s">
        <v>748</v>
      </c>
      <c r="C239" s="157"/>
      <c r="D239" s="157"/>
      <c r="E239" s="157">
        <v>11</v>
      </c>
      <c r="F239" s="157"/>
      <c r="G239" s="157"/>
      <c r="H239" s="157">
        <v>1</v>
      </c>
      <c r="I239" s="157">
        <v>15</v>
      </c>
      <c r="J239" s="157">
        <v>7</v>
      </c>
      <c r="K239" s="157">
        <v>6</v>
      </c>
      <c r="L239" s="157">
        <v>13</v>
      </c>
      <c r="M239" s="157">
        <v>3</v>
      </c>
      <c r="N239" s="157"/>
      <c r="O239" s="157"/>
      <c r="P239" s="157"/>
      <c r="Q239" s="157">
        <v>1</v>
      </c>
      <c r="R239" s="157"/>
      <c r="S239" s="157"/>
      <c r="T239" s="157">
        <v>1</v>
      </c>
      <c r="U239" s="157"/>
      <c r="V239" s="157"/>
      <c r="W239" s="157">
        <v>1</v>
      </c>
      <c r="X239" s="157"/>
      <c r="Y239" s="157">
        <f t="shared" si="3"/>
        <v>59</v>
      </c>
    </row>
    <row r="240" spans="1:25" x14ac:dyDescent="0.35">
      <c r="A240" s="157" t="s">
        <v>749</v>
      </c>
      <c r="B240" s="157" t="s">
        <v>750</v>
      </c>
      <c r="C240" s="157">
        <v>5</v>
      </c>
      <c r="D240" s="157">
        <v>9</v>
      </c>
      <c r="E240" s="157">
        <v>55</v>
      </c>
      <c r="F240" s="157">
        <v>13</v>
      </c>
      <c r="G240" s="157">
        <v>9</v>
      </c>
      <c r="H240" s="157">
        <v>4</v>
      </c>
      <c r="I240" s="157">
        <v>92</v>
      </c>
      <c r="J240" s="157">
        <v>60</v>
      </c>
      <c r="K240" s="157">
        <v>27</v>
      </c>
      <c r="L240" s="157">
        <v>89</v>
      </c>
      <c r="M240" s="157">
        <v>69</v>
      </c>
      <c r="N240" s="157">
        <v>3</v>
      </c>
      <c r="O240" s="157"/>
      <c r="P240" s="157">
        <v>1</v>
      </c>
      <c r="Q240" s="157">
        <v>10</v>
      </c>
      <c r="R240" s="157">
        <v>8</v>
      </c>
      <c r="S240" s="157">
        <v>1</v>
      </c>
      <c r="T240" s="157">
        <v>3</v>
      </c>
      <c r="U240" s="157">
        <v>4</v>
      </c>
      <c r="V240" s="157">
        <v>4</v>
      </c>
      <c r="W240" s="157">
        <v>4</v>
      </c>
      <c r="X240" s="157">
        <v>1</v>
      </c>
      <c r="Y240" s="157">
        <f t="shared" si="3"/>
        <v>471</v>
      </c>
    </row>
    <row r="241" spans="1:25" x14ac:dyDescent="0.35">
      <c r="A241" s="157" t="s">
        <v>751</v>
      </c>
      <c r="B241" s="157" t="s">
        <v>752</v>
      </c>
      <c r="C241" s="157"/>
      <c r="D241" s="157">
        <v>1</v>
      </c>
      <c r="E241" s="157">
        <v>4</v>
      </c>
      <c r="F241" s="157">
        <v>4</v>
      </c>
      <c r="G241" s="157">
        <v>3</v>
      </c>
      <c r="H241" s="157">
        <v>1</v>
      </c>
      <c r="I241" s="157">
        <v>9</v>
      </c>
      <c r="J241" s="157">
        <v>8</v>
      </c>
      <c r="K241" s="157">
        <v>5</v>
      </c>
      <c r="L241" s="157">
        <v>7</v>
      </c>
      <c r="M241" s="157">
        <v>6</v>
      </c>
      <c r="N241" s="157"/>
      <c r="O241" s="157"/>
      <c r="P241" s="157">
        <v>2</v>
      </c>
      <c r="Q241" s="157">
        <v>3</v>
      </c>
      <c r="R241" s="157"/>
      <c r="S241" s="157">
        <v>2</v>
      </c>
      <c r="T241" s="157">
        <v>4</v>
      </c>
      <c r="U241" s="157">
        <v>1</v>
      </c>
      <c r="V241" s="157"/>
      <c r="W241" s="157">
        <v>2</v>
      </c>
      <c r="X241" s="157"/>
      <c r="Y241" s="157">
        <f t="shared" si="3"/>
        <v>62</v>
      </c>
    </row>
    <row r="242" spans="1:25" x14ac:dyDescent="0.35">
      <c r="A242" s="157" t="s">
        <v>753</v>
      </c>
      <c r="B242" s="157" t="s">
        <v>754</v>
      </c>
      <c r="C242" s="157">
        <v>1</v>
      </c>
      <c r="D242" s="157">
        <v>4</v>
      </c>
      <c r="E242" s="157">
        <v>21</v>
      </c>
      <c r="F242" s="157">
        <v>3</v>
      </c>
      <c r="G242" s="157">
        <v>1</v>
      </c>
      <c r="H242" s="157">
        <v>2</v>
      </c>
      <c r="I242" s="157">
        <v>89</v>
      </c>
      <c r="J242" s="157">
        <v>30</v>
      </c>
      <c r="K242" s="157">
        <v>6</v>
      </c>
      <c r="L242" s="157">
        <v>34</v>
      </c>
      <c r="M242" s="157">
        <v>19</v>
      </c>
      <c r="N242" s="157"/>
      <c r="O242" s="157"/>
      <c r="P242" s="157"/>
      <c r="Q242" s="157">
        <v>5</v>
      </c>
      <c r="R242" s="157">
        <v>3</v>
      </c>
      <c r="S242" s="157"/>
      <c r="T242" s="157"/>
      <c r="U242" s="157"/>
      <c r="V242" s="157">
        <v>1</v>
      </c>
      <c r="W242" s="157">
        <v>1</v>
      </c>
      <c r="X242" s="157">
        <v>1</v>
      </c>
      <c r="Y242" s="157">
        <f t="shared" si="3"/>
        <v>221</v>
      </c>
    </row>
    <row r="243" spans="1:25" x14ac:dyDescent="0.35">
      <c r="A243" s="157" t="s">
        <v>755</v>
      </c>
      <c r="B243" s="157" t="s">
        <v>756</v>
      </c>
      <c r="C243" s="157">
        <v>7</v>
      </c>
      <c r="D243" s="157">
        <v>25</v>
      </c>
      <c r="E243" s="157">
        <v>67</v>
      </c>
      <c r="F243" s="157">
        <v>14</v>
      </c>
      <c r="G243" s="157">
        <v>21</v>
      </c>
      <c r="H243" s="157">
        <v>13</v>
      </c>
      <c r="I243" s="157">
        <v>74</v>
      </c>
      <c r="J243" s="157">
        <v>56</v>
      </c>
      <c r="K243" s="157">
        <v>33</v>
      </c>
      <c r="L243" s="157">
        <v>187</v>
      </c>
      <c r="M243" s="157">
        <v>64</v>
      </c>
      <c r="N243" s="157">
        <v>9</v>
      </c>
      <c r="O243" s="157">
        <v>1</v>
      </c>
      <c r="P243" s="157">
        <v>9</v>
      </c>
      <c r="Q243" s="157">
        <v>18</v>
      </c>
      <c r="R243" s="157">
        <v>5</v>
      </c>
      <c r="S243" s="157">
        <v>8</v>
      </c>
      <c r="T243" s="157">
        <v>7</v>
      </c>
      <c r="U243" s="157">
        <v>3</v>
      </c>
      <c r="V243" s="157">
        <v>8</v>
      </c>
      <c r="W243" s="157">
        <v>7</v>
      </c>
      <c r="X243" s="157">
        <v>5</v>
      </c>
      <c r="Y243" s="157">
        <f t="shared" si="3"/>
        <v>641</v>
      </c>
    </row>
    <row r="244" spans="1:25" x14ac:dyDescent="0.35">
      <c r="A244" s="157" t="s">
        <v>757</v>
      </c>
      <c r="B244" s="157" t="s">
        <v>758</v>
      </c>
      <c r="C244" s="157">
        <v>1</v>
      </c>
      <c r="D244" s="157">
        <v>7</v>
      </c>
      <c r="E244" s="157">
        <v>18</v>
      </c>
      <c r="F244" s="157">
        <v>2</v>
      </c>
      <c r="G244" s="157">
        <v>3</v>
      </c>
      <c r="H244" s="157">
        <v>1</v>
      </c>
      <c r="I244" s="157">
        <v>37</v>
      </c>
      <c r="J244" s="157">
        <v>18</v>
      </c>
      <c r="K244" s="157">
        <v>7</v>
      </c>
      <c r="L244" s="157">
        <v>32</v>
      </c>
      <c r="M244" s="157">
        <v>15</v>
      </c>
      <c r="N244" s="157">
        <v>2</v>
      </c>
      <c r="O244" s="157"/>
      <c r="P244" s="157"/>
      <c r="Q244" s="157">
        <v>4</v>
      </c>
      <c r="R244" s="157">
        <v>2</v>
      </c>
      <c r="S244" s="157">
        <v>2</v>
      </c>
      <c r="T244" s="157">
        <v>2</v>
      </c>
      <c r="U244" s="157">
        <v>1</v>
      </c>
      <c r="V244" s="157"/>
      <c r="W244" s="157">
        <v>2</v>
      </c>
      <c r="X244" s="157"/>
      <c r="Y244" s="157">
        <f t="shared" si="3"/>
        <v>156</v>
      </c>
    </row>
    <row r="245" spans="1:25" x14ac:dyDescent="0.35">
      <c r="A245" s="157" t="s">
        <v>759</v>
      </c>
      <c r="B245" s="157" t="s">
        <v>760</v>
      </c>
      <c r="C245" s="157">
        <v>1</v>
      </c>
      <c r="D245" s="157">
        <v>26</v>
      </c>
      <c r="E245" s="157">
        <v>5</v>
      </c>
      <c r="F245" s="157">
        <v>6</v>
      </c>
      <c r="G245" s="157">
        <v>5</v>
      </c>
      <c r="H245" s="157">
        <v>5</v>
      </c>
      <c r="I245" s="157">
        <v>5</v>
      </c>
      <c r="J245" s="157">
        <v>10</v>
      </c>
      <c r="K245" s="157">
        <v>4</v>
      </c>
      <c r="L245" s="157">
        <v>47</v>
      </c>
      <c r="M245" s="157">
        <v>9</v>
      </c>
      <c r="N245" s="157">
        <v>2</v>
      </c>
      <c r="O245" s="157"/>
      <c r="P245" s="157"/>
      <c r="Q245" s="157">
        <v>6</v>
      </c>
      <c r="R245" s="157">
        <v>1</v>
      </c>
      <c r="S245" s="157">
        <v>3</v>
      </c>
      <c r="T245" s="157"/>
      <c r="U245" s="157">
        <v>12</v>
      </c>
      <c r="V245" s="157"/>
      <c r="W245" s="157">
        <v>3</v>
      </c>
      <c r="X245" s="157">
        <v>1</v>
      </c>
      <c r="Y245" s="157">
        <f t="shared" si="3"/>
        <v>151</v>
      </c>
    </row>
    <row r="246" spans="1:25" x14ac:dyDescent="0.35">
      <c r="A246" s="157" t="s">
        <v>761</v>
      </c>
      <c r="B246" s="157" t="s">
        <v>762</v>
      </c>
      <c r="C246" s="157">
        <v>3</v>
      </c>
      <c r="D246" s="157">
        <v>12</v>
      </c>
      <c r="E246" s="157">
        <v>37</v>
      </c>
      <c r="F246" s="157">
        <v>13</v>
      </c>
      <c r="G246" s="157">
        <v>10</v>
      </c>
      <c r="H246" s="157">
        <v>7</v>
      </c>
      <c r="I246" s="157">
        <v>56</v>
      </c>
      <c r="J246" s="157">
        <v>36</v>
      </c>
      <c r="K246" s="157">
        <v>15</v>
      </c>
      <c r="L246" s="157">
        <v>116</v>
      </c>
      <c r="M246" s="157">
        <v>43</v>
      </c>
      <c r="N246" s="157">
        <v>6</v>
      </c>
      <c r="O246" s="157"/>
      <c r="P246" s="157">
        <v>2</v>
      </c>
      <c r="Q246" s="157">
        <v>11</v>
      </c>
      <c r="R246" s="157">
        <v>5</v>
      </c>
      <c r="S246" s="157">
        <v>3</v>
      </c>
      <c r="T246" s="157">
        <v>7</v>
      </c>
      <c r="U246" s="157"/>
      <c r="V246" s="157">
        <v>3</v>
      </c>
      <c r="W246" s="157">
        <v>3</v>
      </c>
      <c r="X246" s="157">
        <v>2</v>
      </c>
      <c r="Y246" s="157">
        <f t="shared" si="3"/>
        <v>390</v>
      </c>
    </row>
    <row r="247" spans="1:25" x14ac:dyDescent="0.35">
      <c r="A247" s="157" t="s">
        <v>763</v>
      </c>
      <c r="B247" s="157" t="s">
        <v>764</v>
      </c>
      <c r="C247" s="157">
        <v>8</v>
      </c>
      <c r="D247" s="157">
        <v>11</v>
      </c>
      <c r="E247" s="157">
        <v>76</v>
      </c>
      <c r="F247" s="157">
        <v>20</v>
      </c>
      <c r="G247" s="157">
        <v>21</v>
      </c>
      <c r="H247" s="157">
        <v>15</v>
      </c>
      <c r="I247" s="157">
        <v>145</v>
      </c>
      <c r="J247" s="157">
        <v>70</v>
      </c>
      <c r="K247" s="157">
        <v>30</v>
      </c>
      <c r="L247" s="157">
        <v>309</v>
      </c>
      <c r="M247" s="157">
        <v>68</v>
      </c>
      <c r="N247" s="157">
        <v>7</v>
      </c>
      <c r="O247" s="157"/>
      <c r="P247" s="157">
        <v>6</v>
      </c>
      <c r="Q247" s="157">
        <v>17</v>
      </c>
      <c r="R247" s="157">
        <v>8</v>
      </c>
      <c r="S247" s="157">
        <v>3</v>
      </c>
      <c r="T247" s="157">
        <v>8</v>
      </c>
      <c r="U247" s="157">
        <v>6</v>
      </c>
      <c r="V247" s="157">
        <v>3</v>
      </c>
      <c r="W247" s="157">
        <v>9</v>
      </c>
      <c r="X247" s="157">
        <v>1</v>
      </c>
      <c r="Y247" s="157">
        <f t="shared" si="3"/>
        <v>841</v>
      </c>
    </row>
    <row r="248" spans="1:25" x14ac:dyDescent="0.35">
      <c r="A248" s="157" t="s">
        <v>765</v>
      </c>
      <c r="B248" s="157" t="s">
        <v>1229</v>
      </c>
      <c r="C248" s="157">
        <v>60</v>
      </c>
      <c r="D248" s="157">
        <v>334</v>
      </c>
      <c r="E248" s="157">
        <v>379</v>
      </c>
      <c r="F248" s="157">
        <v>321</v>
      </c>
      <c r="G248" s="157">
        <v>285</v>
      </c>
      <c r="H248" s="157">
        <v>318</v>
      </c>
      <c r="I248" s="157">
        <v>169</v>
      </c>
      <c r="J248" s="157">
        <v>245</v>
      </c>
      <c r="K248" s="157">
        <v>217</v>
      </c>
      <c r="L248" s="157">
        <v>455</v>
      </c>
      <c r="M248" s="157">
        <v>265</v>
      </c>
      <c r="N248" s="157">
        <v>308</v>
      </c>
      <c r="O248" s="157">
        <v>15</v>
      </c>
      <c r="P248" s="157">
        <v>210</v>
      </c>
      <c r="Q248" s="157">
        <v>301</v>
      </c>
      <c r="R248" s="157">
        <v>162</v>
      </c>
      <c r="S248" s="157">
        <v>135</v>
      </c>
      <c r="T248" s="157">
        <v>257</v>
      </c>
      <c r="U248" s="157">
        <v>197</v>
      </c>
      <c r="V248" s="157">
        <v>42</v>
      </c>
      <c r="W248" s="157">
        <v>242</v>
      </c>
      <c r="X248" s="157">
        <v>8</v>
      </c>
      <c r="Y248" s="157">
        <f t="shared" si="3"/>
        <v>4925</v>
      </c>
    </row>
    <row r="249" spans="1:25" x14ac:dyDescent="0.35">
      <c r="A249" s="157" t="s">
        <v>766</v>
      </c>
      <c r="B249" s="157" t="s">
        <v>1230</v>
      </c>
      <c r="C249" s="157">
        <v>12</v>
      </c>
      <c r="D249" s="157">
        <v>122</v>
      </c>
      <c r="E249" s="157">
        <v>156</v>
      </c>
      <c r="F249" s="157">
        <v>93</v>
      </c>
      <c r="G249" s="157">
        <v>98</v>
      </c>
      <c r="H249" s="157">
        <v>85</v>
      </c>
      <c r="I249" s="157">
        <v>106</v>
      </c>
      <c r="J249" s="157">
        <v>72</v>
      </c>
      <c r="K249" s="157">
        <v>82</v>
      </c>
      <c r="L249" s="157">
        <v>826</v>
      </c>
      <c r="M249" s="157">
        <v>98</v>
      </c>
      <c r="N249" s="157">
        <v>79</v>
      </c>
      <c r="O249" s="157">
        <v>1</v>
      </c>
      <c r="P249" s="157">
        <v>67</v>
      </c>
      <c r="Q249" s="157">
        <v>82</v>
      </c>
      <c r="R249" s="157">
        <v>40</v>
      </c>
      <c r="S249" s="157">
        <v>55</v>
      </c>
      <c r="T249" s="157">
        <v>71</v>
      </c>
      <c r="U249" s="157">
        <v>75</v>
      </c>
      <c r="V249" s="157">
        <v>13</v>
      </c>
      <c r="W249" s="157">
        <v>90</v>
      </c>
      <c r="X249" s="157">
        <v>3</v>
      </c>
      <c r="Y249" s="157">
        <f t="shared" si="3"/>
        <v>2326</v>
      </c>
    </row>
    <row r="250" spans="1:25" x14ac:dyDescent="0.35">
      <c r="A250" s="157" t="s">
        <v>767</v>
      </c>
      <c r="B250" s="157" t="s">
        <v>768</v>
      </c>
      <c r="C250" s="157">
        <v>2</v>
      </c>
      <c r="D250" s="157">
        <v>29</v>
      </c>
      <c r="E250" s="157">
        <v>46</v>
      </c>
      <c r="F250" s="157">
        <v>34</v>
      </c>
      <c r="G250" s="157">
        <v>21</v>
      </c>
      <c r="H250" s="157">
        <v>21</v>
      </c>
      <c r="I250" s="157">
        <v>32</v>
      </c>
      <c r="J250" s="157">
        <v>34</v>
      </c>
      <c r="K250" s="157">
        <v>30</v>
      </c>
      <c r="L250" s="157">
        <v>116</v>
      </c>
      <c r="M250" s="157">
        <v>28</v>
      </c>
      <c r="N250" s="157">
        <v>20</v>
      </c>
      <c r="O250" s="157">
        <v>3</v>
      </c>
      <c r="P250" s="157">
        <v>15</v>
      </c>
      <c r="Q250" s="157">
        <v>26</v>
      </c>
      <c r="R250" s="157">
        <v>13</v>
      </c>
      <c r="S250" s="157">
        <v>10</v>
      </c>
      <c r="T250" s="157">
        <v>26</v>
      </c>
      <c r="U250" s="157">
        <v>18</v>
      </c>
      <c r="V250" s="157">
        <v>1</v>
      </c>
      <c r="W250" s="157">
        <v>21</v>
      </c>
      <c r="X250" s="157">
        <v>1</v>
      </c>
      <c r="Y250" s="157">
        <f t="shared" si="3"/>
        <v>547</v>
      </c>
    </row>
    <row r="251" spans="1:25" x14ac:dyDescent="0.35">
      <c r="A251" s="157" t="s">
        <v>769</v>
      </c>
      <c r="B251" s="157" t="s">
        <v>770</v>
      </c>
      <c r="C251" s="157">
        <v>2</v>
      </c>
      <c r="D251" s="157">
        <v>21</v>
      </c>
      <c r="E251" s="157">
        <v>22</v>
      </c>
      <c r="F251" s="157">
        <v>10</v>
      </c>
      <c r="G251" s="157">
        <v>34</v>
      </c>
      <c r="H251" s="157">
        <v>12</v>
      </c>
      <c r="I251" s="157">
        <v>7</v>
      </c>
      <c r="J251" s="157">
        <v>17</v>
      </c>
      <c r="K251" s="157">
        <v>13</v>
      </c>
      <c r="L251" s="157">
        <v>23</v>
      </c>
      <c r="M251" s="157">
        <v>33</v>
      </c>
      <c r="N251" s="157">
        <v>8</v>
      </c>
      <c r="O251" s="157">
        <v>1</v>
      </c>
      <c r="P251" s="157">
        <v>5</v>
      </c>
      <c r="Q251" s="157">
        <v>14</v>
      </c>
      <c r="R251" s="157">
        <v>2</v>
      </c>
      <c r="S251" s="157">
        <v>3</v>
      </c>
      <c r="T251" s="157">
        <v>7</v>
      </c>
      <c r="U251" s="157">
        <v>5</v>
      </c>
      <c r="V251" s="157"/>
      <c r="W251" s="157">
        <v>6</v>
      </c>
      <c r="X251" s="157">
        <v>5</v>
      </c>
      <c r="Y251" s="157">
        <f t="shared" si="3"/>
        <v>250</v>
      </c>
    </row>
    <row r="252" spans="1:25" x14ac:dyDescent="0.35">
      <c r="A252" s="157" t="s">
        <v>771</v>
      </c>
      <c r="B252" s="157" t="s">
        <v>772</v>
      </c>
      <c r="C252" s="157">
        <v>3</v>
      </c>
      <c r="D252" s="157">
        <v>59</v>
      </c>
      <c r="E252" s="157">
        <v>56</v>
      </c>
      <c r="F252" s="157">
        <v>34</v>
      </c>
      <c r="G252" s="157">
        <v>42</v>
      </c>
      <c r="H252" s="157">
        <v>52</v>
      </c>
      <c r="I252" s="157">
        <v>27</v>
      </c>
      <c r="J252" s="157">
        <v>38</v>
      </c>
      <c r="K252" s="157">
        <v>30</v>
      </c>
      <c r="L252" s="157">
        <v>100</v>
      </c>
      <c r="M252" s="157">
        <v>28</v>
      </c>
      <c r="N252" s="157">
        <v>48</v>
      </c>
      <c r="O252" s="157">
        <v>1</v>
      </c>
      <c r="P252" s="157">
        <v>42</v>
      </c>
      <c r="Q252" s="157">
        <v>48</v>
      </c>
      <c r="R252" s="157">
        <v>26</v>
      </c>
      <c r="S252" s="157">
        <v>23</v>
      </c>
      <c r="T252" s="157">
        <v>40</v>
      </c>
      <c r="U252" s="157">
        <v>36</v>
      </c>
      <c r="V252" s="157">
        <v>7</v>
      </c>
      <c r="W252" s="157">
        <v>38</v>
      </c>
      <c r="X252" s="157">
        <v>2</v>
      </c>
      <c r="Y252" s="157">
        <f t="shared" si="3"/>
        <v>780</v>
      </c>
    </row>
    <row r="253" spans="1:25" x14ac:dyDescent="0.35">
      <c r="A253" s="157" t="s">
        <v>773</v>
      </c>
      <c r="B253" s="157" t="s">
        <v>774</v>
      </c>
      <c r="C253" s="157">
        <v>10</v>
      </c>
      <c r="D253" s="157">
        <v>61</v>
      </c>
      <c r="E253" s="157">
        <v>56</v>
      </c>
      <c r="F253" s="157">
        <v>43</v>
      </c>
      <c r="G253" s="157">
        <v>57</v>
      </c>
      <c r="H253" s="157">
        <v>47</v>
      </c>
      <c r="I253" s="157">
        <v>28</v>
      </c>
      <c r="J253" s="157">
        <v>31</v>
      </c>
      <c r="K253" s="157">
        <v>25</v>
      </c>
      <c r="L253" s="157">
        <v>102</v>
      </c>
      <c r="M253" s="157">
        <v>36</v>
      </c>
      <c r="N253" s="157">
        <v>44</v>
      </c>
      <c r="O253" s="157"/>
      <c r="P253" s="157">
        <v>34</v>
      </c>
      <c r="Q253" s="157">
        <v>35</v>
      </c>
      <c r="R253" s="157">
        <v>32</v>
      </c>
      <c r="S253" s="157">
        <v>16</v>
      </c>
      <c r="T253" s="157">
        <v>52</v>
      </c>
      <c r="U253" s="157">
        <v>35</v>
      </c>
      <c r="V253" s="157">
        <v>6</v>
      </c>
      <c r="W253" s="157">
        <v>39</v>
      </c>
      <c r="X253" s="157">
        <v>2</v>
      </c>
      <c r="Y253" s="157">
        <f t="shared" si="3"/>
        <v>791</v>
      </c>
    </row>
    <row r="254" spans="1:25" x14ac:dyDescent="0.35">
      <c r="A254" s="157" t="s">
        <v>775</v>
      </c>
      <c r="B254" s="157" t="s">
        <v>776</v>
      </c>
      <c r="C254" s="157">
        <v>8</v>
      </c>
      <c r="D254" s="157">
        <v>37</v>
      </c>
      <c r="E254" s="157">
        <v>88</v>
      </c>
      <c r="F254" s="157">
        <v>32</v>
      </c>
      <c r="G254" s="157">
        <v>31</v>
      </c>
      <c r="H254" s="157">
        <v>27</v>
      </c>
      <c r="I254" s="157">
        <v>62</v>
      </c>
      <c r="J254" s="157">
        <v>30</v>
      </c>
      <c r="K254" s="157">
        <v>35</v>
      </c>
      <c r="L254" s="157">
        <v>110</v>
      </c>
      <c r="M254" s="157">
        <v>52</v>
      </c>
      <c r="N254" s="157">
        <v>25</v>
      </c>
      <c r="O254" s="157">
        <v>1</v>
      </c>
      <c r="P254" s="157">
        <v>20</v>
      </c>
      <c r="Q254" s="157">
        <v>43</v>
      </c>
      <c r="R254" s="157">
        <v>6</v>
      </c>
      <c r="S254" s="157">
        <v>13</v>
      </c>
      <c r="T254" s="157">
        <v>10</v>
      </c>
      <c r="U254" s="157">
        <v>14</v>
      </c>
      <c r="V254" s="157">
        <v>5</v>
      </c>
      <c r="W254" s="157">
        <v>17</v>
      </c>
      <c r="X254" s="157">
        <v>2</v>
      </c>
      <c r="Y254" s="157">
        <f t="shared" si="3"/>
        <v>668</v>
      </c>
    </row>
    <row r="255" spans="1:25" x14ac:dyDescent="0.35">
      <c r="A255" s="157" t="s">
        <v>777</v>
      </c>
      <c r="B255" s="157" t="s">
        <v>778</v>
      </c>
      <c r="C255" s="157"/>
      <c r="D255" s="157">
        <v>5</v>
      </c>
      <c r="E255" s="157">
        <v>11</v>
      </c>
      <c r="F255" s="157">
        <v>7</v>
      </c>
      <c r="G255" s="157">
        <v>10</v>
      </c>
      <c r="H255" s="157">
        <v>2</v>
      </c>
      <c r="I255" s="157">
        <v>35</v>
      </c>
      <c r="J255" s="157">
        <v>8</v>
      </c>
      <c r="K255" s="157">
        <v>4</v>
      </c>
      <c r="L255" s="157">
        <v>22</v>
      </c>
      <c r="M255" s="157">
        <v>17</v>
      </c>
      <c r="N255" s="157"/>
      <c r="O255" s="157"/>
      <c r="P255" s="157"/>
      <c r="Q255" s="157"/>
      <c r="R255" s="157">
        <v>1</v>
      </c>
      <c r="S255" s="157">
        <v>2</v>
      </c>
      <c r="T255" s="157">
        <v>1</v>
      </c>
      <c r="U255" s="157"/>
      <c r="V255" s="157">
        <v>2</v>
      </c>
      <c r="W255" s="157">
        <v>3</v>
      </c>
      <c r="X255" s="157">
        <v>3</v>
      </c>
      <c r="Y255" s="157">
        <f t="shared" si="3"/>
        <v>133</v>
      </c>
    </row>
    <row r="256" spans="1:25" x14ac:dyDescent="0.35">
      <c r="A256" s="157" t="s">
        <v>779</v>
      </c>
      <c r="B256" s="157" t="s">
        <v>780</v>
      </c>
      <c r="C256" s="157">
        <v>1</v>
      </c>
      <c r="D256" s="157">
        <v>14</v>
      </c>
      <c r="E256" s="157">
        <v>17</v>
      </c>
      <c r="F256" s="157">
        <v>5</v>
      </c>
      <c r="G256" s="157">
        <v>8</v>
      </c>
      <c r="H256" s="157">
        <v>3</v>
      </c>
      <c r="I256" s="157">
        <v>16</v>
      </c>
      <c r="J256" s="157">
        <v>21</v>
      </c>
      <c r="K256" s="157">
        <v>9</v>
      </c>
      <c r="L256" s="157">
        <v>30</v>
      </c>
      <c r="M256" s="157">
        <v>13</v>
      </c>
      <c r="N256" s="157">
        <v>4</v>
      </c>
      <c r="O256" s="157"/>
      <c r="P256" s="157">
        <v>1</v>
      </c>
      <c r="Q256" s="157">
        <v>10</v>
      </c>
      <c r="R256" s="157">
        <v>2</v>
      </c>
      <c r="S256" s="157">
        <v>6</v>
      </c>
      <c r="T256" s="157">
        <v>3</v>
      </c>
      <c r="U256" s="157">
        <v>6</v>
      </c>
      <c r="V256" s="157"/>
      <c r="W256" s="157">
        <v>9</v>
      </c>
      <c r="X256" s="157"/>
      <c r="Y256" s="157">
        <f t="shared" si="3"/>
        <v>178</v>
      </c>
    </row>
    <row r="257" spans="1:25" x14ac:dyDescent="0.35">
      <c r="A257" s="157" t="s">
        <v>781</v>
      </c>
      <c r="B257" s="157" t="s">
        <v>782</v>
      </c>
      <c r="C257" s="157">
        <v>5</v>
      </c>
      <c r="D257" s="157">
        <v>43</v>
      </c>
      <c r="E257" s="157">
        <v>86</v>
      </c>
      <c r="F257" s="157">
        <v>40</v>
      </c>
      <c r="G257" s="157">
        <v>29</v>
      </c>
      <c r="H257" s="157">
        <v>26</v>
      </c>
      <c r="I257" s="157">
        <v>225</v>
      </c>
      <c r="J257" s="157">
        <v>33</v>
      </c>
      <c r="K257" s="157">
        <v>43</v>
      </c>
      <c r="L257" s="157">
        <v>457</v>
      </c>
      <c r="M257" s="157">
        <v>133</v>
      </c>
      <c r="N257" s="157">
        <v>18</v>
      </c>
      <c r="O257" s="157"/>
      <c r="P257" s="157">
        <v>20</v>
      </c>
      <c r="Q257" s="157">
        <v>40</v>
      </c>
      <c r="R257" s="157">
        <v>7</v>
      </c>
      <c r="S257" s="157">
        <v>20</v>
      </c>
      <c r="T257" s="157">
        <v>22</v>
      </c>
      <c r="U257" s="157">
        <v>22</v>
      </c>
      <c r="V257" s="157">
        <v>3</v>
      </c>
      <c r="W257" s="157">
        <v>25</v>
      </c>
      <c r="X257" s="157">
        <v>4</v>
      </c>
      <c r="Y257" s="157">
        <f t="shared" si="3"/>
        <v>1301</v>
      </c>
    </row>
    <row r="258" spans="1:25" x14ac:dyDescent="0.35">
      <c r="A258" s="157" t="s">
        <v>783</v>
      </c>
      <c r="B258" s="157" t="s">
        <v>784</v>
      </c>
      <c r="C258" s="157">
        <v>2</v>
      </c>
      <c r="D258" s="157">
        <v>4</v>
      </c>
      <c r="E258" s="157">
        <v>2</v>
      </c>
      <c r="F258" s="157">
        <v>1</v>
      </c>
      <c r="G258" s="157">
        <v>1</v>
      </c>
      <c r="H258" s="157">
        <v>1</v>
      </c>
      <c r="I258" s="157">
        <v>12</v>
      </c>
      <c r="J258" s="157"/>
      <c r="K258" s="157">
        <v>3</v>
      </c>
      <c r="L258" s="157">
        <v>58</v>
      </c>
      <c r="M258" s="157">
        <v>14</v>
      </c>
      <c r="N258" s="157"/>
      <c r="O258" s="157"/>
      <c r="P258" s="157"/>
      <c r="Q258" s="157">
        <v>6</v>
      </c>
      <c r="R258" s="157"/>
      <c r="S258" s="157"/>
      <c r="T258" s="157">
        <v>1</v>
      </c>
      <c r="U258" s="157">
        <v>1</v>
      </c>
      <c r="V258" s="157"/>
      <c r="W258" s="157">
        <v>2</v>
      </c>
      <c r="X258" s="157"/>
      <c r="Y258" s="157">
        <f t="shared" si="3"/>
        <v>108</v>
      </c>
    </row>
    <row r="259" spans="1:25" x14ac:dyDescent="0.35">
      <c r="A259" s="157" t="s">
        <v>785</v>
      </c>
      <c r="B259" s="157" t="s">
        <v>786</v>
      </c>
      <c r="C259" s="157">
        <v>3</v>
      </c>
      <c r="D259" s="157">
        <v>14</v>
      </c>
      <c r="E259" s="157">
        <v>27</v>
      </c>
      <c r="F259" s="157">
        <v>12</v>
      </c>
      <c r="G259" s="157">
        <v>8</v>
      </c>
      <c r="H259" s="157">
        <v>5</v>
      </c>
      <c r="I259" s="157">
        <v>17</v>
      </c>
      <c r="J259" s="157">
        <v>18</v>
      </c>
      <c r="K259" s="157">
        <v>9</v>
      </c>
      <c r="L259" s="157">
        <v>236</v>
      </c>
      <c r="M259" s="157">
        <v>24</v>
      </c>
      <c r="N259" s="157">
        <v>7</v>
      </c>
      <c r="O259" s="157"/>
      <c r="P259" s="157">
        <v>8</v>
      </c>
      <c r="Q259" s="157">
        <v>6</v>
      </c>
      <c r="R259" s="157">
        <v>2</v>
      </c>
      <c r="S259" s="157">
        <v>1</v>
      </c>
      <c r="T259" s="157">
        <v>9</v>
      </c>
      <c r="U259" s="157">
        <v>6</v>
      </c>
      <c r="V259" s="157">
        <v>1</v>
      </c>
      <c r="W259" s="157">
        <v>9</v>
      </c>
      <c r="X259" s="157">
        <v>1</v>
      </c>
      <c r="Y259" s="157">
        <f t="shared" si="3"/>
        <v>423</v>
      </c>
    </row>
    <row r="260" spans="1:25" x14ac:dyDescent="0.35">
      <c r="A260" s="157" t="s">
        <v>787</v>
      </c>
      <c r="B260" s="157" t="s">
        <v>788</v>
      </c>
      <c r="C260" s="157">
        <v>11</v>
      </c>
      <c r="D260" s="157">
        <v>74</v>
      </c>
      <c r="E260" s="157">
        <v>137</v>
      </c>
      <c r="F260" s="157">
        <v>50</v>
      </c>
      <c r="G260" s="157">
        <v>65</v>
      </c>
      <c r="H260" s="157">
        <v>63</v>
      </c>
      <c r="I260" s="157">
        <v>42</v>
      </c>
      <c r="J260" s="157">
        <v>74</v>
      </c>
      <c r="K260" s="157">
        <v>75</v>
      </c>
      <c r="L260" s="157">
        <v>475</v>
      </c>
      <c r="M260" s="157">
        <v>90</v>
      </c>
      <c r="N260" s="157">
        <v>51</v>
      </c>
      <c r="O260" s="157">
        <v>2</v>
      </c>
      <c r="P260" s="157">
        <v>39</v>
      </c>
      <c r="Q260" s="157">
        <v>73</v>
      </c>
      <c r="R260" s="157">
        <v>30</v>
      </c>
      <c r="S260" s="157">
        <v>28</v>
      </c>
      <c r="T260" s="157">
        <v>56</v>
      </c>
      <c r="U260" s="157">
        <v>36</v>
      </c>
      <c r="V260" s="157">
        <v>17</v>
      </c>
      <c r="W260" s="157">
        <v>55</v>
      </c>
      <c r="X260" s="157">
        <v>5</v>
      </c>
      <c r="Y260" s="157">
        <f t="shared" si="3"/>
        <v>1548</v>
      </c>
    </row>
    <row r="261" spans="1:25" x14ac:dyDescent="0.35">
      <c r="A261" s="157" t="s">
        <v>789</v>
      </c>
      <c r="B261" s="157" t="s">
        <v>1231</v>
      </c>
      <c r="C261" s="157"/>
      <c r="D261" s="157">
        <v>1</v>
      </c>
      <c r="E261" s="157">
        <v>6</v>
      </c>
      <c r="F261" s="157">
        <v>1</v>
      </c>
      <c r="G261" s="157">
        <v>1</v>
      </c>
      <c r="H261" s="157">
        <v>2</v>
      </c>
      <c r="I261" s="157">
        <v>13</v>
      </c>
      <c r="J261" s="157">
        <v>1</v>
      </c>
      <c r="K261" s="157"/>
      <c r="L261" s="157">
        <v>4</v>
      </c>
      <c r="M261" s="157">
        <v>8</v>
      </c>
      <c r="N261" s="157">
        <v>1</v>
      </c>
      <c r="O261" s="157"/>
      <c r="P261" s="157"/>
      <c r="Q261" s="157"/>
      <c r="R261" s="157"/>
      <c r="S261" s="157">
        <v>1</v>
      </c>
      <c r="T261" s="157">
        <v>1</v>
      </c>
      <c r="U261" s="157"/>
      <c r="V261" s="157"/>
      <c r="W261" s="157"/>
      <c r="X261" s="157"/>
      <c r="Y261" s="157">
        <f t="shared" si="3"/>
        <v>40</v>
      </c>
    </row>
    <row r="262" spans="1:25" x14ac:dyDescent="0.35">
      <c r="A262" s="157" t="s">
        <v>790</v>
      </c>
      <c r="B262" s="157" t="s">
        <v>1232</v>
      </c>
      <c r="C262" s="157">
        <v>2</v>
      </c>
      <c r="D262" s="157">
        <v>16</v>
      </c>
      <c r="E262" s="157">
        <v>33</v>
      </c>
      <c r="F262" s="157">
        <v>6</v>
      </c>
      <c r="G262" s="157">
        <v>5</v>
      </c>
      <c r="H262" s="157">
        <v>3</v>
      </c>
      <c r="I262" s="157">
        <v>25</v>
      </c>
      <c r="J262" s="157">
        <v>11</v>
      </c>
      <c r="K262" s="157">
        <v>9</v>
      </c>
      <c r="L262" s="157">
        <v>155</v>
      </c>
      <c r="M262" s="157">
        <v>46</v>
      </c>
      <c r="N262" s="157">
        <v>3</v>
      </c>
      <c r="O262" s="157"/>
      <c r="P262" s="157">
        <v>1</v>
      </c>
      <c r="Q262" s="157">
        <v>4</v>
      </c>
      <c r="R262" s="157">
        <v>4</v>
      </c>
      <c r="S262" s="157">
        <v>4</v>
      </c>
      <c r="T262" s="157">
        <v>3</v>
      </c>
      <c r="U262" s="157"/>
      <c r="V262" s="157"/>
      <c r="W262" s="157">
        <v>4</v>
      </c>
      <c r="X262" s="157"/>
      <c r="Y262" s="157">
        <f t="shared" ref="Y262:Y325" si="4">+SUM(C262:X262)</f>
        <v>334</v>
      </c>
    </row>
    <row r="263" spans="1:25" x14ac:dyDescent="0.35">
      <c r="A263" s="157" t="s">
        <v>791</v>
      </c>
      <c r="B263" s="157" t="s">
        <v>1233</v>
      </c>
      <c r="C263" s="157">
        <v>4</v>
      </c>
      <c r="D263" s="157">
        <v>15</v>
      </c>
      <c r="E263" s="157">
        <v>28</v>
      </c>
      <c r="F263" s="157">
        <v>12</v>
      </c>
      <c r="G263" s="157">
        <v>11</v>
      </c>
      <c r="H263" s="157">
        <v>6</v>
      </c>
      <c r="I263" s="157">
        <v>42</v>
      </c>
      <c r="J263" s="157">
        <v>25</v>
      </c>
      <c r="K263" s="157">
        <v>25</v>
      </c>
      <c r="L263" s="157">
        <v>111</v>
      </c>
      <c r="M263" s="157">
        <v>71</v>
      </c>
      <c r="N263" s="157">
        <v>15</v>
      </c>
      <c r="O263" s="157"/>
      <c r="P263" s="157">
        <v>7</v>
      </c>
      <c r="Q263" s="157">
        <v>8</v>
      </c>
      <c r="R263" s="157">
        <v>2</v>
      </c>
      <c r="S263" s="157">
        <v>1</v>
      </c>
      <c r="T263" s="157">
        <v>6</v>
      </c>
      <c r="U263" s="157">
        <v>3</v>
      </c>
      <c r="V263" s="157">
        <v>4</v>
      </c>
      <c r="W263" s="157">
        <v>2</v>
      </c>
      <c r="X263" s="157">
        <v>3</v>
      </c>
      <c r="Y263" s="157">
        <f t="shared" si="4"/>
        <v>401</v>
      </c>
    </row>
    <row r="264" spans="1:25" x14ac:dyDescent="0.35">
      <c r="A264" s="157" t="s">
        <v>792</v>
      </c>
      <c r="B264" s="157" t="s">
        <v>793</v>
      </c>
      <c r="C264" s="157">
        <v>10</v>
      </c>
      <c r="D264" s="157">
        <v>50</v>
      </c>
      <c r="E264" s="157">
        <v>111</v>
      </c>
      <c r="F264" s="157">
        <v>50</v>
      </c>
      <c r="G264" s="157">
        <v>49</v>
      </c>
      <c r="H264" s="157">
        <v>40</v>
      </c>
      <c r="I264" s="157">
        <v>71</v>
      </c>
      <c r="J264" s="157">
        <v>51</v>
      </c>
      <c r="K264" s="157">
        <v>57</v>
      </c>
      <c r="L264" s="157">
        <v>267</v>
      </c>
      <c r="M264" s="157">
        <v>108</v>
      </c>
      <c r="N264" s="157">
        <v>25</v>
      </c>
      <c r="O264" s="157">
        <v>1</v>
      </c>
      <c r="P264" s="157">
        <v>13</v>
      </c>
      <c r="Q264" s="157">
        <v>42</v>
      </c>
      <c r="R264" s="157">
        <v>25</v>
      </c>
      <c r="S264" s="157">
        <v>17</v>
      </c>
      <c r="T264" s="157">
        <v>45</v>
      </c>
      <c r="U264" s="157">
        <v>19</v>
      </c>
      <c r="V264" s="157"/>
      <c r="W264" s="157">
        <v>35</v>
      </c>
      <c r="X264" s="157">
        <v>1</v>
      </c>
      <c r="Y264" s="157">
        <f t="shared" si="4"/>
        <v>1087</v>
      </c>
    </row>
    <row r="265" spans="1:25" x14ac:dyDescent="0.35">
      <c r="A265" s="157" t="s">
        <v>794</v>
      </c>
      <c r="B265" s="157" t="s">
        <v>795</v>
      </c>
      <c r="C265" s="157">
        <v>5</v>
      </c>
      <c r="D265" s="157">
        <v>45</v>
      </c>
      <c r="E265" s="157">
        <v>78</v>
      </c>
      <c r="F265" s="157">
        <v>43</v>
      </c>
      <c r="G265" s="157">
        <v>44</v>
      </c>
      <c r="H265" s="157">
        <v>44</v>
      </c>
      <c r="I265" s="157">
        <v>43</v>
      </c>
      <c r="J265" s="157">
        <v>36</v>
      </c>
      <c r="K265" s="157">
        <v>49</v>
      </c>
      <c r="L265" s="157">
        <v>228</v>
      </c>
      <c r="M265" s="157">
        <v>85</v>
      </c>
      <c r="N265" s="157">
        <v>31</v>
      </c>
      <c r="O265" s="157"/>
      <c r="P265" s="157">
        <v>25</v>
      </c>
      <c r="Q265" s="157">
        <v>65</v>
      </c>
      <c r="R265" s="157">
        <v>16</v>
      </c>
      <c r="S265" s="157">
        <v>24</v>
      </c>
      <c r="T265" s="157">
        <v>26</v>
      </c>
      <c r="U265" s="157">
        <v>27</v>
      </c>
      <c r="V265" s="157">
        <v>6</v>
      </c>
      <c r="W265" s="157">
        <v>38</v>
      </c>
      <c r="X265" s="157">
        <v>1</v>
      </c>
      <c r="Y265" s="157">
        <f t="shared" si="4"/>
        <v>959</v>
      </c>
    </row>
    <row r="266" spans="1:25" x14ac:dyDescent="0.35">
      <c r="A266" s="157" t="s">
        <v>796</v>
      </c>
      <c r="B266" s="157" t="s">
        <v>1234</v>
      </c>
      <c r="C266" s="157"/>
      <c r="D266" s="157">
        <v>8</v>
      </c>
      <c r="E266" s="157">
        <v>27</v>
      </c>
      <c r="F266" s="157">
        <v>3</v>
      </c>
      <c r="G266" s="157">
        <v>4</v>
      </c>
      <c r="H266" s="157">
        <v>4</v>
      </c>
      <c r="I266" s="157">
        <v>30</v>
      </c>
      <c r="J266" s="157">
        <v>11</v>
      </c>
      <c r="K266" s="157">
        <v>6</v>
      </c>
      <c r="L266" s="157">
        <v>64</v>
      </c>
      <c r="M266" s="157">
        <v>25</v>
      </c>
      <c r="N266" s="157">
        <v>1</v>
      </c>
      <c r="O266" s="157"/>
      <c r="P266" s="157"/>
      <c r="Q266" s="157">
        <v>2</v>
      </c>
      <c r="R266" s="157">
        <v>2</v>
      </c>
      <c r="S266" s="157">
        <v>2</v>
      </c>
      <c r="T266" s="157">
        <v>4</v>
      </c>
      <c r="U266" s="157"/>
      <c r="V266" s="157"/>
      <c r="W266" s="157">
        <v>3</v>
      </c>
      <c r="X266" s="157">
        <v>1</v>
      </c>
      <c r="Y266" s="157">
        <f t="shared" si="4"/>
        <v>197</v>
      </c>
    </row>
    <row r="267" spans="1:25" x14ac:dyDescent="0.35">
      <c r="A267" s="157" t="s">
        <v>797</v>
      </c>
      <c r="B267" s="157" t="s">
        <v>798</v>
      </c>
      <c r="C267" s="157">
        <v>2</v>
      </c>
      <c r="D267" s="157">
        <v>6</v>
      </c>
      <c r="E267" s="157">
        <v>13</v>
      </c>
      <c r="F267" s="157">
        <v>8</v>
      </c>
      <c r="G267" s="157">
        <v>2</v>
      </c>
      <c r="H267" s="157">
        <v>2</v>
      </c>
      <c r="I267" s="157">
        <v>10</v>
      </c>
      <c r="J267" s="157">
        <v>4</v>
      </c>
      <c r="K267" s="157">
        <v>2</v>
      </c>
      <c r="L267" s="157">
        <v>45</v>
      </c>
      <c r="M267" s="157">
        <v>12</v>
      </c>
      <c r="N267" s="157">
        <v>3</v>
      </c>
      <c r="O267" s="157"/>
      <c r="P267" s="157">
        <v>1</v>
      </c>
      <c r="Q267" s="157">
        <v>1</v>
      </c>
      <c r="R267" s="157">
        <v>3</v>
      </c>
      <c r="S267" s="157">
        <v>1</v>
      </c>
      <c r="T267" s="157">
        <v>5</v>
      </c>
      <c r="U267" s="157"/>
      <c r="V267" s="157"/>
      <c r="W267" s="157"/>
      <c r="X267" s="157"/>
      <c r="Y267" s="157">
        <f t="shared" si="4"/>
        <v>120</v>
      </c>
    </row>
    <row r="268" spans="1:25" x14ac:dyDescent="0.35">
      <c r="A268" s="157" t="s">
        <v>799</v>
      </c>
      <c r="B268" s="157" t="s">
        <v>800</v>
      </c>
      <c r="C268" s="157">
        <v>31</v>
      </c>
      <c r="D268" s="157">
        <v>120</v>
      </c>
      <c r="E268" s="157">
        <v>207</v>
      </c>
      <c r="F268" s="157">
        <v>91</v>
      </c>
      <c r="G268" s="157">
        <v>86</v>
      </c>
      <c r="H268" s="157">
        <v>65</v>
      </c>
      <c r="I268" s="157">
        <v>286</v>
      </c>
      <c r="J268" s="157">
        <v>98</v>
      </c>
      <c r="K268" s="157">
        <v>93</v>
      </c>
      <c r="L268" s="162">
        <v>1381</v>
      </c>
      <c r="M268" s="157">
        <v>242</v>
      </c>
      <c r="N268" s="157">
        <v>82</v>
      </c>
      <c r="O268" s="157"/>
      <c r="P268" s="157">
        <v>32</v>
      </c>
      <c r="Q268" s="157">
        <v>76</v>
      </c>
      <c r="R268" s="157">
        <v>47</v>
      </c>
      <c r="S268" s="157">
        <v>51</v>
      </c>
      <c r="T268" s="157">
        <v>76</v>
      </c>
      <c r="U268" s="157">
        <v>90</v>
      </c>
      <c r="V268" s="157">
        <v>13</v>
      </c>
      <c r="W268" s="157">
        <v>77</v>
      </c>
      <c r="X268" s="157">
        <v>14</v>
      </c>
      <c r="Y268" s="157">
        <f t="shared" si="4"/>
        <v>3258</v>
      </c>
    </row>
    <row r="269" spans="1:25" x14ac:dyDescent="0.35">
      <c r="A269" s="157" t="s">
        <v>801</v>
      </c>
      <c r="B269" s="157" t="s">
        <v>1235</v>
      </c>
      <c r="C269" s="157">
        <v>7</v>
      </c>
      <c r="D269" s="157">
        <v>19</v>
      </c>
      <c r="E269" s="157">
        <v>27</v>
      </c>
      <c r="F269" s="157">
        <v>17</v>
      </c>
      <c r="G269" s="157">
        <v>15</v>
      </c>
      <c r="H269" s="157">
        <v>12</v>
      </c>
      <c r="I269" s="157">
        <v>39</v>
      </c>
      <c r="J269" s="157">
        <v>14</v>
      </c>
      <c r="K269" s="157">
        <v>12</v>
      </c>
      <c r="L269" s="157">
        <v>326</v>
      </c>
      <c r="M269" s="157">
        <v>40</v>
      </c>
      <c r="N269" s="157">
        <v>9</v>
      </c>
      <c r="O269" s="157"/>
      <c r="P269" s="157">
        <v>10</v>
      </c>
      <c r="Q269" s="157">
        <v>13</v>
      </c>
      <c r="R269" s="157">
        <v>7</v>
      </c>
      <c r="S269" s="157">
        <v>9</v>
      </c>
      <c r="T269" s="157">
        <v>11</v>
      </c>
      <c r="U269" s="157">
        <v>37</v>
      </c>
      <c r="V269" s="157">
        <v>2</v>
      </c>
      <c r="W269" s="157">
        <v>6</v>
      </c>
      <c r="X269" s="157">
        <v>1</v>
      </c>
      <c r="Y269" s="157">
        <f t="shared" si="4"/>
        <v>633</v>
      </c>
    </row>
    <row r="270" spans="1:25" x14ac:dyDescent="0.35">
      <c r="A270" s="157" t="s">
        <v>802</v>
      </c>
      <c r="B270" s="157" t="s">
        <v>803</v>
      </c>
      <c r="C270" s="157">
        <v>22</v>
      </c>
      <c r="D270" s="157">
        <v>147</v>
      </c>
      <c r="E270" s="157">
        <v>222</v>
      </c>
      <c r="F270" s="157">
        <v>147</v>
      </c>
      <c r="G270" s="157">
        <v>110</v>
      </c>
      <c r="H270" s="157">
        <v>118</v>
      </c>
      <c r="I270" s="157">
        <v>198</v>
      </c>
      <c r="J270" s="157">
        <v>102</v>
      </c>
      <c r="K270" s="157">
        <v>117</v>
      </c>
      <c r="L270" s="157">
        <v>502</v>
      </c>
      <c r="M270" s="157">
        <v>191</v>
      </c>
      <c r="N270" s="157">
        <v>87</v>
      </c>
      <c r="O270" s="157">
        <v>3</v>
      </c>
      <c r="P270" s="157">
        <v>53</v>
      </c>
      <c r="Q270" s="157">
        <v>104</v>
      </c>
      <c r="R270" s="157">
        <v>40</v>
      </c>
      <c r="S270" s="157">
        <v>48</v>
      </c>
      <c r="T270" s="157">
        <v>88</v>
      </c>
      <c r="U270" s="157">
        <v>65</v>
      </c>
      <c r="V270" s="157">
        <v>9</v>
      </c>
      <c r="W270" s="157">
        <v>96</v>
      </c>
      <c r="X270" s="157">
        <v>1</v>
      </c>
      <c r="Y270" s="157">
        <f t="shared" si="4"/>
        <v>2470</v>
      </c>
    </row>
    <row r="271" spans="1:25" x14ac:dyDescent="0.35">
      <c r="A271" s="157" t="s">
        <v>804</v>
      </c>
      <c r="B271" s="157" t="s">
        <v>805</v>
      </c>
      <c r="C271" s="157">
        <v>10</v>
      </c>
      <c r="D271" s="157">
        <v>39</v>
      </c>
      <c r="E271" s="157">
        <v>71</v>
      </c>
      <c r="F271" s="157">
        <v>38</v>
      </c>
      <c r="G271" s="157">
        <v>30</v>
      </c>
      <c r="H271" s="157">
        <v>15</v>
      </c>
      <c r="I271" s="157">
        <v>106</v>
      </c>
      <c r="J271" s="157">
        <v>49</v>
      </c>
      <c r="K271" s="157">
        <v>29</v>
      </c>
      <c r="L271" s="157">
        <v>706</v>
      </c>
      <c r="M271" s="157">
        <v>86</v>
      </c>
      <c r="N271" s="157">
        <v>19</v>
      </c>
      <c r="O271" s="157"/>
      <c r="P271" s="157">
        <v>7</v>
      </c>
      <c r="Q271" s="157">
        <v>30</v>
      </c>
      <c r="R271" s="157">
        <v>14</v>
      </c>
      <c r="S271" s="157">
        <v>7</v>
      </c>
      <c r="T271" s="157">
        <v>19</v>
      </c>
      <c r="U271" s="157">
        <v>10</v>
      </c>
      <c r="V271" s="157"/>
      <c r="W271" s="157">
        <v>19</v>
      </c>
      <c r="X271" s="157">
        <v>1</v>
      </c>
      <c r="Y271" s="157">
        <f t="shared" si="4"/>
        <v>1305</v>
      </c>
    </row>
    <row r="272" spans="1:25" x14ac:dyDescent="0.35">
      <c r="A272" s="157" t="s">
        <v>806</v>
      </c>
      <c r="B272" s="157" t="s">
        <v>807</v>
      </c>
      <c r="C272" s="157"/>
      <c r="D272" s="157">
        <v>12</v>
      </c>
      <c r="E272" s="157">
        <v>19</v>
      </c>
      <c r="F272" s="157">
        <v>6</v>
      </c>
      <c r="G272" s="157">
        <v>6</v>
      </c>
      <c r="H272" s="157">
        <v>5</v>
      </c>
      <c r="I272" s="157">
        <v>19</v>
      </c>
      <c r="J272" s="157">
        <v>11</v>
      </c>
      <c r="K272" s="157">
        <v>9</v>
      </c>
      <c r="L272" s="157">
        <v>97</v>
      </c>
      <c r="M272" s="157">
        <v>9</v>
      </c>
      <c r="N272" s="157">
        <v>6</v>
      </c>
      <c r="O272" s="157"/>
      <c r="P272" s="157">
        <v>1</v>
      </c>
      <c r="Q272" s="157">
        <v>4</v>
      </c>
      <c r="R272" s="157">
        <v>2</v>
      </c>
      <c r="S272" s="157">
        <v>2</v>
      </c>
      <c r="T272" s="157">
        <v>8</v>
      </c>
      <c r="U272" s="157">
        <v>6</v>
      </c>
      <c r="V272" s="157">
        <v>2</v>
      </c>
      <c r="W272" s="157">
        <v>2</v>
      </c>
      <c r="X272" s="157"/>
      <c r="Y272" s="157">
        <f t="shared" si="4"/>
        <v>226</v>
      </c>
    </row>
    <row r="273" spans="1:25" x14ac:dyDescent="0.35">
      <c r="A273" s="157" t="s">
        <v>808</v>
      </c>
      <c r="B273" s="157" t="s">
        <v>809</v>
      </c>
      <c r="C273" s="157">
        <v>3</v>
      </c>
      <c r="D273" s="157">
        <v>1</v>
      </c>
      <c r="E273" s="157">
        <v>9</v>
      </c>
      <c r="F273" s="157">
        <v>2</v>
      </c>
      <c r="G273" s="157">
        <v>4</v>
      </c>
      <c r="H273" s="157"/>
      <c r="I273" s="157">
        <v>4</v>
      </c>
      <c r="J273" s="157">
        <v>7</v>
      </c>
      <c r="K273" s="157">
        <v>3</v>
      </c>
      <c r="L273" s="157">
        <v>5</v>
      </c>
      <c r="M273" s="157">
        <v>4</v>
      </c>
      <c r="N273" s="157">
        <v>1</v>
      </c>
      <c r="O273" s="157"/>
      <c r="P273" s="157">
        <v>2</v>
      </c>
      <c r="Q273" s="157">
        <v>3</v>
      </c>
      <c r="R273" s="157">
        <v>2</v>
      </c>
      <c r="S273" s="157">
        <v>2</v>
      </c>
      <c r="T273" s="157"/>
      <c r="U273" s="157">
        <v>2</v>
      </c>
      <c r="V273" s="157">
        <v>1</v>
      </c>
      <c r="W273" s="157">
        <v>4</v>
      </c>
      <c r="X273" s="157"/>
      <c r="Y273" s="157">
        <f t="shared" si="4"/>
        <v>59</v>
      </c>
    </row>
    <row r="274" spans="1:25" x14ac:dyDescent="0.35">
      <c r="A274" s="157" t="s">
        <v>810</v>
      </c>
      <c r="B274" s="157" t="s">
        <v>811</v>
      </c>
      <c r="C274" s="157">
        <v>4</v>
      </c>
      <c r="D274" s="157">
        <v>4</v>
      </c>
      <c r="E274" s="157">
        <v>12</v>
      </c>
      <c r="F274" s="157">
        <v>7</v>
      </c>
      <c r="G274" s="157">
        <v>4</v>
      </c>
      <c r="H274" s="157">
        <v>8</v>
      </c>
      <c r="I274" s="157">
        <v>16</v>
      </c>
      <c r="J274" s="157">
        <v>4</v>
      </c>
      <c r="K274" s="157">
        <v>2</v>
      </c>
      <c r="L274" s="157">
        <v>59</v>
      </c>
      <c r="M274" s="157">
        <v>11</v>
      </c>
      <c r="N274" s="157">
        <v>3</v>
      </c>
      <c r="O274" s="157"/>
      <c r="P274" s="157">
        <v>1</v>
      </c>
      <c r="Q274" s="157">
        <v>3</v>
      </c>
      <c r="R274" s="157">
        <v>2</v>
      </c>
      <c r="S274" s="157">
        <v>2</v>
      </c>
      <c r="T274" s="157">
        <v>2</v>
      </c>
      <c r="U274" s="157">
        <v>3</v>
      </c>
      <c r="V274" s="157"/>
      <c r="W274" s="157">
        <v>4</v>
      </c>
      <c r="X274" s="157"/>
      <c r="Y274" s="157">
        <f t="shared" si="4"/>
        <v>151</v>
      </c>
    </row>
    <row r="275" spans="1:25" x14ac:dyDescent="0.35">
      <c r="A275" s="157" t="s">
        <v>812</v>
      </c>
      <c r="B275" s="157" t="s">
        <v>813</v>
      </c>
      <c r="C275" s="157">
        <v>1</v>
      </c>
      <c r="D275" s="157">
        <v>1</v>
      </c>
      <c r="E275" s="157">
        <v>7</v>
      </c>
      <c r="F275" s="157"/>
      <c r="G275" s="157"/>
      <c r="H275" s="157">
        <v>1</v>
      </c>
      <c r="I275" s="157">
        <v>1</v>
      </c>
      <c r="J275" s="157">
        <v>3</v>
      </c>
      <c r="K275" s="157">
        <v>1</v>
      </c>
      <c r="L275" s="157">
        <v>3</v>
      </c>
      <c r="M275" s="157">
        <v>4</v>
      </c>
      <c r="N275" s="157">
        <v>3</v>
      </c>
      <c r="O275" s="157"/>
      <c r="P275" s="157">
        <v>1</v>
      </c>
      <c r="Q275" s="157">
        <v>2</v>
      </c>
      <c r="R275" s="157"/>
      <c r="S275" s="157"/>
      <c r="T275" s="157">
        <v>2</v>
      </c>
      <c r="U275" s="157">
        <v>1</v>
      </c>
      <c r="V275" s="157">
        <v>4</v>
      </c>
      <c r="W275" s="157"/>
      <c r="X275" s="157"/>
      <c r="Y275" s="157">
        <f t="shared" si="4"/>
        <v>35</v>
      </c>
    </row>
    <row r="276" spans="1:25" x14ac:dyDescent="0.35">
      <c r="A276" s="157" t="s">
        <v>814</v>
      </c>
      <c r="B276" s="157" t="s">
        <v>1236</v>
      </c>
      <c r="C276" s="157">
        <v>14</v>
      </c>
      <c r="D276" s="157">
        <v>54</v>
      </c>
      <c r="E276" s="157">
        <v>148</v>
      </c>
      <c r="F276" s="157">
        <v>80</v>
      </c>
      <c r="G276" s="157">
        <v>50</v>
      </c>
      <c r="H276" s="157">
        <v>31</v>
      </c>
      <c r="I276" s="157">
        <v>184</v>
      </c>
      <c r="J276" s="157">
        <v>46</v>
      </c>
      <c r="K276" s="157">
        <v>88</v>
      </c>
      <c r="L276" s="157">
        <v>188</v>
      </c>
      <c r="M276" s="157">
        <v>116</v>
      </c>
      <c r="N276" s="157">
        <v>24</v>
      </c>
      <c r="O276" s="157"/>
      <c r="P276" s="157">
        <v>15</v>
      </c>
      <c r="Q276" s="157">
        <v>81</v>
      </c>
      <c r="R276" s="157">
        <v>20</v>
      </c>
      <c r="S276" s="157">
        <v>19</v>
      </c>
      <c r="T276" s="157">
        <v>21</v>
      </c>
      <c r="U276" s="157">
        <v>19</v>
      </c>
      <c r="V276" s="157">
        <v>2</v>
      </c>
      <c r="W276" s="157">
        <v>41</v>
      </c>
      <c r="X276" s="157">
        <v>4</v>
      </c>
      <c r="Y276" s="157">
        <f t="shared" si="4"/>
        <v>1245</v>
      </c>
    </row>
    <row r="277" spans="1:25" x14ac:dyDescent="0.35">
      <c r="A277" s="157" t="s">
        <v>815</v>
      </c>
      <c r="B277" s="157" t="s">
        <v>816</v>
      </c>
      <c r="C277" s="157"/>
      <c r="D277" s="157">
        <v>1</v>
      </c>
      <c r="E277" s="157">
        <v>6</v>
      </c>
      <c r="F277" s="157">
        <v>2</v>
      </c>
      <c r="G277" s="157"/>
      <c r="H277" s="157">
        <v>2</v>
      </c>
      <c r="I277" s="157">
        <v>1</v>
      </c>
      <c r="J277" s="157">
        <v>2</v>
      </c>
      <c r="K277" s="157"/>
      <c r="L277" s="157">
        <v>4</v>
      </c>
      <c r="M277" s="157">
        <v>3</v>
      </c>
      <c r="N277" s="157"/>
      <c r="O277" s="157"/>
      <c r="P277" s="157">
        <v>1</v>
      </c>
      <c r="Q277" s="157">
        <v>2</v>
      </c>
      <c r="R277" s="157">
        <v>1</v>
      </c>
      <c r="S277" s="157"/>
      <c r="T277" s="157">
        <v>2</v>
      </c>
      <c r="U277" s="157">
        <v>1</v>
      </c>
      <c r="V277" s="157">
        <v>1</v>
      </c>
      <c r="W277" s="157"/>
      <c r="X277" s="157"/>
      <c r="Y277" s="157">
        <f t="shared" si="4"/>
        <v>29</v>
      </c>
    </row>
    <row r="278" spans="1:25" x14ac:dyDescent="0.35">
      <c r="A278" s="157" t="s">
        <v>817</v>
      </c>
      <c r="B278" s="157" t="s">
        <v>1237</v>
      </c>
      <c r="C278" s="157">
        <v>8</v>
      </c>
      <c r="D278" s="157">
        <v>39</v>
      </c>
      <c r="E278" s="157">
        <v>90</v>
      </c>
      <c r="F278" s="157">
        <v>37</v>
      </c>
      <c r="G278" s="157">
        <v>26</v>
      </c>
      <c r="H278" s="157">
        <v>24</v>
      </c>
      <c r="I278" s="157">
        <v>103</v>
      </c>
      <c r="J278" s="157">
        <v>40</v>
      </c>
      <c r="K278" s="157">
        <v>69</v>
      </c>
      <c r="L278" s="157">
        <v>127</v>
      </c>
      <c r="M278" s="157">
        <v>95</v>
      </c>
      <c r="N278" s="157">
        <v>24</v>
      </c>
      <c r="O278" s="157"/>
      <c r="P278" s="157">
        <v>13</v>
      </c>
      <c r="Q278" s="157">
        <v>43</v>
      </c>
      <c r="R278" s="157">
        <v>10</v>
      </c>
      <c r="S278" s="157">
        <v>13</v>
      </c>
      <c r="T278" s="157">
        <v>20</v>
      </c>
      <c r="U278" s="157">
        <v>13</v>
      </c>
      <c r="V278" s="157">
        <v>7</v>
      </c>
      <c r="W278" s="157">
        <v>31</v>
      </c>
      <c r="X278" s="157">
        <v>10</v>
      </c>
      <c r="Y278" s="157">
        <f t="shared" si="4"/>
        <v>842</v>
      </c>
    </row>
    <row r="279" spans="1:25" x14ac:dyDescent="0.35">
      <c r="A279" s="157" t="s">
        <v>818</v>
      </c>
      <c r="B279" s="157" t="s">
        <v>819</v>
      </c>
      <c r="C279" s="157"/>
      <c r="D279" s="157"/>
      <c r="E279" s="157"/>
      <c r="F279" s="157">
        <v>1</v>
      </c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>
        <f t="shared" si="4"/>
        <v>1</v>
      </c>
    </row>
    <row r="280" spans="1:25" x14ac:dyDescent="0.35">
      <c r="A280" s="157" t="s">
        <v>820</v>
      </c>
      <c r="B280" s="157" t="s">
        <v>1238</v>
      </c>
      <c r="C280" s="157"/>
      <c r="D280" s="157"/>
      <c r="E280" s="157"/>
      <c r="F280" s="157"/>
      <c r="G280" s="157"/>
      <c r="H280" s="157"/>
      <c r="I280" s="157">
        <v>1</v>
      </c>
      <c r="J280" s="157">
        <v>1</v>
      </c>
      <c r="K280" s="157"/>
      <c r="L280" s="157">
        <v>1</v>
      </c>
      <c r="M280" s="157">
        <v>1</v>
      </c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>
        <f t="shared" si="4"/>
        <v>4</v>
      </c>
    </row>
    <row r="281" spans="1:25" x14ac:dyDescent="0.35">
      <c r="A281" s="157" t="s">
        <v>821</v>
      </c>
      <c r="B281" s="157" t="s">
        <v>822</v>
      </c>
      <c r="C281" s="157">
        <v>2</v>
      </c>
      <c r="D281" s="157">
        <v>15</v>
      </c>
      <c r="E281" s="157">
        <v>39</v>
      </c>
      <c r="F281" s="157">
        <v>27</v>
      </c>
      <c r="G281" s="157">
        <v>25</v>
      </c>
      <c r="H281" s="157">
        <v>6</v>
      </c>
      <c r="I281" s="157">
        <v>39</v>
      </c>
      <c r="J281" s="157">
        <v>52</v>
      </c>
      <c r="K281" s="157">
        <v>21</v>
      </c>
      <c r="L281" s="157">
        <v>67</v>
      </c>
      <c r="M281" s="157">
        <v>65</v>
      </c>
      <c r="N281" s="157">
        <v>10</v>
      </c>
      <c r="O281" s="157"/>
      <c r="P281" s="157">
        <v>2</v>
      </c>
      <c r="Q281" s="157">
        <v>20</v>
      </c>
      <c r="R281" s="157">
        <v>4</v>
      </c>
      <c r="S281" s="157">
        <v>6</v>
      </c>
      <c r="T281" s="157">
        <v>6</v>
      </c>
      <c r="U281" s="157">
        <v>2</v>
      </c>
      <c r="V281" s="157">
        <v>3</v>
      </c>
      <c r="W281" s="157">
        <v>13</v>
      </c>
      <c r="X281" s="157"/>
      <c r="Y281" s="157">
        <f t="shared" si="4"/>
        <v>424</v>
      </c>
    </row>
    <row r="282" spans="1:25" x14ac:dyDescent="0.35">
      <c r="A282" s="157" t="s">
        <v>823</v>
      </c>
      <c r="B282" s="157" t="s">
        <v>824</v>
      </c>
      <c r="C282" s="157"/>
      <c r="D282" s="157">
        <v>2</v>
      </c>
      <c r="E282" s="157">
        <v>7</v>
      </c>
      <c r="F282" s="157">
        <v>5</v>
      </c>
      <c r="G282" s="157">
        <v>3</v>
      </c>
      <c r="H282" s="157">
        <v>3</v>
      </c>
      <c r="I282" s="157">
        <v>5</v>
      </c>
      <c r="J282" s="157">
        <v>5</v>
      </c>
      <c r="K282" s="157">
        <v>3</v>
      </c>
      <c r="L282" s="157">
        <v>12</v>
      </c>
      <c r="M282" s="157">
        <v>7</v>
      </c>
      <c r="N282" s="157">
        <v>1</v>
      </c>
      <c r="O282" s="157"/>
      <c r="P282" s="157"/>
      <c r="Q282" s="157">
        <v>3</v>
      </c>
      <c r="R282" s="157">
        <v>1</v>
      </c>
      <c r="S282" s="157"/>
      <c r="T282" s="157">
        <v>2</v>
      </c>
      <c r="U282" s="157">
        <v>2</v>
      </c>
      <c r="V282" s="157">
        <v>2</v>
      </c>
      <c r="W282" s="157">
        <v>5</v>
      </c>
      <c r="X282" s="157">
        <v>1</v>
      </c>
      <c r="Y282" s="157">
        <f t="shared" si="4"/>
        <v>69</v>
      </c>
    </row>
    <row r="283" spans="1:25" x14ac:dyDescent="0.35">
      <c r="A283" s="157" t="s">
        <v>825</v>
      </c>
      <c r="B283" s="157" t="s">
        <v>826</v>
      </c>
      <c r="C283" s="157">
        <v>14</v>
      </c>
      <c r="D283" s="157">
        <v>40</v>
      </c>
      <c r="E283" s="157">
        <v>83</v>
      </c>
      <c r="F283" s="157">
        <v>34</v>
      </c>
      <c r="G283" s="157">
        <v>66</v>
      </c>
      <c r="H283" s="157">
        <v>23</v>
      </c>
      <c r="I283" s="157">
        <v>141</v>
      </c>
      <c r="J283" s="157">
        <v>85</v>
      </c>
      <c r="K283" s="157">
        <v>41</v>
      </c>
      <c r="L283" s="157">
        <v>136</v>
      </c>
      <c r="M283" s="157">
        <v>94</v>
      </c>
      <c r="N283" s="157">
        <v>18</v>
      </c>
      <c r="O283" s="157"/>
      <c r="P283" s="157">
        <v>21</v>
      </c>
      <c r="Q283" s="157">
        <v>70</v>
      </c>
      <c r="R283" s="157">
        <v>15</v>
      </c>
      <c r="S283" s="157">
        <v>22</v>
      </c>
      <c r="T283" s="157">
        <v>17</v>
      </c>
      <c r="U283" s="157">
        <v>18</v>
      </c>
      <c r="V283" s="157">
        <v>6</v>
      </c>
      <c r="W283" s="157">
        <v>24</v>
      </c>
      <c r="X283" s="157">
        <v>5</v>
      </c>
      <c r="Y283" s="157">
        <f t="shared" si="4"/>
        <v>973</v>
      </c>
    </row>
    <row r="284" spans="1:25" x14ac:dyDescent="0.35">
      <c r="A284" s="157" t="s">
        <v>827</v>
      </c>
      <c r="B284" s="157" t="s">
        <v>828</v>
      </c>
      <c r="C284" s="157"/>
      <c r="D284" s="157"/>
      <c r="E284" s="157">
        <v>2</v>
      </c>
      <c r="F284" s="157">
        <v>1</v>
      </c>
      <c r="G284" s="157"/>
      <c r="H284" s="157">
        <v>1</v>
      </c>
      <c r="I284" s="157">
        <v>3</v>
      </c>
      <c r="J284" s="157"/>
      <c r="K284" s="157"/>
      <c r="L284" s="157"/>
      <c r="M284" s="157"/>
      <c r="N284" s="157"/>
      <c r="O284" s="157"/>
      <c r="P284" s="157"/>
      <c r="Q284" s="157">
        <v>1</v>
      </c>
      <c r="R284" s="157"/>
      <c r="S284" s="157"/>
      <c r="T284" s="157"/>
      <c r="U284" s="157"/>
      <c r="V284" s="157"/>
      <c r="W284" s="157"/>
      <c r="X284" s="157"/>
      <c r="Y284" s="157">
        <f t="shared" si="4"/>
        <v>8</v>
      </c>
    </row>
    <row r="285" spans="1:25" x14ac:dyDescent="0.35">
      <c r="A285" s="157" t="s">
        <v>829</v>
      </c>
      <c r="B285" s="157" t="s">
        <v>1239</v>
      </c>
      <c r="C285" s="157"/>
      <c r="D285" s="157"/>
      <c r="E285" s="157"/>
      <c r="F285" s="157">
        <v>1</v>
      </c>
      <c r="G285" s="157"/>
      <c r="H285" s="157"/>
      <c r="I285" s="157">
        <v>5</v>
      </c>
      <c r="J285" s="157"/>
      <c r="K285" s="157"/>
      <c r="L285" s="157">
        <v>1</v>
      </c>
      <c r="M285" s="157"/>
      <c r="N285" s="157"/>
      <c r="O285" s="157"/>
      <c r="P285" s="157"/>
      <c r="Q285" s="157"/>
      <c r="R285" s="157">
        <v>1</v>
      </c>
      <c r="S285" s="157"/>
      <c r="T285" s="157">
        <v>1</v>
      </c>
      <c r="U285" s="157"/>
      <c r="V285" s="157">
        <v>1</v>
      </c>
      <c r="W285" s="157"/>
      <c r="X285" s="157"/>
      <c r="Y285" s="157">
        <f t="shared" si="4"/>
        <v>10</v>
      </c>
    </row>
    <row r="286" spans="1:25" x14ac:dyDescent="0.35">
      <c r="A286" s="157" t="s">
        <v>830</v>
      </c>
      <c r="B286" s="157" t="s">
        <v>1240</v>
      </c>
      <c r="C286" s="157"/>
      <c r="D286" s="157"/>
      <c r="E286" s="157"/>
      <c r="F286" s="157"/>
      <c r="G286" s="157"/>
      <c r="H286" s="157"/>
      <c r="I286" s="157">
        <v>3</v>
      </c>
      <c r="J286" s="157"/>
      <c r="K286" s="157"/>
      <c r="L286" s="157">
        <v>1</v>
      </c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>
        <v>1</v>
      </c>
      <c r="Y286" s="157">
        <f t="shared" si="4"/>
        <v>5</v>
      </c>
    </row>
    <row r="287" spans="1:25" x14ac:dyDescent="0.35">
      <c r="A287" s="157" t="s">
        <v>831</v>
      </c>
      <c r="B287" s="157" t="s">
        <v>832</v>
      </c>
      <c r="C287" s="157"/>
      <c r="D287" s="157"/>
      <c r="E287" s="157"/>
      <c r="F287" s="157"/>
      <c r="G287" s="157"/>
      <c r="H287" s="157"/>
      <c r="I287" s="157"/>
      <c r="J287" s="157">
        <v>1</v>
      </c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>
        <f t="shared" si="4"/>
        <v>1</v>
      </c>
    </row>
    <row r="288" spans="1:25" x14ac:dyDescent="0.35">
      <c r="A288" s="157" t="s">
        <v>835</v>
      </c>
      <c r="B288" s="157" t="s">
        <v>1241</v>
      </c>
      <c r="C288" s="157"/>
      <c r="D288" s="157"/>
      <c r="E288" s="157">
        <v>2</v>
      </c>
      <c r="F288" s="157"/>
      <c r="G288" s="157"/>
      <c r="H288" s="157"/>
      <c r="I288" s="157">
        <v>8</v>
      </c>
      <c r="J288" s="157">
        <v>2</v>
      </c>
      <c r="K288" s="157"/>
      <c r="L288" s="157">
        <v>1</v>
      </c>
      <c r="M288" s="157">
        <v>1</v>
      </c>
      <c r="N288" s="157"/>
      <c r="O288" s="157"/>
      <c r="P288" s="157"/>
      <c r="Q288" s="157"/>
      <c r="R288" s="157">
        <v>2</v>
      </c>
      <c r="S288" s="157"/>
      <c r="T288" s="157"/>
      <c r="U288" s="157"/>
      <c r="V288" s="157"/>
      <c r="W288" s="157"/>
      <c r="X288" s="157"/>
      <c r="Y288" s="157">
        <f t="shared" si="4"/>
        <v>16</v>
      </c>
    </row>
    <row r="289" spans="1:25" x14ac:dyDescent="0.35">
      <c r="A289" s="157" t="s">
        <v>837</v>
      </c>
      <c r="B289" s="157" t="s">
        <v>1243</v>
      </c>
      <c r="C289" s="157"/>
      <c r="D289" s="157"/>
      <c r="E289" s="157">
        <v>2</v>
      </c>
      <c r="F289" s="157"/>
      <c r="G289" s="157"/>
      <c r="H289" s="157"/>
      <c r="I289" s="157">
        <v>4</v>
      </c>
      <c r="J289" s="157">
        <v>5</v>
      </c>
      <c r="K289" s="157"/>
      <c r="L289" s="157"/>
      <c r="M289" s="157">
        <v>1</v>
      </c>
      <c r="N289" s="157"/>
      <c r="O289" s="157"/>
      <c r="P289" s="157"/>
      <c r="Q289" s="157">
        <v>2</v>
      </c>
      <c r="R289" s="157">
        <v>4</v>
      </c>
      <c r="S289" s="157"/>
      <c r="T289" s="157"/>
      <c r="U289" s="157"/>
      <c r="V289" s="157"/>
      <c r="W289" s="157"/>
      <c r="X289" s="157"/>
      <c r="Y289" s="157">
        <f t="shared" si="4"/>
        <v>18</v>
      </c>
    </row>
    <row r="290" spans="1:25" x14ac:dyDescent="0.35">
      <c r="A290" s="157" t="s">
        <v>839</v>
      </c>
      <c r="B290" s="157" t="s">
        <v>840</v>
      </c>
      <c r="C290" s="157">
        <v>1</v>
      </c>
      <c r="D290" s="157">
        <v>1</v>
      </c>
      <c r="E290" s="157">
        <v>3</v>
      </c>
      <c r="F290" s="157"/>
      <c r="G290" s="157">
        <v>2</v>
      </c>
      <c r="H290" s="157"/>
      <c r="I290" s="157">
        <v>3</v>
      </c>
      <c r="J290" s="157">
        <v>1</v>
      </c>
      <c r="K290" s="157">
        <v>2</v>
      </c>
      <c r="L290" s="157">
        <v>22</v>
      </c>
      <c r="M290" s="157">
        <v>1</v>
      </c>
      <c r="N290" s="157"/>
      <c r="O290" s="157"/>
      <c r="P290" s="157"/>
      <c r="Q290" s="157">
        <v>1</v>
      </c>
      <c r="R290" s="157"/>
      <c r="S290" s="157"/>
      <c r="T290" s="157">
        <v>3</v>
      </c>
      <c r="U290" s="157"/>
      <c r="V290" s="157"/>
      <c r="W290" s="157"/>
      <c r="X290" s="157"/>
      <c r="Y290" s="157">
        <f t="shared" si="4"/>
        <v>40</v>
      </c>
    </row>
    <row r="291" spans="1:25" x14ac:dyDescent="0.35">
      <c r="A291" s="157" t="s">
        <v>841</v>
      </c>
      <c r="B291" s="157" t="s">
        <v>842</v>
      </c>
      <c r="C291" s="157">
        <v>2</v>
      </c>
      <c r="D291" s="157">
        <v>22</v>
      </c>
      <c r="E291" s="157">
        <v>31</v>
      </c>
      <c r="F291" s="157">
        <v>17</v>
      </c>
      <c r="G291" s="157">
        <v>13</v>
      </c>
      <c r="H291" s="157">
        <v>7</v>
      </c>
      <c r="I291" s="157">
        <v>28</v>
      </c>
      <c r="J291" s="157">
        <v>6</v>
      </c>
      <c r="K291" s="157">
        <v>13</v>
      </c>
      <c r="L291" s="157">
        <v>197</v>
      </c>
      <c r="M291" s="157">
        <v>27</v>
      </c>
      <c r="N291" s="157">
        <v>7</v>
      </c>
      <c r="O291" s="157"/>
      <c r="P291" s="157">
        <v>3</v>
      </c>
      <c r="Q291" s="157">
        <v>14</v>
      </c>
      <c r="R291" s="157">
        <v>8</v>
      </c>
      <c r="S291" s="157">
        <v>5</v>
      </c>
      <c r="T291" s="157">
        <v>5</v>
      </c>
      <c r="U291" s="157">
        <v>8</v>
      </c>
      <c r="V291" s="157">
        <v>2</v>
      </c>
      <c r="W291" s="157">
        <v>9</v>
      </c>
      <c r="X291" s="157"/>
      <c r="Y291" s="157">
        <f t="shared" si="4"/>
        <v>424</v>
      </c>
    </row>
    <row r="292" spans="1:25" x14ac:dyDescent="0.35">
      <c r="A292" s="157" t="s">
        <v>843</v>
      </c>
      <c r="B292" s="157" t="s">
        <v>844</v>
      </c>
      <c r="C292" s="157"/>
      <c r="D292" s="157"/>
      <c r="E292" s="157">
        <v>1</v>
      </c>
      <c r="F292" s="157">
        <v>1</v>
      </c>
      <c r="G292" s="157">
        <v>1</v>
      </c>
      <c r="H292" s="157"/>
      <c r="I292" s="157">
        <v>1</v>
      </c>
      <c r="J292" s="157"/>
      <c r="K292" s="157"/>
      <c r="L292" s="157">
        <v>2</v>
      </c>
      <c r="M292" s="157"/>
      <c r="N292" s="157"/>
      <c r="O292" s="157"/>
      <c r="P292" s="157"/>
      <c r="Q292" s="157"/>
      <c r="R292" s="157">
        <v>1</v>
      </c>
      <c r="S292" s="157"/>
      <c r="T292" s="157"/>
      <c r="U292" s="157"/>
      <c r="V292" s="157"/>
      <c r="W292" s="157"/>
      <c r="X292" s="157"/>
      <c r="Y292" s="157">
        <f t="shared" si="4"/>
        <v>7</v>
      </c>
    </row>
    <row r="293" spans="1:25" x14ac:dyDescent="0.35">
      <c r="A293" s="157" t="s">
        <v>845</v>
      </c>
      <c r="B293" s="157" t="s">
        <v>846</v>
      </c>
      <c r="C293" s="157"/>
      <c r="D293" s="157"/>
      <c r="E293" s="157"/>
      <c r="F293" s="157"/>
      <c r="G293" s="157"/>
      <c r="H293" s="157"/>
      <c r="I293" s="157">
        <v>2</v>
      </c>
      <c r="J293" s="157">
        <v>2</v>
      </c>
      <c r="K293" s="157"/>
      <c r="L293" s="157"/>
      <c r="M293" s="157">
        <v>2</v>
      </c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>
        <f t="shared" si="4"/>
        <v>6</v>
      </c>
    </row>
    <row r="294" spans="1:25" x14ac:dyDescent="0.35">
      <c r="A294" s="157" t="s">
        <v>847</v>
      </c>
      <c r="B294" s="157" t="s">
        <v>848</v>
      </c>
      <c r="C294" s="157">
        <v>1</v>
      </c>
      <c r="D294" s="157"/>
      <c r="E294" s="157">
        <v>5</v>
      </c>
      <c r="F294" s="157">
        <v>3</v>
      </c>
      <c r="G294" s="157">
        <v>3</v>
      </c>
      <c r="H294" s="157"/>
      <c r="I294" s="157">
        <v>6</v>
      </c>
      <c r="J294" s="157">
        <v>5</v>
      </c>
      <c r="K294" s="157">
        <v>2</v>
      </c>
      <c r="L294" s="157">
        <v>6</v>
      </c>
      <c r="M294" s="157">
        <v>2</v>
      </c>
      <c r="N294" s="157">
        <v>1</v>
      </c>
      <c r="O294" s="157"/>
      <c r="P294" s="157">
        <v>1</v>
      </c>
      <c r="Q294" s="157">
        <v>1</v>
      </c>
      <c r="R294" s="157"/>
      <c r="S294" s="157">
        <v>1</v>
      </c>
      <c r="T294" s="157">
        <v>4</v>
      </c>
      <c r="U294" s="157">
        <v>1</v>
      </c>
      <c r="V294" s="157"/>
      <c r="W294" s="157">
        <v>1</v>
      </c>
      <c r="X294" s="157"/>
      <c r="Y294" s="157">
        <f t="shared" si="4"/>
        <v>43</v>
      </c>
    </row>
    <row r="295" spans="1:25" x14ac:dyDescent="0.35">
      <c r="A295" s="157" t="s">
        <v>849</v>
      </c>
      <c r="B295" s="157" t="s">
        <v>850</v>
      </c>
      <c r="C295" s="157">
        <v>1</v>
      </c>
      <c r="D295" s="157">
        <v>8</v>
      </c>
      <c r="E295" s="157">
        <v>21</v>
      </c>
      <c r="F295" s="157">
        <v>10</v>
      </c>
      <c r="G295" s="157">
        <v>17</v>
      </c>
      <c r="H295" s="157">
        <v>3</v>
      </c>
      <c r="I295" s="157">
        <v>87</v>
      </c>
      <c r="J295" s="157">
        <v>24</v>
      </c>
      <c r="K295" s="157">
        <v>8</v>
      </c>
      <c r="L295" s="157">
        <v>35</v>
      </c>
      <c r="M295" s="157">
        <v>43</v>
      </c>
      <c r="N295" s="157">
        <v>3</v>
      </c>
      <c r="O295" s="157"/>
      <c r="P295" s="157">
        <v>2</v>
      </c>
      <c r="Q295" s="157">
        <v>7</v>
      </c>
      <c r="R295" s="157"/>
      <c r="S295" s="157">
        <v>6</v>
      </c>
      <c r="T295" s="157">
        <v>3</v>
      </c>
      <c r="U295" s="157">
        <v>1</v>
      </c>
      <c r="V295" s="157">
        <v>1</v>
      </c>
      <c r="W295" s="157">
        <v>1</v>
      </c>
      <c r="X295" s="157">
        <v>1</v>
      </c>
      <c r="Y295" s="157">
        <f t="shared" si="4"/>
        <v>282</v>
      </c>
    </row>
    <row r="296" spans="1:25" x14ac:dyDescent="0.35">
      <c r="A296" s="157" t="s">
        <v>851</v>
      </c>
      <c r="B296" s="157" t="s">
        <v>852</v>
      </c>
      <c r="C296" s="157"/>
      <c r="D296" s="157"/>
      <c r="E296" s="157">
        <v>2</v>
      </c>
      <c r="F296" s="157">
        <v>5</v>
      </c>
      <c r="G296" s="157">
        <v>5</v>
      </c>
      <c r="H296" s="157">
        <v>5</v>
      </c>
      <c r="I296" s="157">
        <v>2</v>
      </c>
      <c r="J296" s="157">
        <v>6</v>
      </c>
      <c r="K296" s="157">
        <v>1</v>
      </c>
      <c r="L296" s="157">
        <v>3</v>
      </c>
      <c r="M296" s="157">
        <v>4</v>
      </c>
      <c r="N296" s="157">
        <v>6</v>
      </c>
      <c r="O296" s="157"/>
      <c r="P296" s="157">
        <v>2</v>
      </c>
      <c r="Q296" s="157">
        <v>1</v>
      </c>
      <c r="R296" s="157"/>
      <c r="S296" s="157">
        <v>1</v>
      </c>
      <c r="T296" s="157">
        <v>1</v>
      </c>
      <c r="U296" s="157">
        <v>1</v>
      </c>
      <c r="V296" s="157"/>
      <c r="W296" s="157">
        <v>1</v>
      </c>
      <c r="X296" s="157"/>
      <c r="Y296" s="157">
        <f t="shared" si="4"/>
        <v>46</v>
      </c>
    </row>
    <row r="297" spans="1:25" x14ac:dyDescent="0.35">
      <c r="A297" s="157" t="s">
        <v>853</v>
      </c>
      <c r="B297" s="157" t="s">
        <v>854</v>
      </c>
      <c r="C297" s="157">
        <v>3</v>
      </c>
      <c r="D297" s="157">
        <v>12</v>
      </c>
      <c r="E297" s="157">
        <v>38</v>
      </c>
      <c r="F297" s="157">
        <v>20</v>
      </c>
      <c r="G297" s="157">
        <v>19</v>
      </c>
      <c r="H297" s="157">
        <v>9</v>
      </c>
      <c r="I297" s="157">
        <v>18</v>
      </c>
      <c r="J297" s="157">
        <v>15</v>
      </c>
      <c r="K297" s="157">
        <v>13</v>
      </c>
      <c r="L297" s="157">
        <v>47</v>
      </c>
      <c r="M297" s="157">
        <v>21</v>
      </c>
      <c r="N297" s="157">
        <v>15</v>
      </c>
      <c r="O297" s="157">
        <v>1</v>
      </c>
      <c r="P297" s="157">
        <v>12</v>
      </c>
      <c r="Q297" s="157">
        <v>17</v>
      </c>
      <c r="R297" s="157">
        <v>4</v>
      </c>
      <c r="S297" s="157">
        <v>5</v>
      </c>
      <c r="T297" s="157">
        <v>10</v>
      </c>
      <c r="U297" s="157">
        <v>3</v>
      </c>
      <c r="V297" s="157"/>
      <c r="W297" s="157">
        <v>9</v>
      </c>
      <c r="X297" s="157">
        <v>1</v>
      </c>
      <c r="Y297" s="157">
        <f t="shared" si="4"/>
        <v>292</v>
      </c>
    </row>
    <row r="298" spans="1:25" x14ac:dyDescent="0.35">
      <c r="A298" s="157" t="s">
        <v>855</v>
      </c>
      <c r="B298" s="157" t="s">
        <v>1245</v>
      </c>
      <c r="C298" s="157">
        <v>2</v>
      </c>
      <c r="D298" s="157">
        <v>8</v>
      </c>
      <c r="E298" s="157">
        <v>31</v>
      </c>
      <c r="F298" s="157">
        <v>18</v>
      </c>
      <c r="G298" s="157">
        <v>23</v>
      </c>
      <c r="H298" s="157">
        <v>2</v>
      </c>
      <c r="I298" s="157">
        <v>221</v>
      </c>
      <c r="J298" s="157">
        <v>19</v>
      </c>
      <c r="K298" s="157">
        <v>16</v>
      </c>
      <c r="L298" s="157">
        <v>173</v>
      </c>
      <c r="M298" s="157">
        <v>156</v>
      </c>
      <c r="N298" s="157">
        <v>1</v>
      </c>
      <c r="O298" s="157"/>
      <c r="P298" s="157">
        <v>1</v>
      </c>
      <c r="Q298" s="157"/>
      <c r="R298" s="157">
        <v>10</v>
      </c>
      <c r="S298" s="157">
        <v>3</v>
      </c>
      <c r="T298" s="157">
        <v>1</v>
      </c>
      <c r="U298" s="157">
        <v>1</v>
      </c>
      <c r="V298" s="157">
        <v>10</v>
      </c>
      <c r="W298" s="157">
        <v>6</v>
      </c>
      <c r="X298" s="157">
        <v>3</v>
      </c>
      <c r="Y298" s="157">
        <f t="shared" si="4"/>
        <v>705</v>
      </c>
    </row>
    <row r="299" spans="1:25" x14ac:dyDescent="0.35">
      <c r="A299" s="157" t="s">
        <v>856</v>
      </c>
      <c r="B299" s="157" t="s">
        <v>857</v>
      </c>
      <c r="C299" s="157"/>
      <c r="D299" s="157">
        <v>2</v>
      </c>
      <c r="E299" s="157">
        <v>13</v>
      </c>
      <c r="F299" s="157">
        <v>1</v>
      </c>
      <c r="G299" s="157">
        <v>1</v>
      </c>
      <c r="H299" s="157"/>
      <c r="I299" s="157">
        <v>63</v>
      </c>
      <c r="J299" s="157">
        <v>3</v>
      </c>
      <c r="K299" s="157">
        <v>5</v>
      </c>
      <c r="L299" s="157">
        <v>14</v>
      </c>
      <c r="M299" s="157">
        <v>23</v>
      </c>
      <c r="N299" s="157"/>
      <c r="O299" s="157"/>
      <c r="P299" s="157">
        <v>2</v>
      </c>
      <c r="Q299" s="157">
        <v>4</v>
      </c>
      <c r="R299" s="157">
        <v>1</v>
      </c>
      <c r="S299" s="157"/>
      <c r="T299" s="157">
        <v>1</v>
      </c>
      <c r="U299" s="157">
        <v>1</v>
      </c>
      <c r="V299" s="157">
        <v>3</v>
      </c>
      <c r="W299" s="157">
        <v>3</v>
      </c>
      <c r="X299" s="157"/>
      <c r="Y299" s="157">
        <f t="shared" si="4"/>
        <v>140</v>
      </c>
    </row>
    <row r="300" spans="1:25" x14ac:dyDescent="0.35">
      <c r="A300" s="157" t="s">
        <v>858</v>
      </c>
      <c r="B300" s="157" t="s">
        <v>1246</v>
      </c>
      <c r="C300" s="157"/>
      <c r="D300" s="157">
        <v>1</v>
      </c>
      <c r="E300" s="157"/>
      <c r="F300" s="157">
        <v>1</v>
      </c>
      <c r="G300" s="157"/>
      <c r="H300" s="157"/>
      <c r="I300" s="157">
        <v>7</v>
      </c>
      <c r="J300" s="157">
        <v>1</v>
      </c>
      <c r="K300" s="157"/>
      <c r="L300" s="157">
        <v>5</v>
      </c>
      <c r="M300" s="157">
        <v>5</v>
      </c>
      <c r="N300" s="157"/>
      <c r="O300" s="157"/>
      <c r="P300" s="157"/>
      <c r="Q300" s="157"/>
      <c r="R300" s="157"/>
      <c r="S300" s="157">
        <v>2</v>
      </c>
      <c r="T300" s="157"/>
      <c r="U300" s="157"/>
      <c r="V300" s="157"/>
      <c r="W300" s="157"/>
      <c r="X300" s="157">
        <v>1</v>
      </c>
      <c r="Y300" s="157">
        <f t="shared" si="4"/>
        <v>23</v>
      </c>
    </row>
    <row r="301" spans="1:25" x14ac:dyDescent="0.35">
      <c r="A301" s="157" t="s">
        <v>859</v>
      </c>
      <c r="B301" s="157" t="s">
        <v>860</v>
      </c>
      <c r="C301" s="157">
        <v>1</v>
      </c>
      <c r="D301" s="157"/>
      <c r="E301" s="157">
        <v>16</v>
      </c>
      <c r="F301" s="157">
        <v>3</v>
      </c>
      <c r="G301" s="157">
        <v>1</v>
      </c>
      <c r="H301" s="157"/>
      <c r="I301" s="157">
        <v>32</v>
      </c>
      <c r="J301" s="157">
        <v>6</v>
      </c>
      <c r="K301" s="157">
        <v>4</v>
      </c>
      <c r="L301" s="157">
        <v>13</v>
      </c>
      <c r="M301" s="157">
        <v>8</v>
      </c>
      <c r="N301" s="157"/>
      <c r="O301" s="157">
        <v>2</v>
      </c>
      <c r="P301" s="157"/>
      <c r="Q301" s="157">
        <v>2</v>
      </c>
      <c r="R301" s="157">
        <v>1</v>
      </c>
      <c r="S301" s="157">
        <v>4</v>
      </c>
      <c r="T301" s="157">
        <v>1</v>
      </c>
      <c r="U301" s="157"/>
      <c r="V301" s="157">
        <v>13</v>
      </c>
      <c r="W301" s="157">
        <v>2</v>
      </c>
      <c r="X301" s="157">
        <v>1</v>
      </c>
      <c r="Y301" s="157">
        <f t="shared" si="4"/>
        <v>110</v>
      </c>
    </row>
    <row r="302" spans="1:25" x14ac:dyDescent="0.35">
      <c r="A302" s="157" t="s">
        <v>861</v>
      </c>
      <c r="B302" s="157" t="s">
        <v>1247</v>
      </c>
      <c r="C302" s="157">
        <v>2</v>
      </c>
      <c r="D302" s="157">
        <v>12</v>
      </c>
      <c r="E302" s="157">
        <v>53</v>
      </c>
      <c r="F302" s="157">
        <v>22</v>
      </c>
      <c r="G302" s="157">
        <v>9</v>
      </c>
      <c r="H302" s="157">
        <v>1</v>
      </c>
      <c r="I302" s="157">
        <v>184</v>
      </c>
      <c r="J302" s="157">
        <v>20</v>
      </c>
      <c r="K302" s="157">
        <v>27</v>
      </c>
      <c r="L302" s="157">
        <v>78</v>
      </c>
      <c r="M302" s="157">
        <v>106</v>
      </c>
      <c r="N302" s="157">
        <v>4</v>
      </c>
      <c r="O302" s="157"/>
      <c r="P302" s="157">
        <v>1</v>
      </c>
      <c r="Q302" s="157">
        <v>6</v>
      </c>
      <c r="R302" s="157">
        <v>7</v>
      </c>
      <c r="S302" s="157">
        <v>2</v>
      </c>
      <c r="T302" s="157">
        <v>8</v>
      </c>
      <c r="U302" s="157"/>
      <c r="V302" s="157">
        <v>10</v>
      </c>
      <c r="W302" s="157">
        <v>7</v>
      </c>
      <c r="X302" s="157">
        <v>1</v>
      </c>
      <c r="Y302" s="157">
        <f t="shared" si="4"/>
        <v>560</v>
      </c>
    </row>
    <row r="303" spans="1:25" x14ac:dyDescent="0.35">
      <c r="A303" s="157" t="s">
        <v>862</v>
      </c>
      <c r="B303" s="157" t="s">
        <v>863</v>
      </c>
      <c r="C303" s="157"/>
      <c r="D303" s="157"/>
      <c r="E303" s="157">
        <v>1</v>
      </c>
      <c r="F303" s="157"/>
      <c r="G303" s="157"/>
      <c r="H303" s="157"/>
      <c r="I303" s="157"/>
      <c r="J303" s="157">
        <v>1</v>
      </c>
      <c r="K303" s="157"/>
      <c r="L303" s="157">
        <v>2</v>
      </c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>
        <f t="shared" si="4"/>
        <v>4</v>
      </c>
    </row>
    <row r="304" spans="1:25" x14ac:dyDescent="0.35">
      <c r="A304" s="157" t="s">
        <v>864</v>
      </c>
      <c r="B304" s="157" t="s">
        <v>1248</v>
      </c>
      <c r="C304" s="157">
        <v>1</v>
      </c>
      <c r="D304" s="157">
        <v>9</v>
      </c>
      <c r="E304" s="157"/>
      <c r="F304" s="157">
        <v>2</v>
      </c>
      <c r="G304" s="157">
        <v>8</v>
      </c>
      <c r="H304" s="157"/>
      <c r="I304" s="157">
        <v>11</v>
      </c>
      <c r="J304" s="157">
        <v>1</v>
      </c>
      <c r="K304" s="157">
        <v>3</v>
      </c>
      <c r="L304" s="157">
        <v>103</v>
      </c>
      <c r="M304" s="157">
        <v>22</v>
      </c>
      <c r="N304" s="157">
        <v>1</v>
      </c>
      <c r="O304" s="157"/>
      <c r="P304" s="157"/>
      <c r="Q304" s="157"/>
      <c r="R304" s="157">
        <v>1</v>
      </c>
      <c r="S304" s="157"/>
      <c r="T304" s="157"/>
      <c r="U304" s="157">
        <v>2</v>
      </c>
      <c r="V304" s="157"/>
      <c r="W304" s="157">
        <v>2</v>
      </c>
      <c r="X304" s="157"/>
      <c r="Y304" s="157">
        <f t="shared" si="4"/>
        <v>166</v>
      </c>
    </row>
    <row r="305" spans="1:25" x14ac:dyDescent="0.35">
      <c r="A305" s="157" t="s">
        <v>865</v>
      </c>
      <c r="B305" s="157" t="s">
        <v>866</v>
      </c>
      <c r="C305" s="157"/>
      <c r="D305" s="157">
        <v>1</v>
      </c>
      <c r="E305" s="157">
        <v>1</v>
      </c>
      <c r="F305" s="157">
        <v>2</v>
      </c>
      <c r="G305" s="157"/>
      <c r="H305" s="157">
        <v>1</v>
      </c>
      <c r="I305" s="157">
        <v>8</v>
      </c>
      <c r="J305" s="157">
        <v>2</v>
      </c>
      <c r="K305" s="157">
        <v>1</v>
      </c>
      <c r="L305" s="157">
        <v>28</v>
      </c>
      <c r="M305" s="157">
        <v>8</v>
      </c>
      <c r="N305" s="157">
        <v>3</v>
      </c>
      <c r="O305" s="157"/>
      <c r="P305" s="157"/>
      <c r="Q305" s="157"/>
      <c r="R305" s="157"/>
      <c r="S305" s="157">
        <v>2</v>
      </c>
      <c r="T305" s="157"/>
      <c r="U305" s="157"/>
      <c r="V305" s="157"/>
      <c r="W305" s="157">
        <v>2</v>
      </c>
      <c r="X305" s="157"/>
      <c r="Y305" s="157">
        <f t="shared" si="4"/>
        <v>59</v>
      </c>
    </row>
    <row r="306" spans="1:25" x14ac:dyDescent="0.35">
      <c r="A306" s="157" t="s">
        <v>867</v>
      </c>
      <c r="B306" s="157" t="s">
        <v>868</v>
      </c>
      <c r="C306" s="157">
        <v>22</v>
      </c>
      <c r="D306" s="157">
        <v>176</v>
      </c>
      <c r="E306" s="157">
        <v>276</v>
      </c>
      <c r="F306" s="157">
        <v>146</v>
      </c>
      <c r="G306" s="157">
        <v>123</v>
      </c>
      <c r="H306" s="157">
        <v>72</v>
      </c>
      <c r="I306" s="157">
        <v>655</v>
      </c>
      <c r="J306" s="157">
        <v>152</v>
      </c>
      <c r="K306" s="157">
        <v>158</v>
      </c>
      <c r="L306" s="157">
        <v>579</v>
      </c>
      <c r="M306" s="157">
        <v>446</v>
      </c>
      <c r="N306" s="157">
        <v>57</v>
      </c>
      <c r="O306" s="157">
        <v>4</v>
      </c>
      <c r="P306" s="157">
        <v>37</v>
      </c>
      <c r="Q306" s="157">
        <v>107</v>
      </c>
      <c r="R306" s="157">
        <v>71</v>
      </c>
      <c r="S306" s="157">
        <v>43</v>
      </c>
      <c r="T306" s="157">
        <v>84</v>
      </c>
      <c r="U306" s="157">
        <v>30</v>
      </c>
      <c r="V306" s="157">
        <v>44</v>
      </c>
      <c r="W306" s="157">
        <v>50</v>
      </c>
      <c r="X306" s="157">
        <v>7</v>
      </c>
      <c r="Y306" s="157">
        <f t="shared" si="4"/>
        <v>3339</v>
      </c>
    </row>
    <row r="307" spans="1:25" x14ac:dyDescent="0.35">
      <c r="A307" s="157" t="s">
        <v>869</v>
      </c>
      <c r="B307" s="157" t="s">
        <v>870</v>
      </c>
      <c r="C307" s="157">
        <v>2</v>
      </c>
      <c r="D307" s="157">
        <v>14</v>
      </c>
      <c r="E307" s="157">
        <v>27</v>
      </c>
      <c r="F307" s="157">
        <v>19</v>
      </c>
      <c r="G307" s="157">
        <v>13</v>
      </c>
      <c r="H307" s="157">
        <v>4</v>
      </c>
      <c r="I307" s="157">
        <v>62</v>
      </c>
      <c r="J307" s="157">
        <v>19</v>
      </c>
      <c r="K307" s="157">
        <v>17</v>
      </c>
      <c r="L307" s="157">
        <v>68</v>
      </c>
      <c r="M307" s="157">
        <v>38</v>
      </c>
      <c r="N307" s="157">
        <v>7</v>
      </c>
      <c r="O307" s="157"/>
      <c r="P307" s="157">
        <v>4</v>
      </c>
      <c r="Q307" s="157">
        <v>12</v>
      </c>
      <c r="R307" s="157">
        <v>5</v>
      </c>
      <c r="S307" s="157">
        <v>1</v>
      </c>
      <c r="T307" s="157">
        <v>9</v>
      </c>
      <c r="U307" s="157">
        <v>9</v>
      </c>
      <c r="V307" s="157">
        <v>1</v>
      </c>
      <c r="W307" s="157">
        <v>12</v>
      </c>
      <c r="X307" s="157">
        <v>1</v>
      </c>
      <c r="Y307" s="157">
        <f t="shared" si="4"/>
        <v>344</v>
      </c>
    </row>
    <row r="308" spans="1:25" x14ac:dyDescent="0.35">
      <c r="A308" s="157" t="s">
        <v>871</v>
      </c>
      <c r="B308" s="157" t="s">
        <v>872</v>
      </c>
      <c r="C308" s="157">
        <v>6</v>
      </c>
      <c r="D308" s="157">
        <v>51</v>
      </c>
      <c r="E308" s="157">
        <v>96</v>
      </c>
      <c r="F308" s="157">
        <v>32</v>
      </c>
      <c r="G308" s="157">
        <v>51</v>
      </c>
      <c r="H308" s="157">
        <v>27</v>
      </c>
      <c r="I308" s="157">
        <v>101</v>
      </c>
      <c r="J308" s="157">
        <v>52</v>
      </c>
      <c r="K308" s="157">
        <v>46</v>
      </c>
      <c r="L308" s="157">
        <v>305</v>
      </c>
      <c r="M308" s="157">
        <v>125</v>
      </c>
      <c r="N308" s="157">
        <v>19</v>
      </c>
      <c r="O308" s="157">
        <v>5</v>
      </c>
      <c r="P308" s="157">
        <v>22</v>
      </c>
      <c r="Q308" s="157">
        <v>36</v>
      </c>
      <c r="R308" s="157">
        <v>15</v>
      </c>
      <c r="S308" s="157">
        <v>12</v>
      </c>
      <c r="T308" s="157">
        <v>21</v>
      </c>
      <c r="U308" s="157">
        <v>16</v>
      </c>
      <c r="V308" s="157">
        <v>7</v>
      </c>
      <c r="W308" s="157">
        <v>21</v>
      </c>
      <c r="X308" s="157">
        <v>1</v>
      </c>
      <c r="Y308" s="157">
        <f t="shared" si="4"/>
        <v>1067</v>
      </c>
    </row>
    <row r="309" spans="1:25" x14ac:dyDescent="0.35">
      <c r="A309" s="157" t="s">
        <v>873</v>
      </c>
      <c r="B309" s="157" t="s">
        <v>874</v>
      </c>
      <c r="C309" s="157">
        <v>18</v>
      </c>
      <c r="D309" s="157">
        <v>106</v>
      </c>
      <c r="E309" s="157">
        <v>130</v>
      </c>
      <c r="F309" s="157">
        <v>86</v>
      </c>
      <c r="G309" s="157">
        <v>79</v>
      </c>
      <c r="H309" s="157">
        <v>49</v>
      </c>
      <c r="I309" s="157">
        <v>117</v>
      </c>
      <c r="J309" s="157">
        <v>68</v>
      </c>
      <c r="K309" s="157">
        <v>55</v>
      </c>
      <c r="L309" s="157">
        <v>145</v>
      </c>
      <c r="M309" s="157">
        <v>111</v>
      </c>
      <c r="N309" s="157">
        <v>59</v>
      </c>
      <c r="O309" s="157">
        <v>4</v>
      </c>
      <c r="P309" s="157">
        <v>33</v>
      </c>
      <c r="Q309" s="157">
        <v>76</v>
      </c>
      <c r="R309" s="157">
        <v>28</v>
      </c>
      <c r="S309" s="157">
        <v>23</v>
      </c>
      <c r="T309" s="157">
        <v>57</v>
      </c>
      <c r="U309" s="157">
        <v>46</v>
      </c>
      <c r="V309" s="157">
        <v>16</v>
      </c>
      <c r="W309" s="157">
        <v>46</v>
      </c>
      <c r="X309" s="157">
        <v>2</v>
      </c>
      <c r="Y309" s="157">
        <f t="shared" si="4"/>
        <v>1354</v>
      </c>
    </row>
    <row r="310" spans="1:25" x14ac:dyDescent="0.35">
      <c r="A310" s="157" t="s">
        <v>875</v>
      </c>
      <c r="B310" s="157" t="s">
        <v>876</v>
      </c>
      <c r="C310" s="157">
        <v>4</v>
      </c>
      <c r="D310" s="157">
        <v>13</v>
      </c>
      <c r="E310" s="157">
        <v>29</v>
      </c>
      <c r="F310" s="157">
        <v>12</v>
      </c>
      <c r="G310" s="157">
        <v>8</v>
      </c>
      <c r="H310" s="157">
        <v>3</v>
      </c>
      <c r="I310" s="157">
        <v>26</v>
      </c>
      <c r="J310" s="157">
        <v>12</v>
      </c>
      <c r="K310" s="157">
        <v>11</v>
      </c>
      <c r="L310" s="157">
        <v>28</v>
      </c>
      <c r="M310" s="157">
        <v>27</v>
      </c>
      <c r="N310" s="157">
        <v>10</v>
      </c>
      <c r="O310" s="157"/>
      <c r="P310" s="157">
        <v>4</v>
      </c>
      <c r="Q310" s="157">
        <v>14</v>
      </c>
      <c r="R310" s="157">
        <v>10</v>
      </c>
      <c r="S310" s="157">
        <v>2</v>
      </c>
      <c r="T310" s="157">
        <v>11</v>
      </c>
      <c r="U310" s="157">
        <v>2</v>
      </c>
      <c r="V310" s="157">
        <v>1</v>
      </c>
      <c r="W310" s="157">
        <v>6</v>
      </c>
      <c r="X310" s="157">
        <v>1</v>
      </c>
      <c r="Y310" s="157">
        <f t="shared" si="4"/>
        <v>234</v>
      </c>
    </row>
    <row r="311" spans="1:25" x14ac:dyDescent="0.35">
      <c r="A311" s="157" t="s">
        <v>877</v>
      </c>
      <c r="B311" s="157" t="s">
        <v>878</v>
      </c>
      <c r="C311" s="157"/>
      <c r="D311" s="157">
        <v>2</v>
      </c>
      <c r="E311" s="157">
        <v>11</v>
      </c>
      <c r="F311" s="157">
        <v>3</v>
      </c>
      <c r="G311" s="157">
        <v>1</v>
      </c>
      <c r="H311" s="157">
        <v>4</v>
      </c>
      <c r="I311" s="157">
        <v>14</v>
      </c>
      <c r="J311" s="157">
        <v>3</v>
      </c>
      <c r="K311" s="157">
        <v>6</v>
      </c>
      <c r="L311" s="157">
        <v>13</v>
      </c>
      <c r="M311" s="157">
        <v>9</v>
      </c>
      <c r="N311" s="157">
        <v>1</v>
      </c>
      <c r="O311" s="157"/>
      <c r="P311" s="157"/>
      <c r="Q311" s="157">
        <v>8</v>
      </c>
      <c r="R311" s="157">
        <v>1</v>
      </c>
      <c r="S311" s="157">
        <v>1</v>
      </c>
      <c r="T311" s="157">
        <v>1</v>
      </c>
      <c r="U311" s="157"/>
      <c r="V311" s="157">
        <v>1</v>
      </c>
      <c r="W311" s="157">
        <v>3</v>
      </c>
      <c r="X311" s="157">
        <v>1</v>
      </c>
      <c r="Y311" s="157">
        <f t="shared" si="4"/>
        <v>83</v>
      </c>
    </row>
    <row r="312" spans="1:25" x14ac:dyDescent="0.35">
      <c r="A312" s="157" t="s">
        <v>879</v>
      </c>
      <c r="B312" s="157" t="s">
        <v>880</v>
      </c>
      <c r="C312" s="157">
        <v>37</v>
      </c>
      <c r="D312" s="157">
        <v>205</v>
      </c>
      <c r="E312" s="157">
        <v>167</v>
      </c>
      <c r="F312" s="157">
        <v>136</v>
      </c>
      <c r="G312" s="157">
        <v>125</v>
      </c>
      <c r="H312" s="157">
        <v>120</v>
      </c>
      <c r="I312" s="157">
        <v>232</v>
      </c>
      <c r="J312" s="157">
        <v>86</v>
      </c>
      <c r="K312" s="157">
        <v>62</v>
      </c>
      <c r="L312" s="157">
        <v>434</v>
      </c>
      <c r="M312" s="157">
        <v>176</v>
      </c>
      <c r="N312" s="157">
        <v>147</v>
      </c>
      <c r="O312" s="157">
        <v>9</v>
      </c>
      <c r="P312" s="157">
        <v>122</v>
      </c>
      <c r="Q312" s="157">
        <v>111</v>
      </c>
      <c r="R312" s="157">
        <v>77</v>
      </c>
      <c r="S312" s="157">
        <v>73</v>
      </c>
      <c r="T312" s="157">
        <v>137</v>
      </c>
      <c r="U312" s="157">
        <v>94</v>
      </c>
      <c r="V312" s="157">
        <v>24</v>
      </c>
      <c r="W312" s="157">
        <v>119</v>
      </c>
      <c r="X312" s="157">
        <v>3</v>
      </c>
      <c r="Y312" s="157">
        <f t="shared" si="4"/>
        <v>2696</v>
      </c>
    </row>
    <row r="313" spans="1:25" x14ac:dyDescent="0.35">
      <c r="A313" s="157" t="s">
        <v>881</v>
      </c>
      <c r="B313" s="157" t="s">
        <v>882</v>
      </c>
      <c r="C313" s="157"/>
      <c r="D313" s="157">
        <v>1</v>
      </c>
      <c r="E313" s="157">
        <v>7</v>
      </c>
      <c r="F313" s="157">
        <v>1</v>
      </c>
      <c r="G313" s="157">
        <v>2</v>
      </c>
      <c r="H313" s="157"/>
      <c r="I313" s="157">
        <v>14</v>
      </c>
      <c r="J313" s="157"/>
      <c r="K313" s="157">
        <v>3</v>
      </c>
      <c r="L313" s="157">
        <v>7</v>
      </c>
      <c r="M313" s="157">
        <v>7</v>
      </c>
      <c r="N313" s="157"/>
      <c r="O313" s="157"/>
      <c r="P313" s="157">
        <v>2</v>
      </c>
      <c r="Q313" s="157">
        <v>1</v>
      </c>
      <c r="R313" s="157">
        <v>1</v>
      </c>
      <c r="S313" s="157"/>
      <c r="T313" s="157">
        <v>1</v>
      </c>
      <c r="U313" s="157"/>
      <c r="V313" s="157"/>
      <c r="W313" s="157"/>
      <c r="X313" s="157"/>
      <c r="Y313" s="157">
        <f t="shared" si="4"/>
        <v>47</v>
      </c>
    </row>
    <row r="314" spans="1:25" x14ac:dyDescent="0.35">
      <c r="A314" s="157" t="s">
        <v>883</v>
      </c>
      <c r="B314" s="157" t="s">
        <v>884</v>
      </c>
      <c r="C314" s="157"/>
      <c r="D314" s="157"/>
      <c r="E314" s="157">
        <v>3</v>
      </c>
      <c r="F314" s="157"/>
      <c r="G314" s="157"/>
      <c r="H314" s="157"/>
      <c r="I314" s="157">
        <v>11</v>
      </c>
      <c r="J314" s="157">
        <v>1</v>
      </c>
      <c r="K314" s="157">
        <v>2</v>
      </c>
      <c r="L314" s="157">
        <v>4</v>
      </c>
      <c r="M314" s="157">
        <v>5</v>
      </c>
      <c r="N314" s="157">
        <v>1</v>
      </c>
      <c r="O314" s="157"/>
      <c r="P314" s="157"/>
      <c r="Q314" s="157">
        <v>1</v>
      </c>
      <c r="R314" s="157"/>
      <c r="S314" s="157"/>
      <c r="T314" s="157"/>
      <c r="U314" s="157"/>
      <c r="V314" s="157"/>
      <c r="W314" s="157">
        <v>1</v>
      </c>
      <c r="X314" s="157"/>
      <c r="Y314" s="157">
        <f t="shared" si="4"/>
        <v>29</v>
      </c>
    </row>
    <row r="315" spans="1:25" x14ac:dyDescent="0.35">
      <c r="A315" s="157" t="s">
        <v>885</v>
      </c>
      <c r="B315" s="157" t="s">
        <v>886</v>
      </c>
      <c r="C315" s="157">
        <v>1</v>
      </c>
      <c r="D315" s="157"/>
      <c r="E315" s="157"/>
      <c r="F315" s="157"/>
      <c r="G315" s="157">
        <v>1</v>
      </c>
      <c r="H315" s="157">
        <v>1</v>
      </c>
      <c r="I315" s="157">
        <v>2</v>
      </c>
      <c r="J315" s="157">
        <v>1</v>
      </c>
      <c r="K315" s="157"/>
      <c r="L315" s="157">
        <v>12</v>
      </c>
      <c r="M315" s="157">
        <v>1</v>
      </c>
      <c r="N315" s="157">
        <v>1</v>
      </c>
      <c r="O315" s="157"/>
      <c r="P315" s="157"/>
      <c r="Q315" s="157">
        <v>1</v>
      </c>
      <c r="R315" s="157"/>
      <c r="S315" s="157"/>
      <c r="T315" s="157"/>
      <c r="U315" s="157"/>
      <c r="V315" s="157"/>
      <c r="W315" s="157">
        <v>1</v>
      </c>
      <c r="X315" s="157">
        <v>1</v>
      </c>
      <c r="Y315" s="157">
        <f t="shared" si="4"/>
        <v>23</v>
      </c>
    </row>
    <row r="316" spans="1:25" x14ac:dyDescent="0.35">
      <c r="A316" s="157" t="s">
        <v>887</v>
      </c>
      <c r="B316" s="157" t="s">
        <v>888</v>
      </c>
      <c r="C316" s="157">
        <v>2</v>
      </c>
      <c r="D316" s="157">
        <v>2</v>
      </c>
      <c r="E316" s="157">
        <v>8</v>
      </c>
      <c r="F316" s="157">
        <v>2</v>
      </c>
      <c r="G316" s="157">
        <v>3</v>
      </c>
      <c r="H316" s="157">
        <v>1</v>
      </c>
      <c r="I316" s="157">
        <v>54</v>
      </c>
      <c r="J316" s="157">
        <v>7</v>
      </c>
      <c r="K316" s="157">
        <v>4</v>
      </c>
      <c r="L316" s="157">
        <v>6</v>
      </c>
      <c r="M316" s="157">
        <v>17</v>
      </c>
      <c r="N316" s="157"/>
      <c r="O316" s="157"/>
      <c r="P316" s="157">
        <v>1</v>
      </c>
      <c r="Q316" s="157">
        <v>7</v>
      </c>
      <c r="R316" s="157">
        <v>2</v>
      </c>
      <c r="S316" s="157"/>
      <c r="T316" s="157">
        <v>2</v>
      </c>
      <c r="U316" s="157">
        <v>1</v>
      </c>
      <c r="V316" s="157"/>
      <c r="W316" s="157">
        <v>2</v>
      </c>
      <c r="X316" s="157">
        <v>2</v>
      </c>
      <c r="Y316" s="157">
        <f t="shared" si="4"/>
        <v>123</v>
      </c>
    </row>
    <row r="317" spans="1:25" x14ac:dyDescent="0.35">
      <c r="A317" s="157" t="s">
        <v>889</v>
      </c>
      <c r="B317" s="157" t="s">
        <v>890</v>
      </c>
      <c r="C317" s="157">
        <v>2</v>
      </c>
      <c r="D317" s="157">
        <v>1</v>
      </c>
      <c r="E317" s="157">
        <v>27</v>
      </c>
      <c r="F317" s="157">
        <v>15</v>
      </c>
      <c r="G317" s="157">
        <v>3</v>
      </c>
      <c r="H317" s="157">
        <v>2</v>
      </c>
      <c r="I317" s="157">
        <v>53</v>
      </c>
      <c r="J317" s="157">
        <v>8</v>
      </c>
      <c r="K317" s="157">
        <v>10</v>
      </c>
      <c r="L317" s="157">
        <v>22</v>
      </c>
      <c r="M317" s="157">
        <v>29</v>
      </c>
      <c r="N317" s="157">
        <v>3</v>
      </c>
      <c r="O317" s="157"/>
      <c r="P317" s="157">
        <v>2</v>
      </c>
      <c r="Q317" s="157">
        <v>5</v>
      </c>
      <c r="R317" s="157"/>
      <c r="S317" s="157">
        <v>1</v>
      </c>
      <c r="T317" s="157">
        <v>1</v>
      </c>
      <c r="U317" s="157">
        <v>3</v>
      </c>
      <c r="V317" s="157">
        <v>6</v>
      </c>
      <c r="W317" s="157"/>
      <c r="X317" s="157">
        <v>1</v>
      </c>
      <c r="Y317" s="157">
        <f t="shared" si="4"/>
        <v>194</v>
      </c>
    </row>
    <row r="318" spans="1:25" x14ac:dyDescent="0.35">
      <c r="A318" s="157" t="s">
        <v>891</v>
      </c>
      <c r="B318" s="157" t="s">
        <v>1249</v>
      </c>
      <c r="C318" s="157"/>
      <c r="D318" s="157"/>
      <c r="E318" s="157">
        <v>4</v>
      </c>
      <c r="F318" s="157"/>
      <c r="G318" s="157"/>
      <c r="H318" s="157"/>
      <c r="I318" s="157">
        <v>7</v>
      </c>
      <c r="J318" s="157"/>
      <c r="K318" s="157"/>
      <c r="L318" s="157">
        <v>2</v>
      </c>
      <c r="M318" s="157">
        <v>1</v>
      </c>
      <c r="N318" s="157"/>
      <c r="O318" s="157"/>
      <c r="P318" s="157"/>
      <c r="Q318" s="157"/>
      <c r="R318" s="157">
        <v>1</v>
      </c>
      <c r="S318" s="157">
        <v>1</v>
      </c>
      <c r="T318" s="157"/>
      <c r="U318" s="157"/>
      <c r="V318" s="157"/>
      <c r="W318" s="157"/>
      <c r="X318" s="157"/>
      <c r="Y318" s="157">
        <f t="shared" si="4"/>
        <v>16</v>
      </c>
    </row>
    <row r="319" spans="1:25" x14ac:dyDescent="0.35">
      <c r="A319" s="157" t="s">
        <v>892</v>
      </c>
      <c r="B319" s="157" t="s">
        <v>893</v>
      </c>
      <c r="C319" s="157"/>
      <c r="D319" s="157"/>
      <c r="E319" s="157">
        <v>1</v>
      </c>
      <c r="F319" s="157"/>
      <c r="G319" s="157"/>
      <c r="H319" s="157"/>
      <c r="I319" s="157">
        <v>2</v>
      </c>
      <c r="J319" s="157"/>
      <c r="K319" s="157"/>
      <c r="L319" s="157">
        <v>2</v>
      </c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>
        <f t="shared" si="4"/>
        <v>5</v>
      </c>
    </row>
    <row r="320" spans="1:25" x14ac:dyDescent="0.35">
      <c r="A320" s="157" t="s">
        <v>894</v>
      </c>
      <c r="B320" s="157" t="s">
        <v>895</v>
      </c>
      <c r="C320" s="157"/>
      <c r="D320" s="157"/>
      <c r="E320" s="157"/>
      <c r="F320" s="157"/>
      <c r="G320" s="157"/>
      <c r="H320" s="157"/>
      <c r="I320" s="157"/>
      <c r="J320" s="157"/>
      <c r="K320" s="157"/>
      <c r="L320" s="157">
        <v>2</v>
      </c>
      <c r="M320" s="157"/>
      <c r="N320" s="157"/>
      <c r="O320" s="157"/>
      <c r="P320" s="157"/>
      <c r="Q320" s="157">
        <v>1</v>
      </c>
      <c r="R320" s="157"/>
      <c r="S320" s="157"/>
      <c r="T320" s="157"/>
      <c r="U320" s="157"/>
      <c r="V320" s="157"/>
      <c r="W320" s="157"/>
      <c r="X320" s="157"/>
      <c r="Y320" s="157">
        <f t="shared" si="4"/>
        <v>3</v>
      </c>
    </row>
    <row r="321" spans="1:25" x14ac:dyDescent="0.35">
      <c r="A321" s="157" t="s">
        <v>896</v>
      </c>
      <c r="B321" s="157" t="s">
        <v>1250</v>
      </c>
      <c r="C321" s="157">
        <v>2</v>
      </c>
      <c r="D321" s="157">
        <v>4</v>
      </c>
      <c r="E321" s="157">
        <v>22</v>
      </c>
      <c r="F321" s="157">
        <v>2</v>
      </c>
      <c r="G321" s="157">
        <v>3</v>
      </c>
      <c r="H321" s="157">
        <v>5</v>
      </c>
      <c r="I321" s="157">
        <v>57</v>
      </c>
      <c r="J321" s="157">
        <v>5</v>
      </c>
      <c r="K321" s="157">
        <v>6</v>
      </c>
      <c r="L321" s="157">
        <v>14</v>
      </c>
      <c r="M321" s="157">
        <v>23</v>
      </c>
      <c r="N321" s="157">
        <v>2</v>
      </c>
      <c r="O321" s="157"/>
      <c r="P321" s="157">
        <v>3</v>
      </c>
      <c r="Q321" s="157">
        <v>3</v>
      </c>
      <c r="R321" s="157">
        <v>2</v>
      </c>
      <c r="S321" s="157">
        <v>3</v>
      </c>
      <c r="T321" s="157">
        <v>1</v>
      </c>
      <c r="U321" s="157">
        <v>1</v>
      </c>
      <c r="V321" s="157">
        <v>4</v>
      </c>
      <c r="W321" s="157">
        <v>4</v>
      </c>
      <c r="X321" s="157">
        <v>1</v>
      </c>
      <c r="Y321" s="157">
        <f t="shared" si="4"/>
        <v>167</v>
      </c>
    </row>
    <row r="322" spans="1:25" x14ac:dyDescent="0.35">
      <c r="A322" s="157" t="s">
        <v>897</v>
      </c>
      <c r="B322" s="157" t="s">
        <v>898</v>
      </c>
      <c r="C322" s="157"/>
      <c r="D322" s="157"/>
      <c r="E322" s="157">
        <v>1</v>
      </c>
      <c r="F322" s="157">
        <v>2</v>
      </c>
      <c r="G322" s="157"/>
      <c r="H322" s="157"/>
      <c r="I322" s="157">
        <v>6</v>
      </c>
      <c r="J322" s="157"/>
      <c r="K322" s="157">
        <v>2</v>
      </c>
      <c r="L322" s="157">
        <v>3</v>
      </c>
      <c r="M322" s="157">
        <v>12</v>
      </c>
      <c r="N322" s="157">
        <v>1</v>
      </c>
      <c r="O322" s="157"/>
      <c r="P322" s="157"/>
      <c r="Q322" s="157">
        <v>1</v>
      </c>
      <c r="R322" s="157">
        <v>1</v>
      </c>
      <c r="S322" s="157">
        <v>1</v>
      </c>
      <c r="T322" s="157"/>
      <c r="U322" s="157">
        <v>1</v>
      </c>
      <c r="V322" s="157"/>
      <c r="W322" s="157"/>
      <c r="X322" s="157"/>
      <c r="Y322" s="157">
        <f t="shared" si="4"/>
        <v>31</v>
      </c>
    </row>
    <row r="323" spans="1:25" x14ac:dyDescent="0.35">
      <c r="A323" s="157" t="s">
        <v>899</v>
      </c>
      <c r="B323" s="157" t="s">
        <v>900</v>
      </c>
      <c r="C323" s="157"/>
      <c r="D323" s="157"/>
      <c r="E323" s="157">
        <v>1</v>
      </c>
      <c r="F323" s="157">
        <v>1</v>
      </c>
      <c r="G323" s="157"/>
      <c r="H323" s="157"/>
      <c r="I323" s="157">
        <v>3</v>
      </c>
      <c r="J323" s="157">
        <v>1</v>
      </c>
      <c r="K323" s="157">
        <v>1</v>
      </c>
      <c r="L323" s="157">
        <v>1</v>
      </c>
      <c r="M323" s="157">
        <v>3</v>
      </c>
      <c r="N323" s="157"/>
      <c r="O323" s="157"/>
      <c r="P323" s="157"/>
      <c r="Q323" s="157">
        <v>1</v>
      </c>
      <c r="R323" s="157"/>
      <c r="S323" s="157">
        <v>1</v>
      </c>
      <c r="T323" s="157"/>
      <c r="U323" s="157"/>
      <c r="V323" s="157"/>
      <c r="W323" s="157"/>
      <c r="X323" s="157"/>
      <c r="Y323" s="157">
        <f t="shared" si="4"/>
        <v>13</v>
      </c>
    </row>
    <row r="324" spans="1:25" x14ac:dyDescent="0.35">
      <c r="A324" s="157" t="s">
        <v>901</v>
      </c>
      <c r="B324" s="157" t="s">
        <v>902</v>
      </c>
      <c r="C324" s="157">
        <v>1</v>
      </c>
      <c r="D324" s="157">
        <v>1</v>
      </c>
      <c r="E324" s="157">
        <v>6</v>
      </c>
      <c r="F324" s="157">
        <v>3</v>
      </c>
      <c r="G324" s="157">
        <v>3</v>
      </c>
      <c r="H324" s="157">
        <v>2</v>
      </c>
      <c r="I324" s="157">
        <v>11</v>
      </c>
      <c r="J324" s="157">
        <v>2</v>
      </c>
      <c r="K324" s="157">
        <v>4</v>
      </c>
      <c r="L324" s="157">
        <v>10</v>
      </c>
      <c r="M324" s="157">
        <v>4</v>
      </c>
      <c r="N324" s="157">
        <v>4</v>
      </c>
      <c r="O324" s="157"/>
      <c r="P324" s="157">
        <v>1</v>
      </c>
      <c r="Q324" s="157">
        <v>7</v>
      </c>
      <c r="R324" s="157">
        <v>1</v>
      </c>
      <c r="S324" s="157">
        <v>3</v>
      </c>
      <c r="T324" s="157">
        <v>3</v>
      </c>
      <c r="U324" s="157">
        <v>1</v>
      </c>
      <c r="V324" s="157">
        <v>1</v>
      </c>
      <c r="W324" s="157">
        <v>3</v>
      </c>
      <c r="X324" s="157"/>
      <c r="Y324" s="157">
        <f t="shared" si="4"/>
        <v>71</v>
      </c>
    </row>
    <row r="325" spans="1:25" x14ac:dyDescent="0.35">
      <c r="A325" s="157" t="s">
        <v>903</v>
      </c>
      <c r="B325" s="157" t="s">
        <v>904</v>
      </c>
      <c r="C325" s="157">
        <v>1</v>
      </c>
      <c r="D325" s="157">
        <v>2</v>
      </c>
      <c r="E325" s="157">
        <v>3</v>
      </c>
      <c r="F325" s="157">
        <v>2</v>
      </c>
      <c r="G325" s="157">
        <v>1</v>
      </c>
      <c r="H325" s="157">
        <v>1</v>
      </c>
      <c r="I325" s="157">
        <v>7</v>
      </c>
      <c r="J325" s="157">
        <v>2</v>
      </c>
      <c r="K325" s="157">
        <v>1</v>
      </c>
      <c r="L325" s="157">
        <v>23</v>
      </c>
      <c r="M325" s="157">
        <v>10</v>
      </c>
      <c r="N325" s="157">
        <v>4</v>
      </c>
      <c r="O325" s="157">
        <v>1</v>
      </c>
      <c r="P325" s="157"/>
      <c r="Q325" s="157"/>
      <c r="R325" s="157">
        <v>1</v>
      </c>
      <c r="S325" s="157">
        <v>2</v>
      </c>
      <c r="T325" s="157">
        <v>1</v>
      </c>
      <c r="U325" s="157"/>
      <c r="V325" s="157"/>
      <c r="W325" s="157">
        <v>2</v>
      </c>
      <c r="X325" s="157"/>
      <c r="Y325" s="157">
        <f t="shared" si="4"/>
        <v>64</v>
      </c>
    </row>
    <row r="326" spans="1:25" x14ac:dyDescent="0.35">
      <c r="A326" s="157" t="s">
        <v>905</v>
      </c>
      <c r="B326" s="157" t="s">
        <v>906</v>
      </c>
      <c r="C326" s="157"/>
      <c r="D326" s="157"/>
      <c r="E326" s="157"/>
      <c r="F326" s="157"/>
      <c r="G326" s="157"/>
      <c r="H326" s="157"/>
      <c r="I326" s="157"/>
      <c r="J326" s="157">
        <v>1</v>
      </c>
      <c r="K326" s="157">
        <v>1</v>
      </c>
      <c r="L326" s="157">
        <v>1</v>
      </c>
      <c r="M326" s="157">
        <v>1</v>
      </c>
      <c r="N326" s="157"/>
      <c r="O326" s="157"/>
      <c r="P326" s="157"/>
      <c r="Q326" s="157"/>
      <c r="R326" s="157">
        <v>1</v>
      </c>
      <c r="S326" s="157"/>
      <c r="T326" s="157"/>
      <c r="U326" s="157"/>
      <c r="V326" s="157"/>
      <c r="W326" s="157"/>
      <c r="X326" s="157"/>
      <c r="Y326" s="157">
        <f t="shared" ref="Y326:Y389" si="5">+SUM(C326:X326)</f>
        <v>5</v>
      </c>
    </row>
    <row r="327" spans="1:25" x14ac:dyDescent="0.35">
      <c r="A327" s="157" t="s">
        <v>907</v>
      </c>
      <c r="B327" s="157" t="s">
        <v>908</v>
      </c>
      <c r="C327" s="157">
        <v>4</v>
      </c>
      <c r="D327" s="157">
        <v>10</v>
      </c>
      <c r="E327" s="157">
        <v>23</v>
      </c>
      <c r="F327" s="157">
        <v>9</v>
      </c>
      <c r="G327" s="157">
        <v>7</v>
      </c>
      <c r="H327" s="157">
        <v>8</v>
      </c>
      <c r="I327" s="157">
        <v>21</v>
      </c>
      <c r="J327" s="157">
        <v>10</v>
      </c>
      <c r="K327" s="157">
        <v>7</v>
      </c>
      <c r="L327" s="157">
        <v>68</v>
      </c>
      <c r="M327" s="157">
        <v>29</v>
      </c>
      <c r="N327" s="157">
        <v>12</v>
      </c>
      <c r="O327" s="157"/>
      <c r="P327" s="157">
        <v>4</v>
      </c>
      <c r="Q327" s="157">
        <v>16</v>
      </c>
      <c r="R327" s="157">
        <v>6</v>
      </c>
      <c r="S327" s="157">
        <v>2</v>
      </c>
      <c r="T327" s="157">
        <v>10</v>
      </c>
      <c r="U327" s="157">
        <v>3</v>
      </c>
      <c r="V327" s="157">
        <v>1</v>
      </c>
      <c r="W327" s="157">
        <v>15</v>
      </c>
      <c r="X327" s="157">
        <v>2</v>
      </c>
      <c r="Y327" s="157">
        <f t="shared" si="5"/>
        <v>267</v>
      </c>
    </row>
    <row r="328" spans="1:25" x14ac:dyDescent="0.35">
      <c r="A328" s="157" t="s">
        <v>909</v>
      </c>
      <c r="B328" s="157" t="s">
        <v>910</v>
      </c>
      <c r="C328" s="157">
        <v>12</v>
      </c>
      <c r="D328" s="157">
        <v>40</v>
      </c>
      <c r="E328" s="157">
        <v>160</v>
      </c>
      <c r="F328" s="157">
        <v>72</v>
      </c>
      <c r="G328" s="157">
        <v>28</v>
      </c>
      <c r="H328" s="157">
        <v>17</v>
      </c>
      <c r="I328" s="157">
        <v>580</v>
      </c>
      <c r="J328" s="157">
        <v>67</v>
      </c>
      <c r="K328" s="157">
        <v>78</v>
      </c>
      <c r="L328" s="157">
        <v>119</v>
      </c>
      <c r="M328" s="157">
        <v>178</v>
      </c>
      <c r="N328" s="157">
        <v>17</v>
      </c>
      <c r="O328" s="157">
        <v>1</v>
      </c>
      <c r="P328" s="157">
        <v>19</v>
      </c>
      <c r="Q328" s="157">
        <v>59</v>
      </c>
      <c r="R328" s="157">
        <v>26</v>
      </c>
      <c r="S328" s="157">
        <v>14</v>
      </c>
      <c r="T328" s="157">
        <v>24</v>
      </c>
      <c r="U328" s="157">
        <v>6</v>
      </c>
      <c r="V328" s="157">
        <v>16</v>
      </c>
      <c r="W328" s="157">
        <v>35</v>
      </c>
      <c r="X328" s="157">
        <v>6</v>
      </c>
      <c r="Y328" s="157">
        <f t="shared" si="5"/>
        <v>1574</v>
      </c>
    </row>
    <row r="329" spans="1:25" x14ac:dyDescent="0.35">
      <c r="A329" s="157" t="s">
        <v>911</v>
      </c>
      <c r="B329" s="157" t="s">
        <v>912</v>
      </c>
      <c r="C329" s="157">
        <v>10</v>
      </c>
      <c r="D329" s="157">
        <v>13</v>
      </c>
      <c r="E329" s="157">
        <v>62</v>
      </c>
      <c r="F329" s="157">
        <v>23</v>
      </c>
      <c r="G329" s="157">
        <v>14</v>
      </c>
      <c r="H329" s="157">
        <v>4</v>
      </c>
      <c r="I329" s="157">
        <v>235</v>
      </c>
      <c r="J329" s="157">
        <v>22</v>
      </c>
      <c r="K329" s="157">
        <v>30</v>
      </c>
      <c r="L329" s="157">
        <v>56</v>
      </c>
      <c r="M329" s="157">
        <v>90</v>
      </c>
      <c r="N329" s="157">
        <v>6</v>
      </c>
      <c r="O329" s="157"/>
      <c r="P329" s="157">
        <v>7</v>
      </c>
      <c r="Q329" s="157">
        <v>18</v>
      </c>
      <c r="R329" s="157">
        <v>12</v>
      </c>
      <c r="S329" s="157">
        <v>6</v>
      </c>
      <c r="T329" s="157">
        <v>11</v>
      </c>
      <c r="U329" s="157">
        <v>3</v>
      </c>
      <c r="V329" s="157">
        <v>1</v>
      </c>
      <c r="W329" s="157">
        <v>7</v>
      </c>
      <c r="X329" s="157">
        <v>2</v>
      </c>
      <c r="Y329" s="157">
        <f t="shared" si="5"/>
        <v>632</v>
      </c>
    </row>
    <row r="330" spans="1:25" x14ac:dyDescent="0.35">
      <c r="A330" s="157" t="s">
        <v>913</v>
      </c>
      <c r="B330" s="157" t="s">
        <v>914</v>
      </c>
      <c r="C330" s="157">
        <v>4</v>
      </c>
      <c r="D330" s="157">
        <v>10</v>
      </c>
      <c r="E330" s="157">
        <v>35</v>
      </c>
      <c r="F330" s="157">
        <v>13</v>
      </c>
      <c r="G330" s="157">
        <v>3</v>
      </c>
      <c r="H330" s="157">
        <v>2</v>
      </c>
      <c r="I330" s="157">
        <v>91</v>
      </c>
      <c r="J330" s="157">
        <v>14</v>
      </c>
      <c r="K330" s="157">
        <v>13</v>
      </c>
      <c r="L330" s="157">
        <v>31</v>
      </c>
      <c r="M330" s="157">
        <v>38</v>
      </c>
      <c r="N330" s="157">
        <v>6</v>
      </c>
      <c r="O330" s="157"/>
      <c r="P330" s="157">
        <v>2</v>
      </c>
      <c r="Q330" s="157">
        <v>9</v>
      </c>
      <c r="R330" s="157">
        <v>10</v>
      </c>
      <c r="S330" s="157">
        <v>4</v>
      </c>
      <c r="T330" s="157">
        <v>4</v>
      </c>
      <c r="U330" s="157">
        <v>4</v>
      </c>
      <c r="V330" s="157">
        <v>3</v>
      </c>
      <c r="W330" s="157">
        <v>6</v>
      </c>
      <c r="X330" s="157">
        <v>2</v>
      </c>
      <c r="Y330" s="157">
        <f t="shared" si="5"/>
        <v>304</v>
      </c>
    </row>
    <row r="331" spans="1:25" x14ac:dyDescent="0.35">
      <c r="A331" s="157" t="s">
        <v>915</v>
      </c>
      <c r="B331" s="157" t="s">
        <v>916</v>
      </c>
      <c r="C331" s="157">
        <v>1</v>
      </c>
      <c r="D331" s="157">
        <v>9</v>
      </c>
      <c r="E331" s="157">
        <v>31</v>
      </c>
      <c r="F331" s="157">
        <v>13</v>
      </c>
      <c r="G331" s="157">
        <v>2</v>
      </c>
      <c r="H331" s="157">
        <v>5</v>
      </c>
      <c r="I331" s="157">
        <v>75</v>
      </c>
      <c r="J331" s="157">
        <v>12</v>
      </c>
      <c r="K331" s="157">
        <v>16</v>
      </c>
      <c r="L331" s="157">
        <v>27</v>
      </c>
      <c r="M331" s="157">
        <v>44</v>
      </c>
      <c r="N331" s="157">
        <v>2</v>
      </c>
      <c r="O331" s="157"/>
      <c r="P331" s="157"/>
      <c r="Q331" s="157">
        <v>11</v>
      </c>
      <c r="R331" s="157">
        <v>2</v>
      </c>
      <c r="S331" s="157">
        <v>4</v>
      </c>
      <c r="T331" s="157">
        <v>2</v>
      </c>
      <c r="U331" s="157"/>
      <c r="V331" s="157">
        <v>2</v>
      </c>
      <c r="W331" s="157">
        <v>6</v>
      </c>
      <c r="X331" s="157"/>
      <c r="Y331" s="157">
        <f t="shared" si="5"/>
        <v>264</v>
      </c>
    </row>
    <row r="332" spans="1:25" x14ac:dyDescent="0.35">
      <c r="A332" s="157" t="s">
        <v>917</v>
      </c>
      <c r="B332" s="157" t="s">
        <v>918</v>
      </c>
      <c r="C332" s="157"/>
      <c r="D332" s="157">
        <v>3</v>
      </c>
      <c r="E332" s="157">
        <v>9</v>
      </c>
      <c r="F332" s="157">
        <v>6</v>
      </c>
      <c r="G332" s="157">
        <v>3</v>
      </c>
      <c r="H332" s="157">
        <v>1</v>
      </c>
      <c r="I332" s="157">
        <v>32</v>
      </c>
      <c r="J332" s="157">
        <v>4</v>
      </c>
      <c r="K332" s="157">
        <v>11</v>
      </c>
      <c r="L332" s="157">
        <v>9</v>
      </c>
      <c r="M332" s="157">
        <v>13</v>
      </c>
      <c r="N332" s="157">
        <v>1</v>
      </c>
      <c r="O332" s="157"/>
      <c r="P332" s="157">
        <v>3</v>
      </c>
      <c r="Q332" s="157">
        <v>4</v>
      </c>
      <c r="R332" s="157">
        <v>5</v>
      </c>
      <c r="S332" s="157">
        <v>2</v>
      </c>
      <c r="T332" s="157">
        <v>1</v>
      </c>
      <c r="U332" s="157">
        <v>2</v>
      </c>
      <c r="V332" s="157">
        <v>3</v>
      </c>
      <c r="W332" s="157"/>
      <c r="X332" s="157"/>
      <c r="Y332" s="157">
        <f t="shared" si="5"/>
        <v>112</v>
      </c>
    </row>
    <row r="333" spans="1:25" x14ac:dyDescent="0.35">
      <c r="A333" s="157" t="s">
        <v>919</v>
      </c>
      <c r="B333" s="157" t="s">
        <v>920</v>
      </c>
      <c r="C333" s="157"/>
      <c r="D333" s="157"/>
      <c r="E333" s="157"/>
      <c r="F333" s="157"/>
      <c r="G333" s="157"/>
      <c r="H333" s="157"/>
      <c r="I333" s="157">
        <v>3</v>
      </c>
      <c r="J333" s="157"/>
      <c r="K333" s="157"/>
      <c r="L333" s="157"/>
      <c r="M333" s="157">
        <v>4</v>
      </c>
      <c r="N333" s="157">
        <v>1</v>
      </c>
      <c r="O333" s="157"/>
      <c r="P333" s="157"/>
      <c r="Q333" s="157"/>
      <c r="R333" s="157">
        <v>1</v>
      </c>
      <c r="S333" s="157"/>
      <c r="T333" s="157"/>
      <c r="U333" s="157"/>
      <c r="V333" s="157"/>
      <c r="W333" s="157"/>
      <c r="X333" s="157"/>
      <c r="Y333" s="157">
        <f t="shared" si="5"/>
        <v>9</v>
      </c>
    </row>
    <row r="334" spans="1:25" x14ac:dyDescent="0.35">
      <c r="A334" s="157" t="s">
        <v>921</v>
      </c>
      <c r="B334" s="157" t="s">
        <v>1251</v>
      </c>
      <c r="C334" s="157"/>
      <c r="D334" s="157"/>
      <c r="E334" s="157">
        <v>8</v>
      </c>
      <c r="F334" s="157">
        <v>1</v>
      </c>
      <c r="G334" s="157">
        <v>2</v>
      </c>
      <c r="H334" s="157"/>
      <c r="I334" s="157">
        <v>26</v>
      </c>
      <c r="J334" s="157">
        <v>2</v>
      </c>
      <c r="K334" s="157">
        <v>3</v>
      </c>
      <c r="L334" s="157">
        <v>5</v>
      </c>
      <c r="M334" s="157">
        <v>8</v>
      </c>
      <c r="N334" s="157"/>
      <c r="O334" s="157"/>
      <c r="P334" s="157">
        <v>1</v>
      </c>
      <c r="Q334" s="157">
        <v>1</v>
      </c>
      <c r="R334" s="157"/>
      <c r="S334" s="157"/>
      <c r="T334" s="157">
        <v>1</v>
      </c>
      <c r="U334" s="157"/>
      <c r="V334" s="157">
        <v>1</v>
      </c>
      <c r="W334" s="157">
        <v>2</v>
      </c>
      <c r="X334" s="157">
        <v>1</v>
      </c>
      <c r="Y334" s="157">
        <f t="shared" si="5"/>
        <v>62</v>
      </c>
    </row>
    <row r="335" spans="1:25" x14ac:dyDescent="0.35">
      <c r="A335" s="157" t="s">
        <v>922</v>
      </c>
      <c r="B335" s="157" t="s">
        <v>923</v>
      </c>
      <c r="C335" s="157"/>
      <c r="D335" s="157"/>
      <c r="E335" s="157"/>
      <c r="F335" s="157"/>
      <c r="G335" s="157"/>
      <c r="H335" s="157"/>
      <c r="I335" s="157">
        <v>2</v>
      </c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>
        <f t="shared" si="5"/>
        <v>2</v>
      </c>
    </row>
    <row r="336" spans="1:25" x14ac:dyDescent="0.35">
      <c r="A336" s="157" t="s">
        <v>924</v>
      </c>
      <c r="B336" s="157" t="s">
        <v>925</v>
      </c>
      <c r="C336" s="157"/>
      <c r="D336" s="157"/>
      <c r="E336" s="157"/>
      <c r="F336" s="157">
        <v>1</v>
      </c>
      <c r="G336" s="157"/>
      <c r="H336" s="157"/>
      <c r="I336" s="157">
        <v>1</v>
      </c>
      <c r="J336" s="157">
        <v>1</v>
      </c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>
        <f t="shared" si="5"/>
        <v>3</v>
      </c>
    </row>
    <row r="337" spans="1:25" x14ac:dyDescent="0.35">
      <c r="A337" s="157" t="s">
        <v>926</v>
      </c>
      <c r="B337" s="157" t="s">
        <v>927</v>
      </c>
      <c r="C337" s="157"/>
      <c r="D337" s="157"/>
      <c r="E337" s="157">
        <v>3</v>
      </c>
      <c r="F337" s="157"/>
      <c r="G337" s="157"/>
      <c r="H337" s="157"/>
      <c r="I337" s="157">
        <v>3</v>
      </c>
      <c r="J337" s="157">
        <v>1</v>
      </c>
      <c r="K337" s="157"/>
      <c r="L337" s="157"/>
      <c r="M337" s="157">
        <v>2</v>
      </c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>
        <f t="shared" si="5"/>
        <v>9</v>
      </c>
    </row>
    <row r="338" spans="1:25" x14ac:dyDescent="0.35">
      <c r="A338" s="157" t="s">
        <v>928</v>
      </c>
      <c r="B338" s="157" t="s">
        <v>929</v>
      </c>
      <c r="C338" s="157"/>
      <c r="D338" s="157"/>
      <c r="E338" s="157"/>
      <c r="F338" s="157"/>
      <c r="G338" s="157"/>
      <c r="H338" s="157"/>
      <c r="I338" s="157">
        <v>4</v>
      </c>
      <c r="J338" s="157"/>
      <c r="K338" s="157"/>
      <c r="L338" s="157">
        <v>1</v>
      </c>
      <c r="M338" s="157">
        <v>2</v>
      </c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>
        <f t="shared" si="5"/>
        <v>7</v>
      </c>
    </row>
    <row r="339" spans="1:25" x14ac:dyDescent="0.35">
      <c r="A339" s="157" t="s">
        <v>930</v>
      </c>
      <c r="B339" s="157" t="s">
        <v>931</v>
      </c>
      <c r="C339" s="157"/>
      <c r="D339" s="157"/>
      <c r="E339" s="157">
        <v>1</v>
      </c>
      <c r="F339" s="157">
        <v>2</v>
      </c>
      <c r="G339" s="157"/>
      <c r="H339" s="157">
        <v>1</v>
      </c>
      <c r="I339" s="157">
        <v>20</v>
      </c>
      <c r="J339" s="157">
        <v>1</v>
      </c>
      <c r="K339" s="157">
        <v>2</v>
      </c>
      <c r="L339" s="157">
        <v>7</v>
      </c>
      <c r="M339" s="157">
        <v>2</v>
      </c>
      <c r="N339" s="157"/>
      <c r="O339" s="157"/>
      <c r="P339" s="157"/>
      <c r="Q339" s="157">
        <v>1</v>
      </c>
      <c r="R339" s="157"/>
      <c r="S339" s="157"/>
      <c r="T339" s="157"/>
      <c r="U339" s="157"/>
      <c r="V339" s="157">
        <v>1</v>
      </c>
      <c r="W339" s="157">
        <v>1</v>
      </c>
      <c r="X339" s="157"/>
      <c r="Y339" s="157">
        <f t="shared" si="5"/>
        <v>39</v>
      </c>
    </row>
    <row r="340" spans="1:25" x14ac:dyDescent="0.35">
      <c r="A340" s="157" t="s">
        <v>932</v>
      </c>
      <c r="B340" s="157" t="s">
        <v>933</v>
      </c>
      <c r="C340" s="157">
        <v>2</v>
      </c>
      <c r="D340" s="157">
        <v>1</v>
      </c>
      <c r="E340" s="157">
        <v>5</v>
      </c>
      <c r="F340" s="157">
        <v>5</v>
      </c>
      <c r="G340" s="157">
        <v>2</v>
      </c>
      <c r="H340" s="157">
        <v>4</v>
      </c>
      <c r="I340" s="157">
        <v>137</v>
      </c>
      <c r="J340" s="157">
        <v>10</v>
      </c>
      <c r="K340" s="157">
        <v>1</v>
      </c>
      <c r="L340" s="157">
        <v>17</v>
      </c>
      <c r="M340" s="157">
        <v>9</v>
      </c>
      <c r="N340" s="157"/>
      <c r="O340" s="157"/>
      <c r="P340" s="157"/>
      <c r="Q340" s="157"/>
      <c r="R340" s="157">
        <v>2</v>
      </c>
      <c r="S340" s="157"/>
      <c r="T340" s="157"/>
      <c r="U340" s="157"/>
      <c r="V340" s="157">
        <v>2</v>
      </c>
      <c r="W340" s="157"/>
      <c r="X340" s="157">
        <v>1</v>
      </c>
      <c r="Y340" s="157">
        <f t="shared" si="5"/>
        <v>198</v>
      </c>
    </row>
    <row r="341" spans="1:25" x14ac:dyDescent="0.35">
      <c r="A341" s="157" t="s">
        <v>934</v>
      </c>
      <c r="B341" s="157" t="s">
        <v>935</v>
      </c>
      <c r="C341" s="157">
        <v>2</v>
      </c>
      <c r="D341" s="157"/>
      <c r="E341" s="157">
        <v>12</v>
      </c>
      <c r="F341" s="157">
        <v>4</v>
      </c>
      <c r="G341" s="157">
        <v>4</v>
      </c>
      <c r="H341" s="157"/>
      <c r="I341" s="157">
        <v>149</v>
      </c>
      <c r="J341" s="157">
        <v>11</v>
      </c>
      <c r="K341" s="157">
        <v>6</v>
      </c>
      <c r="L341" s="157">
        <v>53</v>
      </c>
      <c r="M341" s="157">
        <v>23</v>
      </c>
      <c r="N341" s="157"/>
      <c r="O341" s="157"/>
      <c r="P341" s="157">
        <v>4</v>
      </c>
      <c r="Q341" s="157">
        <v>5</v>
      </c>
      <c r="R341" s="157">
        <v>5</v>
      </c>
      <c r="S341" s="157">
        <v>1</v>
      </c>
      <c r="T341" s="157">
        <v>1</v>
      </c>
      <c r="U341" s="157">
        <v>1</v>
      </c>
      <c r="V341" s="157">
        <v>3</v>
      </c>
      <c r="W341" s="157">
        <v>3</v>
      </c>
      <c r="X341" s="157">
        <v>1</v>
      </c>
      <c r="Y341" s="157">
        <f t="shared" si="5"/>
        <v>288</v>
      </c>
    </row>
    <row r="342" spans="1:25" x14ac:dyDescent="0.35">
      <c r="A342" s="157" t="s">
        <v>936</v>
      </c>
      <c r="B342" s="157" t="s">
        <v>1252</v>
      </c>
      <c r="C342" s="157"/>
      <c r="D342" s="157">
        <v>1</v>
      </c>
      <c r="E342" s="157">
        <v>7</v>
      </c>
      <c r="F342" s="157">
        <v>2</v>
      </c>
      <c r="G342" s="157">
        <v>2</v>
      </c>
      <c r="H342" s="157"/>
      <c r="I342" s="157">
        <v>9</v>
      </c>
      <c r="J342" s="157">
        <v>2</v>
      </c>
      <c r="K342" s="157"/>
      <c r="L342" s="157">
        <v>5</v>
      </c>
      <c r="M342" s="157">
        <v>4</v>
      </c>
      <c r="N342" s="157"/>
      <c r="O342" s="157"/>
      <c r="P342" s="157"/>
      <c r="Q342" s="157">
        <v>1</v>
      </c>
      <c r="R342" s="157">
        <v>1</v>
      </c>
      <c r="S342" s="157"/>
      <c r="T342" s="157"/>
      <c r="U342" s="157"/>
      <c r="V342" s="157"/>
      <c r="W342" s="157"/>
      <c r="X342" s="157"/>
      <c r="Y342" s="157">
        <f t="shared" si="5"/>
        <v>34</v>
      </c>
    </row>
    <row r="343" spans="1:25" x14ac:dyDescent="0.35">
      <c r="A343" s="157" t="s">
        <v>937</v>
      </c>
      <c r="B343" s="157" t="s">
        <v>938</v>
      </c>
      <c r="C343" s="157"/>
      <c r="D343" s="157"/>
      <c r="E343" s="157">
        <v>1</v>
      </c>
      <c r="F343" s="157">
        <v>1</v>
      </c>
      <c r="G343" s="157"/>
      <c r="H343" s="157"/>
      <c r="I343" s="157">
        <v>4</v>
      </c>
      <c r="J343" s="157"/>
      <c r="K343" s="157"/>
      <c r="L343" s="157"/>
      <c r="M343" s="157">
        <v>1</v>
      </c>
      <c r="N343" s="157"/>
      <c r="O343" s="157"/>
      <c r="P343" s="157">
        <v>1</v>
      </c>
      <c r="Q343" s="157"/>
      <c r="R343" s="157"/>
      <c r="S343" s="157"/>
      <c r="T343" s="157"/>
      <c r="U343" s="157"/>
      <c r="V343" s="157"/>
      <c r="W343" s="157"/>
      <c r="X343" s="157"/>
      <c r="Y343" s="157">
        <f t="shared" si="5"/>
        <v>8</v>
      </c>
    </row>
    <row r="344" spans="1:25" x14ac:dyDescent="0.35">
      <c r="A344" s="157" t="s">
        <v>1199</v>
      </c>
      <c r="B344" s="157" t="s">
        <v>1253</v>
      </c>
      <c r="C344" s="157"/>
      <c r="D344" s="157"/>
      <c r="E344" s="157"/>
      <c r="F344" s="157"/>
      <c r="G344" s="157"/>
      <c r="H344" s="157"/>
      <c r="I344" s="157"/>
      <c r="J344" s="157"/>
      <c r="K344" s="157"/>
      <c r="L344" s="157">
        <v>1</v>
      </c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>
        <f t="shared" si="5"/>
        <v>1</v>
      </c>
    </row>
    <row r="345" spans="1:25" x14ac:dyDescent="0.35">
      <c r="A345" s="157" t="s">
        <v>940</v>
      </c>
      <c r="B345" s="157" t="s">
        <v>941</v>
      </c>
      <c r="C345" s="157"/>
      <c r="D345" s="157">
        <v>1</v>
      </c>
      <c r="E345" s="157"/>
      <c r="F345" s="157"/>
      <c r="G345" s="157">
        <v>1</v>
      </c>
      <c r="H345" s="157"/>
      <c r="I345" s="157"/>
      <c r="J345" s="157"/>
      <c r="K345" s="157"/>
      <c r="L345" s="157">
        <v>2</v>
      </c>
      <c r="M345" s="157">
        <v>1</v>
      </c>
      <c r="N345" s="157"/>
      <c r="O345" s="157"/>
      <c r="P345" s="157"/>
      <c r="Q345" s="157"/>
      <c r="R345" s="157"/>
      <c r="S345" s="157"/>
      <c r="T345" s="157"/>
      <c r="U345" s="157">
        <v>1</v>
      </c>
      <c r="V345" s="157"/>
      <c r="W345" s="157"/>
      <c r="X345" s="157"/>
      <c r="Y345" s="157">
        <f t="shared" si="5"/>
        <v>6</v>
      </c>
    </row>
    <row r="346" spans="1:25" x14ac:dyDescent="0.35">
      <c r="A346" s="157" t="s">
        <v>942</v>
      </c>
      <c r="B346" s="157" t="s">
        <v>1254</v>
      </c>
      <c r="C346" s="157"/>
      <c r="D346" s="157">
        <v>1</v>
      </c>
      <c r="E346" s="157"/>
      <c r="F346" s="157">
        <v>3</v>
      </c>
      <c r="G346" s="157">
        <v>1</v>
      </c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>
        <v>1</v>
      </c>
      <c r="X346" s="157"/>
      <c r="Y346" s="157">
        <f t="shared" si="5"/>
        <v>6</v>
      </c>
    </row>
    <row r="347" spans="1:25" x14ac:dyDescent="0.35">
      <c r="A347" s="157" t="s">
        <v>1379</v>
      </c>
      <c r="B347" s="157" t="s">
        <v>1380</v>
      </c>
      <c r="C347" s="157"/>
      <c r="D347" s="157"/>
      <c r="E347" s="157"/>
      <c r="F347" s="157"/>
      <c r="G347" s="157"/>
      <c r="H347" s="157"/>
      <c r="I347" s="157">
        <v>1</v>
      </c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>
        <f t="shared" si="5"/>
        <v>1</v>
      </c>
    </row>
    <row r="348" spans="1:25" x14ac:dyDescent="0.35">
      <c r="A348" s="157" t="s">
        <v>943</v>
      </c>
      <c r="B348" s="157" t="s">
        <v>1255</v>
      </c>
      <c r="C348" s="157"/>
      <c r="D348" s="157"/>
      <c r="E348" s="157"/>
      <c r="F348" s="157"/>
      <c r="G348" s="157"/>
      <c r="H348" s="157"/>
      <c r="I348" s="157">
        <v>1</v>
      </c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>
        <f t="shared" si="5"/>
        <v>1</v>
      </c>
    </row>
    <row r="349" spans="1:25" x14ac:dyDescent="0.35">
      <c r="A349" s="157" t="s">
        <v>944</v>
      </c>
      <c r="B349" s="157" t="s">
        <v>945</v>
      </c>
      <c r="C349" s="157"/>
      <c r="D349" s="157"/>
      <c r="E349" s="157">
        <v>1</v>
      </c>
      <c r="F349" s="157"/>
      <c r="G349" s="157"/>
      <c r="H349" s="157"/>
      <c r="I349" s="157"/>
      <c r="J349" s="157"/>
      <c r="K349" s="157"/>
      <c r="L349" s="157">
        <v>1</v>
      </c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>
        <f t="shared" si="5"/>
        <v>2</v>
      </c>
    </row>
    <row r="350" spans="1:25" x14ac:dyDescent="0.35">
      <c r="A350" s="157" t="s">
        <v>946</v>
      </c>
      <c r="B350" s="157" t="s">
        <v>947</v>
      </c>
      <c r="C350" s="157"/>
      <c r="D350" s="157"/>
      <c r="E350" s="157">
        <v>1</v>
      </c>
      <c r="F350" s="157">
        <v>1</v>
      </c>
      <c r="G350" s="157"/>
      <c r="H350" s="157"/>
      <c r="I350" s="157">
        <v>8</v>
      </c>
      <c r="J350" s="157"/>
      <c r="K350" s="157">
        <v>2</v>
      </c>
      <c r="L350" s="157">
        <v>3</v>
      </c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>
        <f t="shared" si="5"/>
        <v>15</v>
      </c>
    </row>
    <row r="351" spans="1:25" x14ac:dyDescent="0.35">
      <c r="A351" s="157" t="s">
        <v>948</v>
      </c>
      <c r="B351" s="157" t="s">
        <v>949</v>
      </c>
      <c r="C351" s="157">
        <v>3</v>
      </c>
      <c r="D351" s="157">
        <v>1</v>
      </c>
      <c r="E351" s="157">
        <v>11</v>
      </c>
      <c r="F351" s="157">
        <v>2</v>
      </c>
      <c r="G351" s="157"/>
      <c r="H351" s="157"/>
      <c r="I351" s="157">
        <v>73</v>
      </c>
      <c r="J351" s="157">
        <v>3</v>
      </c>
      <c r="K351" s="157">
        <v>1</v>
      </c>
      <c r="L351" s="157">
        <v>17</v>
      </c>
      <c r="M351" s="157">
        <v>8</v>
      </c>
      <c r="N351" s="157">
        <v>2</v>
      </c>
      <c r="O351" s="157"/>
      <c r="P351" s="157">
        <v>2</v>
      </c>
      <c r="Q351" s="157">
        <v>1</v>
      </c>
      <c r="R351" s="157"/>
      <c r="S351" s="157"/>
      <c r="T351" s="157"/>
      <c r="U351" s="157"/>
      <c r="V351" s="157">
        <v>1</v>
      </c>
      <c r="W351" s="157">
        <v>1</v>
      </c>
      <c r="X351" s="157"/>
      <c r="Y351" s="157">
        <f t="shared" si="5"/>
        <v>126</v>
      </c>
    </row>
    <row r="352" spans="1:25" x14ac:dyDescent="0.35">
      <c r="A352" s="157" t="s">
        <v>950</v>
      </c>
      <c r="B352" s="157" t="s">
        <v>1256</v>
      </c>
      <c r="C352" s="157"/>
      <c r="D352" s="157"/>
      <c r="E352" s="157"/>
      <c r="F352" s="157"/>
      <c r="G352" s="157"/>
      <c r="H352" s="157"/>
      <c r="I352" s="157">
        <v>2</v>
      </c>
      <c r="J352" s="157"/>
      <c r="K352" s="157"/>
      <c r="L352" s="157">
        <v>3</v>
      </c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>
        <f t="shared" si="5"/>
        <v>5</v>
      </c>
    </row>
    <row r="353" spans="1:25" x14ac:dyDescent="0.35">
      <c r="A353" s="157" t="s">
        <v>951</v>
      </c>
      <c r="B353" s="157" t="s">
        <v>952</v>
      </c>
      <c r="C353" s="157">
        <v>2</v>
      </c>
      <c r="D353" s="157">
        <v>3</v>
      </c>
      <c r="E353" s="157"/>
      <c r="F353" s="157">
        <v>2</v>
      </c>
      <c r="G353" s="157">
        <v>1</v>
      </c>
      <c r="H353" s="157"/>
      <c r="I353" s="157">
        <v>31</v>
      </c>
      <c r="J353" s="157"/>
      <c r="K353" s="157">
        <v>1</v>
      </c>
      <c r="L353" s="157">
        <v>18</v>
      </c>
      <c r="M353" s="157">
        <v>19</v>
      </c>
      <c r="N353" s="157"/>
      <c r="O353" s="157"/>
      <c r="P353" s="157">
        <v>2</v>
      </c>
      <c r="Q353" s="157"/>
      <c r="R353" s="157"/>
      <c r="S353" s="157"/>
      <c r="T353" s="157">
        <v>1</v>
      </c>
      <c r="U353" s="157">
        <v>2</v>
      </c>
      <c r="V353" s="157">
        <v>1</v>
      </c>
      <c r="W353" s="157"/>
      <c r="X353" s="157">
        <v>3</v>
      </c>
      <c r="Y353" s="157">
        <f t="shared" si="5"/>
        <v>86</v>
      </c>
    </row>
    <row r="354" spans="1:25" x14ac:dyDescent="0.35">
      <c r="A354" s="157" t="s">
        <v>953</v>
      </c>
      <c r="B354" s="157" t="s">
        <v>954</v>
      </c>
      <c r="C354" s="157">
        <v>2</v>
      </c>
      <c r="D354" s="157">
        <v>1</v>
      </c>
      <c r="E354" s="157">
        <v>8</v>
      </c>
      <c r="F354" s="157">
        <v>3</v>
      </c>
      <c r="G354" s="157"/>
      <c r="H354" s="157"/>
      <c r="I354" s="157">
        <v>69</v>
      </c>
      <c r="J354" s="157">
        <v>4</v>
      </c>
      <c r="K354" s="157">
        <v>1</v>
      </c>
      <c r="L354" s="157">
        <v>26</v>
      </c>
      <c r="M354" s="157">
        <v>11</v>
      </c>
      <c r="N354" s="157"/>
      <c r="O354" s="157"/>
      <c r="P354" s="157">
        <v>2</v>
      </c>
      <c r="Q354" s="157">
        <v>1</v>
      </c>
      <c r="R354" s="157">
        <v>1</v>
      </c>
      <c r="S354" s="157"/>
      <c r="T354" s="157">
        <v>1</v>
      </c>
      <c r="U354" s="157"/>
      <c r="V354" s="157"/>
      <c r="W354" s="157">
        <v>1</v>
      </c>
      <c r="X354" s="157"/>
      <c r="Y354" s="157">
        <f t="shared" si="5"/>
        <v>131</v>
      </c>
    </row>
    <row r="355" spans="1:25" x14ac:dyDescent="0.35">
      <c r="A355" s="157" t="s">
        <v>955</v>
      </c>
      <c r="B355" s="157" t="s">
        <v>956</v>
      </c>
      <c r="C355" s="157">
        <v>16</v>
      </c>
      <c r="D355" s="157">
        <v>17</v>
      </c>
      <c r="E355" s="157">
        <v>126</v>
      </c>
      <c r="F355" s="157">
        <v>44</v>
      </c>
      <c r="G355" s="157">
        <v>28</v>
      </c>
      <c r="H355" s="157">
        <v>10</v>
      </c>
      <c r="I355" s="157">
        <v>383</v>
      </c>
      <c r="J355" s="157">
        <v>37</v>
      </c>
      <c r="K355" s="157">
        <v>62</v>
      </c>
      <c r="L355" s="157">
        <v>106</v>
      </c>
      <c r="M355" s="157">
        <v>154</v>
      </c>
      <c r="N355" s="157">
        <v>7</v>
      </c>
      <c r="O355" s="157"/>
      <c r="P355" s="157">
        <v>7</v>
      </c>
      <c r="Q355" s="157">
        <v>27</v>
      </c>
      <c r="R355" s="157">
        <v>21</v>
      </c>
      <c r="S355" s="157">
        <v>6</v>
      </c>
      <c r="T355" s="157">
        <v>15</v>
      </c>
      <c r="U355" s="157">
        <v>2</v>
      </c>
      <c r="V355" s="157">
        <v>9</v>
      </c>
      <c r="W355" s="157">
        <v>12</v>
      </c>
      <c r="X355" s="157">
        <v>5</v>
      </c>
      <c r="Y355" s="157">
        <f t="shared" si="5"/>
        <v>1094</v>
      </c>
    </row>
    <row r="356" spans="1:25" x14ac:dyDescent="0.35">
      <c r="A356" s="157" t="s">
        <v>957</v>
      </c>
      <c r="B356" s="157" t="s">
        <v>958</v>
      </c>
      <c r="C356" s="157">
        <v>1</v>
      </c>
      <c r="D356" s="157"/>
      <c r="E356" s="157">
        <v>6</v>
      </c>
      <c r="F356" s="157"/>
      <c r="G356" s="157"/>
      <c r="H356" s="157"/>
      <c r="I356" s="157">
        <v>8</v>
      </c>
      <c r="J356" s="157">
        <v>2</v>
      </c>
      <c r="K356" s="157"/>
      <c r="L356" s="157">
        <v>3</v>
      </c>
      <c r="M356" s="157">
        <v>2</v>
      </c>
      <c r="N356" s="157"/>
      <c r="O356" s="157"/>
      <c r="P356" s="157"/>
      <c r="Q356" s="157">
        <v>1</v>
      </c>
      <c r="R356" s="157">
        <v>1</v>
      </c>
      <c r="S356" s="157"/>
      <c r="T356" s="157">
        <v>2</v>
      </c>
      <c r="U356" s="157"/>
      <c r="V356" s="157"/>
      <c r="W356" s="157">
        <v>2</v>
      </c>
      <c r="X356" s="157"/>
      <c r="Y356" s="157">
        <f t="shared" si="5"/>
        <v>28</v>
      </c>
    </row>
    <row r="357" spans="1:25" x14ac:dyDescent="0.35">
      <c r="A357" s="157" t="s">
        <v>959</v>
      </c>
      <c r="B357" s="157" t="s">
        <v>960</v>
      </c>
      <c r="C357" s="157"/>
      <c r="D357" s="157"/>
      <c r="E357" s="157"/>
      <c r="F357" s="157"/>
      <c r="G357" s="157"/>
      <c r="H357" s="157"/>
      <c r="I357" s="157">
        <v>4</v>
      </c>
      <c r="J357" s="157"/>
      <c r="K357" s="157"/>
      <c r="L357" s="157"/>
      <c r="M357" s="157">
        <v>1</v>
      </c>
      <c r="N357" s="157"/>
      <c r="O357" s="157"/>
      <c r="P357" s="157"/>
      <c r="Q357" s="157">
        <v>1</v>
      </c>
      <c r="R357" s="157"/>
      <c r="S357" s="157"/>
      <c r="T357" s="157"/>
      <c r="U357" s="157"/>
      <c r="V357" s="157"/>
      <c r="W357" s="157"/>
      <c r="X357" s="157"/>
      <c r="Y357" s="157">
        <f t="shared" si="5"/>
        <v>6</v>
      </c>
    </row>
    <row r="358" spans="1:25" x14ac:dyDescent="0.35">
      <c r="A358" s="157" t="s">
        <v>961</v>
      </c>
      <c r="B358" s="157" t="s">
        <v>962</v>
      </c>
      <c r="C358" s="157">
        <v>57</v>
      </c>
      <c r="D358" s="157">
        <v>52</v>
      </c>
      <c r="E358" s="157">
        <v>537</v>
      </c>
      <c r="F358" s="157">
        <v>175</v>
      </c>
      <c r="G358" s="157">
        <v>111</v>
      </c>
      <c r="H358" s="157">
        <v>22</v>
      </c>
      <c r="I358" s="162">
        <v>4003</v>
      </c>
      <c r="J358" s="157">
        <v>367</v>
      </c>
      <c r="K358" s="157">
        <v>161</v>
      </c>
      <c r="L358" s="162">
        <v>1069</v>
      </c>
      <c r="M358" s="157">
        <v>718</v>
      </c>
      <c r="N358" s="157">
        <v>42</v>
      </c>
      <c r="O358" s="157">
        <v>3</v>
      </c>
      <c r="P358" s="157">
        <v>44</v>
      </c>
      <c r="Q358" s="157">
        <v>80</v>
      </c>
      <c r="R358" s="157">
        <v>53</v>
      </c>
      <c r="S358" s="157">
        <v>32</v>
      </c>
      <c r="T358" s="157">
        <v>32</v>
      </c>
      <c r="U358" s="157">
        <v>21</v>
      </c>
      <c r="V358" s="157">
        <v>135</v>
      </c>
      <c r="W358" s="157">
        <v>53</v>
      </c>
      <c r="X358" s="157">
        <v>60</v>
      </c>
      <c r="Y358" s="157">
        <f t="shared" si="5"/>
        <v>7827</v>
      </c>
    </row>
    <row r="359" spans="1:25" x14ac:dyDescent="0.35">
      <c r="A359" s="157" t="s">
        <v>963</v>
      </c>
      <c r="B359" s="157" t="s">
        <v>1257</v>
      </c>
      <c r="C359" s="157">
        <v>11</v>
      </c>
      <c r="D359" s="157">
        <v>12</v>
      </c>
      <c r="E359" s="157">
        <v>119</v>
      </c>
      <c r="F359" s="157">
        <v>40</v>
      </c>
      <c r="G359" s="157">
        <v>14</v>
      </c>
      <c r="H359" s="157">
        <v>5</v>
      </c>
      <c r="I359" s="157">
        <v>516</v>
      </c>
      <c r="J359" s="157">
        <v>30</v>
      </c>
      <c r="K359" s="157">
        <v>50</v>
      </c>
      <c r="L359" s="157">
        <v>153</v>
      </c>
      <c r="M359" s="157">
        <v>168</v>
      </c>
      <c r="N359" s="157">
        <v>15</v>
      </c>
      <c r="O359" s="157"/>
      <c r="P359" s="157">
        <v>6</v>
      </c>
      <c r="Q359" s="157">
        <v>20</v>
      </c>
      <c r="R359" s="157">
        <v>21</v>
      </c>
      <c r="S359" s="157">
        <v>8</v>
      </c>
      <c r="T359" s="157">
        <v>9</v>
      </c>
      <c r="U359" s="157">
        <v>3</v>
      </c>
      <c r="V359" s="157">
        <v>28</v>
      </c>
      <c r="W359" s="157">
        <v>8</v>
      </c>
      <c r="X359" s="157">
        <v>11</v>
      </c>
      <c r="Y359" s="157">
        <f t="shared" si="5"/>
        <v>1247</v>
      </c>
    </row>
    <row r="360" spans="1:25" x14ac:dyDescent="0.35">
      <c r="A360" s="157" t="s">
        <v>964</v>
      </c>
      <c r="B360" s="157" t="s">
        <v>965</v>
      </c>
      <c r="C360" s="157">
        <v>14</v>
      </c>
      <c r="D360" s="157">
        <v>13</v>
      </c>
      <c r="E360" s="157">
        <v>95</v>
      </c>
      <c r="F360" s="157">
        <v>36</v>
      </c>
      <c r="G360" s="157">
        <v>17</v>
      </c>
      <c r="H360" s="157">
        <v>9</v>
      </c>
      <c r="I360" s="157">
        <v>521</v>
      </c>
      <c r="J360" s="157">
        <v>42</v>
      </c>
      <c r="K360" s="157">
        <v>38</v>
      </c>
      <c r="L360" s="157">
        <v>285</v>
      </c>
      <c r="M360" s="157">
        <v>178</v>
      </c>
      <c r="N360" s="157">
        <v>11</v>
      </c>
      <c r="O360" s="157"/>
      <c r="P360" s="157">
        <v>4</v>
      </c>
      <c r="Q360" s="157">
        <v>25</v>
      </c>
      <c r="R360" s="157">
        <v>12</v>
      </c>
      <c r="S360" s="157">
        <v>7</v>
      </c>
      <c r="T360" s="157">
        <v>13</v>
      </c>
      <c r="U360" s="157">
        <v>7</v>
      </c>
      <c r="V360" s="157">
        <v>12</v>
      </c>
      <c r="W360" s="157">
        <v>12</v>
      </c>
      <c r="X360" s="157">
        <v>4</v>
      </c>
      <c r="Y360" s="157">
        <f t="shared" si="5"/>
        <v>1355</v>
      </c>
    </row>
    <row r="361" spans="1:25" x14ac:dyDescent="0.35">
      <c r="A361" s="157" t="s">
        <v>966</v>
      </c>
      <c r="B361" s="157" t="s">
        <v>967</v>
      </c>
      <c r="C361" s="157">
        <v>11</v>
      </c>
      <c r="D361" s="157">
        <v>11</v>
      </c>
      <c r="E361" s="157">
        <v>57</v>
      </c>
      <c r="F361" s="157">
        <v>16</v>
      </c>
      <c r="G361" s="157">
        <v>13</v>
      </c>
      <c r="H361" s="157">
        <v>8</v>
      </c>
      <c r="I361" s="157">
        <v>143</v>
      </c>
      <c r="J361" s="157">
        <v>16</v>
      </c>
      <c r="K361" s="157">
        <v>31</v>
      </c>
      <c r="L361" s="157">
        <v>82</v>
      </c>
      <c r="M361" s="157">
        <v>63</v>
      </c>
      <c r="N361" s="157">
        <v>7</v>
      </c>
      <c r="O361" s="157"/>
      <c r="P361" s="157">
        <v>4</v>
      </c>
      <c r="Q361" s="157">
        <v>11</v>
      </c>
      <c r="R361" s="157">
        <v>5</v>
      </c>
      <c r="S361" s="157">
        <v>4</v>
      </c>
      <c r="T361" s="157">
        <v>6</v>
      </c>
      <c r="U361" s="157">
        <v>1</v>
      </c>
      <c r="V361" s="157">
        <v>5</v>
      </c>
      <c r="W361" s="157">
        <v>10</v>
      </c>
      <c r="X361" s="157">
        <v>5</v>
      </c>
      <c r="Y361" s="157">
        <f t="shared" si="5"/>
        <v>509</v>
      </c>
    </row>
    <row r="362" spans="1:25" x14ac:dyDescent="0.35">
      <c r="A362" s="157" t="s">
        <v>968</v>
      </c>
      <c r="B362" s="157" t="s">
        <v>969</v>
      </c>
      <c r="C362" s="157">
        <v>25</v>
      </c>
      <c r="D362" s="157">
        <v>9</v>
      </c>
      <c r="E362" s="157">
        <v>133</v>
      </c>
      <c r="F362" s="157">
        <v>42</v>
      </c>
      <c r="G362" s="157">
        <v>25</v>
      </c>
      <c r="H362" s="157">
        <v>8</v>
      </c>
      <c r="I362" s="162">
        <v>1225</v>
      </c>
      <c r="J362" s="157">
        <v>117</v>
      </c>
      <c r="K362" s="157">
        <v>33</v>
      </c>
      <c r="L362" s="157">
        <v>224</v>
      </c>
      <c r="M362" s="157">
        <v>137</v>
      </c>
      <c r="N362" s="157">
        <v>11</v>
      </c>
      <c r="O362" s="157"/>
      <c r="P362" s="157">
        <v>24</v>
      </c>
      <c r="Q362" s="157">
        <v>31</v>
      </c>
      <c r="R362" s="157">
        <v>13</v>
      </c>
      <c r="S362" s="157">
        <v>5</v>
      </c>
      <c r="T362" s="157">
        <v>11</v>
      </c>
      <c r="U362" s="157">
        <v>3</v>
      </c>
      <c r="V362" s="157">
        <v>52</v>
      </c>
      <c r="W362" s="157">
        <v>14</v>
      </c>
      <c r="X362" s="157">
        <v>11</v>
      </c>
      <c r="Y362" s="157">
        <f t="shared" si="5"/>
        <v>2153</v>
      </c>
    </row>
    <row r="363" spans="1:25" x14ac:dyDescent="0.35">
      <c r="A363" s="157" t="s">
        <v>970</v>
      </c>
      <c r="B363" s="157" t="s">
        <v>1258</v>
      </c>
      <c r="C363" s="157">
        <v>31</v>
      </c>
      <c r="D363" s="157">
        <v>31</v>
      </c>
      <c r="E363" s="157">
        <v>242</v>
      </c>
      <c r="F363" s="157">
        <v>90</v>
      </c>
      <c r="G363" s="157">
        <v>39</v>
      </c>
      <c r="H363" s="157">
        <v>22</v>
      </c>
      <c r="I363" s="162">
        <v>1005</v>
      </c>
      <c r="J363" s="157">
        <v>99</v>
      </c>
      <c r="K363" s="157">
        <v>107</v>
      </c>
      <c r="L363" s="157">
        <v>261</v>
      </c>
      <c r="M363" s="157">
        <v>227</v>
      </c>
      <c r="N363" s="157">
        <v>25</v>
      </c>
      <c r="O363" s="157">
        <v>1</v>
      </c>
      <c r="P363" s="157">
        <v>19</v>
      </c>
      <c r="Q363" s="157">
        <v>55</v>
      </c>
      <c r="R363" s="157">
        <v>41</v>
      </c>
      <c r="S363" s="157">
        <v>10</v>
      </c>
      <c r="T363" s="157">
        <v>33</v>
      </c>
      <c r="U363" s="157">
        <v>7</v>
      </c>
      <c r="V363" s="157">
        <v>30</v>
      </c>
      <c r="W363" s="157">
        <v>37</v>
      </c>
      <c r="X363" s="157">
        <v>17</v>
      </c>
      <c r="Y363" s="157">
        <f t="shared" si="5"/>
        <v>2429</v>
      </c>
    </row>
    <row r="364" spans="1:25" x14ac:dyDescent="0.35">
      <c r="A364" s="157" t="s">
        <v>1200</v>
      </c>
      <c r="B364" s="157" t="s">
        <v>1259</v>
      </c>
      <c r="C364" s="157">
        <v>9</v>
      </c>
      <c r="D364" s="157">
        <v>9</v>
      </c>
      <c r="E364" s="157">
        <v>52</v>
      </c>
      <c r="F364" s="157">
        <v>19</v>
      </c>
      <c r="G364" s="157">
        <v>6</v>
      </c>
      <c r="H364" s="157">
        <v>1</v>
      </c>
      <c r="I364" s="157">
        <v>218</v>
      </c>
      <c r="J364" s="157">
        <v>15</v>
      </c>
      <c r="K364" s="157">
        <v>18</v>
      </c>
      <c r="L364" s="157">
        <v>39</v>
      </c>
      <c r="M364" s="157">
        <v>67</v>
      </c>
      <c r="N364" s="157">
        <v>5</v>
      </c>
      <c r="O364" s="157"/>
      <c r="P364" s="157">
        <v>3</v>
      </c>
      <c r="Q364" s="157">
        <v>21</v>
      </c>
      <c r="R364" s="157">
        <v>9</v>
      </c>
      <c r="S364" s="157">
        <v>4</v>
      </c>
      <c r="T364" s="157">
        <v>5</v>
      </c>
      <c r="U364" s="157">
        <v>2</v>
      </c>
      <c r="V364" s="157">
        <v>10</v>
      </c>
      <c r="W364" s="157">
        <v>9</v>
      </c>
      <c r="X364" s="157">
        <v>3</v>
      </c>
      <c r="Y364" s="157">
        <f t="shared" si="5"/>
        <v>524</v>
      </c>
    </row>
    <row r="365" spans="1:25" x14ac:dyDescent="0.35">
      <c r="A365" s="157" t="s">
        <v>1201</v>
      </c>
      <c r="B365" s="157" t="s">
        <v>1260</v>
      </c>
      <c r="C365" s="157">
        <v>18</v>
      </c>
      <c r="D365" s="157">
        <v>17</v>
      </c>
      <c r="E365" s="157">
        <v>158</v>
      </c>
      <c r="F365" s="157">
        <v>31</v>
      </c>
      <c r="G365" s="157">
        <v>22</v>
      </c>
      <c r="H365" s="157">
        <v>9</v>
      </c>
      <c r="I365" s="157">
        <v>303</v>
      </c>
      <c r="J365" s="157">
        <v>58</v>
      </c>
      <c r="K365" s="157">
        <v>88</v>
      </c>
      <c r="L365" s="157">
        <v>134</v>
      </c>
      <c r="M365" s="157">
        <v>153</v>
      </c>
      <c r="N365" s="157">
        <v>24</v>
      </c>
      <c r="O365" s="157"/>
      <c r="P365" s="157">
        <v>12</v>
      </c>
      <c r="Q365" s="157">
        <v>55</v>
      </c>
      <c r="R365" s="157">
        <v>13</v>
      </c>
      <c r="S365" s="157">
        <v>15</v>
      </c>
      <c r="T365" s="157">
        <v>26</v>
      </c>
      <c r="U365" s="157">
        <v>7</v>
      </c>
      <c r="V365" s="157">
        <v>9</v>
      </c>
      <c r="W365" s="157">
        <v>20</v>
      </c>
      <c r="X365" s="157">
        <v>5</v>
      </c>
      <c r="Y365" s="157">
        <f t="shared" si="5"/>
        <v>1177</v>
      </c>
    </row>
    <row r="366" spans="1:25" x14ac:dyDescent="0.35">
      <c r="A366" s="157" t="s">
        <v>971</v>
      </c>
      <c r="B366" s="157" t="s">
        <v>972</v>
      </c>
      <c r="C366" s="157">
        <v>2</v>
      </c>
      <c r="D366" s="157">
        <v>7</v>
      </c>
      <c r="E366" s="157">
        <v>17</v>
      </c>
      <c r="F366" s="157">
        <v>5</v>
      </c>
      <c r="G366" s="157">
        <v>8</v>
      </c>
      <c r="H366" s="157"/>
      <c r="I366" s="157">
        <v>19</v>
      </c>
      <c r="J366" s="157">
        <v>15</v>
      </c>
      <c r="K366" s="157">
        <v>6</v>
      </c>
      <c r="L366" s="157">
        <v>23</v>
      </c>
      <c r="M366" s="157">
        <v>18</v>
      </c>
      <c r="N366" s="157">
        <v>1</v>
      </c>
      <c r="O366" s="157"/>
      <c r="P366" s="157">
        <v>1</v>
      </c>
      <c r="Q366" s="157">
        <v>6</v>
      </c>
      <c r="R366" s="157"/>
      <c r="S366" s="157"/>
      <c r="T366" s="157">
        <v>2</v>
      </c>
      <c r="U366" s="157">
        <v>1</v>
      </c>
      <c r="V366" s="157">
        <v>1</v>
      </c>
      <c r="W366" s="157">
        <v>1</v>
      </c>
      <c r="X366" s="157">
        <v>1</v>
      </c>
      <c r="Y366" s="157">
        <f t="shared" si="5"/>
        <v>134</v>
      </c>
    </row>
    <row r="367" spans="1:25" x14ac:dyDescent="0.35">
      <c r="A367" s="157" t="s">
        <v>973</v>
      </c>
      <c r="B367" s="157" t="s">
        <v>1261</v>
      </c>
      <c r="C367" s="157"/>
      <c r="D367" s="157">
        <v>3</v>
      </c>
      <c r="E367" s="157">
        <v>9</v>
      </c>
      <c r="F367" s="157">
        <v>3</v>
      </c>
      <c r="G367" s="157">
        <v>3</v>
      </c>
      <c r="H367" s="157">
        <v>2</v>
      </c>
      <c r="I367" s="157">
        <v>18</v>
      </c>
      <c r="J367" s="157">
        <v>3</v>
      </c>
      <c r="K367" s="157">
        <v>8</v>
      </c>
      <c r="L367" s="157">
        <v>8</v>
      </c>
      <c r="M367" s="157">
        <v>10</v>
      </c>
      <c r="N367" s="157">
        <v>1</v>
      </c>
      <c r="O367" s="157"/>
      <c r="P367" s="157">
        <v>1</v>
      </c>
      <c r="Q367" s="157">
        <v>3</v>
      </c>
      <c r="R367" s="157">
        <v>3</v>
      </c>
      <c r="S367" s="157"/>
      <c r="T367" s="157">
        <v>2</v>
      </c>
      <c r="U367" s="157"/>
      <c r="V367" s="157">
        <v>1</v>
      </c>
      <c r="W367" s="157">
        <v>1</v>
      </c>
      <c r="X367" s="157">
        <v>1</v>
      </c>
      <c r="Y367" s="157">
        <f t="shared" si="5"/>
        <v>80</v>
      </c>
    </row>
    <row r="368" spans="1:25" x14ac:dyDescent="0.35">
      <c r="A368" s="157" t="s">
        <v>974</v>
      </c>
      <c r="B368" s="157" t="s">
        <v>975</v>
      </c>
      <c r="C368" s="157">
        <v>1</v>
      </c>
      <c r="D368" s="157">
        <v>1</v>
      </c>
      <c r="E368" s="157">
        <v>4</v>
      </c>
      <c r="F368" s="157">
        <v>3</v>
      </c>
      <c r="G368" s="157">
        <v>2</v>
      </c>
      <c r="H368" s="157">
        <v>1</v>
      </c>
      <c r="I368" s="157">
        <v>21</v>
      </c>
      <c r="J368" s="157">
        <v>1</v>
      </c>
      <c r="K368" s="157">
        <v>2</v>
      </c>
      <c r="L368" s="157">
        <v>7</v>
      </c>
      <c r="M368" s="157">
        <v>6</v>
      </c>
      <c r="N368" s="157">
        <v>1</v>
      </c>
      <c r="O368" s="157"/>
      <c r="P368" s="157"/>
      <c r="Q368" s="157">
        <v>3</v>
      </c>
      <c r="R368" s="157"/>
      <c r="S368" s="157"/>
      <c r="T368" s="157">
        <v>2</v>
      </c>
      <c r="U368" s="157"/>
      <c r="V368" s="157"/>
      <c r="W368" s="157"/>
      <c r="X368" s="157">
        <v>1</v>
      </c>
      <c r="Y368" s="157">
        <f t="shared" si="5"/>
        <v>56</v>
      </c>
    </row>
    <row r="369" spans="1:25" x14ac:dyDescent="0.35">
      <c r="A369" s="157" t="s">
        <v>976</v>
      </c>
      <c r="B369" s="157" t="s">
        <v>977</v>
      </c>
      <c r="C369" s="157">
        <v>23</v>
      </c>
      <c r="D369" s="157">
        <v>30</v>
      </c>
      <c r="E369" s="157">
        <v>165</v>
      </c>
      <c r="F369" s="157">
        <v>65</v>
      </c>
      <c r="G369" s="157">
        <v>34</v>
      </c>
      <c r="H369" s="157">
        <v>22</v>
      </c>
      <c r="I369" s="157">
        <v>325</v>
      </c>
      <c r="J369" s="157">
        <v>79</v>
      </c>
      <c r="K369" s="157">
        <v>75</v>
      </c>
      <c r="L369" s="157">
        <v>257</v>
      </c>
      <c r="M369" s="157">
        <v>167</v>
      </c>
      <c r="N369" s="157">
        <v>16</v>
      </c>
      <c r="O369" s="157">
        <v>1</v>
      </c>
      <c r="P369" s="157">
        <v>21</v>
      </c>
      <c r="Q369" s="157">
        <v>56</v>
      </c>
      <c r="R369" s="157">
        <v>20</v>
      </c>
      <c r="S369" s="157">
        <v>15</v>
      </c>
      <c r="T369" s="157">
        <v>25</v>
      </c>
      <c r="U369" s="157">
        <v>7</v>
      </c>
      <c r="V369" s="157">
        <v>13</v>
      </c>
      <c r="W369" s="157">
        <v>33</v>
      </c>
      <c r="X369" s="157">
        <v>13</v>
      </c>
      <c r="Y369" s="157">
        <f t="shared" si="5"/>
        <v>1462</v>
      </c>
    </row>
    <row r="370" spans="1:25" x14ac:dyDescent="0.35">
      <c r="A370" s="157" t="s">
        <v>978</v>
      </c>
      <c r="B370" s="157" t="s">
        <v>979</v>
      </c>
      <c r="C370" s="157"/>
      <c r="D370" s="157">
        <v>1</v>
      </c>
      <c r="E370" s="157">
        <v>5</v>
      </c>
      <c r="F370" s="157">
        <v>3</v>
      </c>
      <c r="G370" s="157">
        <v>1</v>
      </c>
      <c r="H370" s="157">
        <v>1</v>
      </c>
      <c r="I370" s="157">
        <v>14</v>
      </c>
      <c r="J370" s="157">
        <v>4</v>
      </c>
      <c r="K370" s="157">
        <v>3</v>
      </c>
      <c r="L370" s="157">
        <v>3</v>
      </c>
      <c r="M370" s="157">
        <v>7</v>
      </c>
      <c r="N370" s="157"/>
      <c r="O370" s="157"/>
      <c r="P370" s="157"/>
      <c r="Q370" s="157">
        <v>1</v>
      </c>
      <c r="R370" s="157"/>
      <c r="S370" s="157"/>
      <c r="T370" s="157"/>
      <c r="U370" s="157"/>
      <c r="V370" s="157"/>
      <c r="W370" s="157"/>
      <c r="X370" s="157"/>
      <c r="Y370" s="157">
        <f t="shared" si="5"/>
        <v>43</v>
      </c>
    </row>
    <row r="371" spans="1:25" x14ac:dyDescent="0.35">
      <c r="A371" s="157" t="s">
        <v>980</v>
      </c>
      <c r="B371" s="157" t="s">
        <v>1262</v>
      </c>
      <c r="C371" s="157">
        <v>8</v>
      </c>
      <c r="D371" s="157">
        <v>9</v>
      </c>
      <c r="E371" s="157">
        <v>49</v>
      </c>
      <c r="F371" s="157">
        <v>23</v>
      </c>
      <c r="G371" s="157">
        <v>7</v>
      </c>
      <c r="H371" s="157">
        <v>9</v>
      </c>
      <c r="I371" s="157">
        <v>155</v>
      </c>
      <c r="J371" s="157">
        <v>32</v>
      </c>
      <c r="K371" s="157">
        <v>29</v>
      </c>
      <c r="L371" s="157">
        <v>51</v>
      </c>
      <c r="M371" s="157">
        <v>52</v>
      </c>
      <c r="N371" s="157">
        <v>3</v>
      </c>
      <c r="O371" s="157"/>
      <c r="P371" s="157">
        <v>4</v>
      </c>
      <c r="Q371" s="157">
        <v>19</v>
      </c>
      <c r="R371" s="157">
        <v>5</v>
      </c>
      <c r="S371" s="157">
        <v>4</v>
      </c>
      <c r="T371" s="157">
        <v>4</v>
      </c>
      <c r="U371" s="157">
        <v>2</v>
      </c>
      <c r="V371" s="157">
        <v>8</v>
      </c>
      <c r="W371" s="157">
        <v>7</v>
      </c>
      <c r="X371" s="157">
        <v>1</v>
      </c>
      <c r="Y371" s="157">
        <f t="shared" si="5"/>
        <v>481</v>
      </c>
    </row>
    <row r="372" spans="1:25" x14ac:dyDescent="0.35">
      <c r="A372" s="157" t="s">
        <v>981</v>
      </c>
      <c r="B372" s="157" t="s">
        <v>982</v>
      </c>
      <c r="C372" s="157">
        <v>4</v>
      </c>
      <c r="D372" s="157">
        <v>11</v>
      </c>
      <c r="E372" s="157">
        <v>12</v>
      </c>
      <c r="F372" s="157">
        <v>5</v>
      </c>
      <c r="G372" s="157">
        <v>4</v>
      </c>
      <c r="H372" s="157">
        <v>4</v>
      </c>
      <c r="I372" s="157">
        <v>46</v>
      </c>
      <c r="J372" s="157">
        <v>13</v>
      </c>
      <c r="K372" s="157">
        <v>9</v>
      </c>
      <c r="L372" s="157">
        <v>23</v>
      </c>
      <c r="M372" s="157">
        <v>16</v>
      </c>
      <c r="N372" s="157">
        <v>6</v>
      </c>
      <c r="O372" s="157"/>
      <c r="P372" s="157">
        <v>2</v>
      </c>
      <c r="Q372" s="157">
        <v>8</v>
      </c>
      <c r="R372" s="157">
        <v>2</v>
      </c>
      <c r="S372" s="157">
        <v>4</v>
      </c>
      <c r="T372" s="157">
        <v>6</v>
      </c>
      <c r="U372" s="157">
        <v>3</v>
      </c>
      <c r="V372" s="157">
        <v>1</v>
      </c>
      <c r="W372" s="157">
        <v>3</v>
      </c>
      <c r="X372" s="157">
        <v>4</v>
      </c>
      <c r="Y372" s="157">
        <f t="shared" si="5"/>
        <v>186</v>
      </c>
    </row>
    <row r="373" spans="1:25" x14ac:dyDescent="0.35">
      <c r="A373" s="157" t="s">
        <v>983</v>
      </c>
      <c r="B373" s="157" t="s">
        <v>984</v>
      </c>
      <c r="C373" s="157">
        <v>12</v>
      </c>
      <c r="D373" s="157">
        <v>15</v>
      </c>
      <c r="E373" s="157">
        <v>111</v>
      </c>
      <c r="F373" s="157">
        <v>41</v>
      </c>
      <c r="G373" s="157">
        <v>24</v>
      </c>
      <c r="H373" s="157">
        <v>11</v>
      </c>
      <c r="I373" s="157">
        <v>563</v>
      </c>
      <c r="J373" s="157">
        <v>67</v>
      </c>
      <c r="K373" s="157">
        <v>40</v>
      </c>
      <c r="L373" s="157">
        <v>126</v>
      </c>
      <c r="M373" s="157">
        <v>103</v>
      </c>
      <c r="N373" s="157">
        <v>21</v>
      </c>
      <c r="O373" s="157"/>
      <c r="P373" s="157">
        <v>13</v>
      </c>
      <c r="Q373" s="157">
        <v>24</v>
      </c>
      <c r="R373" s="157">
        <v>23</v>
      </c>
      <c r="S373" s="157">
        <v>4</v>
      </c>
      <c r="T373" s="157">
        <v>14</v>
      </c>
      <c r="U373" s="157">
        <v>4</v>
      </c>
      <c r="V373" s="157">
        <v>26</v>
      </c>
      <c r="W373" s="157">
        <v>13</v>
      </c>
      <c r="X373" s="157">
        <v>5</v>
      </c>
      <c r="Y373" s="157">
        <f t="shared" si="5"/>
        <v>1260</v>
      </c>
    </row>
    <row r="374" spans="1:25" x14ac:dyDescent="0.35">
      <c r="A374" s="157" t="s">
        <v>985</v>
      </c>
      <c r="B374" s="157" t="s">
        <v>219</v>
      </c>
      <c r="C374" s="157">
        <v>3</v>
      </c>
      <c r="D374" s="157">
        <v>16</v>
      </c>
      <c r="E374" s="157">
        <v>36</v>
      </c>
      <c r="F374" s="157">
        <v>14</v>
      </c>
      <c r="G374" s="157">
        <v>13</v>
      </c>
      <c r="H374" s="157">
        <v>8</v>
      </c>
      <c r="I374" s="157">
        <v>35</v>
      </c>
      <c r="J374" s="157">
        <v>14</v>
      </c>
      <c r="K374" s="157">
        <v>27</v>
      </c>
      <c r="L374" s="157">
        <v>25</v>
      </c>
      <c r="M374" s="157">
        <v>38</v>
      </c>
      <c r="N374" s="157">
        <v>4</v>
      </c>
      <c r="O374" s="157">
        <v>1</v>
      </c>
      <c r="P374" s="157">
        <v>4</v>
      </c>
      <c r="Q374" s="157">
        <v>20</v>
      </c>
      <c r="R374" s="157">
        <v>1</v>
      </c>
      <c r="S374" s="157">
        <v>3</v>
      </c>
      <c r="T374" s="157">
        <v>5</v>
      </c>
      <c r="U374" s="157">
        <v>3</v>
      </c>
      <c r="V374" s="157">
        <v>3</v>
      </c>
      <c r="W374" s="157">
        <v>6</v>
      </c>
      <c r="X374" s="157">
        <v>2</v>
      </c>
      <c r="Y374" s="157">
        <f t="shared" si="5"/>
        <v>281</v>
      </c>
    </row>
    <row r="375" spans="1:25" x14ac:dyDescent="0.35">
      <c r="A375" s="157" t="s">
        <v>986</v>
      </c>
      <c r="B375" s="157" t="s">
        <v>987</v>
      </c>
      <c r="C375" s="157">
        <v>3</v>
      </c>
      <c r="D375" s="157">
        <v>2</v>
      </c>
      <c r="E375" s="157">
        <v>19</v>
      </c>
      <c r="F375" s="157">
        <v>6</v>
      </c>
      <c r="G375" s="157"/>
      <c r="H375" s="157">
        <v>1</v>
      </c>
      <c r="I375" s="157">
        <v>57</v>
      </c>
      <c r="J375" s="157">
        <v>6</v>
      </c>
      <c r="K375" s="157">
        <v>8</v>
      </c>
      <c r="L375" s="157">
        <v>11</v>
      </c>
      <c r="M375" s="157">
        <v>14</v>
      </c>
      <c r="N375" s="157">
        <v>2</v>
      </c>
      <c r="O375" s="157"/>
      <c r="P375" s="157">
        <v>4</v>
      </c>
      <c r="Q375" s="157">
        <v>3</v>
      </c>
      <c r="R375" s="157">
        <v>4</v>
      </c>
      <c r="S375" s="157">
        <v>2</v>
      </c>
      <c r="T375" s="157"/>
      <c r="U375" s="157">
        <v>3</v>
      </c>
      <c r="V375" s="157">
        <v>1</v>
      </c>
      <c r="W375" s="157">
        <v>3</v>
      </c>
      <c r="X375" s="157">
        <v>1</v>
      </c>
      <c r="Y375" s="157">
        <f t="shared" si="5"/>
        <v>150</v>
      </c>
    </row>
    <row r="376" spans="1:25" x14ac:dyDescent="0.35">
      <c r="A376" s="157" t="s">
        <v>988</v>
      </c>
      <c r="B376" s="157" t="s">
        <v>989</v>
      </c>
      <c r="C376" s="157"/>
      <c r="D376" s="157">
        <v>2</v>
      </c>
      <c r="E376" s="157">
        <v>2</v>
      </c>
      <c r="F376" s="157">
        <v>4</v>
      </c>
      <c r="G376" s="157">
        <v>2</v>
      </c>
      <c r="H376" s="157"/>
      <c r="I376" s="157">
        <v>5</v>
      </c>
      <c r="J376" s="157"/>
      <c r="K376" s="157">
        <v>1</v>
      </c>
      <c r="L376" s="157">
        <v>3</v>
      </c>
      <c r="M376" s="157">
        <v>3</v>
      </c>
      <c r="N376" s="157"/>
      <c r="O376" s="157"/>
      <c r="P376" s="157"/>
      <c r="Q376" s="157">
        <v>1</v>
      </c>
      <c r="R376" s="157"/>
      <c r="S376" s="157"/>
      <c r="T376" s="157"/>
      <c r="U376" s="157"/>
      <c r="V376" s="157"/>
      <c r="W376" s="157">
        <v>1</v>
      </c>
      <c r="X376" s="157">
        <v>1</v>
      </c>
      <c r="Y376" s="157">
        <f t="shared" si="5"/>
        <v>25</v>
      </c>
    </row>
    <row r="377" spans="1:25" x14ac:dyDescent="0.35">
      <c r="A377" s="157" t="s">
        <v>990</v>
      </c>
      <c r="B377" s="157" t="s">
        <v>1263</v>
      </c>
      <c r="C377" s="157"/>
      <c r="D377" s="157">
        <v>1</v>
      </c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>
        <f t="shared" si="5"/>
        <v>1</v>
      </c>
    </row>
    <row r="378" spans="1:25" x14ac:dyDescent="0.35">
      <c r="A378" s="157" t="s">
        <v>991</v>
      </c>
      <c r="B378" s="157" t="s">
        <v>992</v>
      </c>
      <c r="C378" s="157">
        <v>1</v>
      </c>
      <c r="D378" s="157">
        <v>5</v>
      </c>
      <c r="E378" s="157">
        <v>16</v>
      </c>
      <c r="F378" s="157">
        <v>5</v>
      </c>
      <c r="G378" s="157">
        <v>6</v>
      </c>
      <c r="H378" s="157">
        <v>3</v>
      </c>
      <c r="I378" s="157">
        <v>19</v>
      </c>
      <c r="J378" s="157">
        <v>2</v>
      </c>
      <c r="K378" s="157">
        <v>8</v>
      </c>
      <c r="L378" s="157">
        <v>45</v>
      </c>
      <c r="M378" s="157">
        <v>14</v>
      </c>
      <c r="N378" s="157">
        <v>2</v>
      </c>
      <c r="O378" s="157"/>
      <c r="P378" s="157">
        <v>2</v>
      </c>
      <c r="Q378" s="157">
        <v>4</v>
      </c>
      <c r="R378" s="157">
        <v>1</v>
      </c>
      <c r="S378" s="157">
        <v>2</v>
      </c>
      <c r="T378" s="157">
        <v>1</v>
      </c>
      <c r="U378" s="157">
        <v>3</v>
      </c>
      <c r="V378" s="157">
        <v>1</v>
      </c>
      <c r="W378" s="157">
        <v>4</v>
      </c>
      <c r="X378" s="157"/>
      <c r="Y378" s="157">
        <f t="shared" si="5"/>
        <v>144</v>
      </c>
    </row>
    <row r="379" spans="1:25" x14ac:dyDescent="0.35">
      <c r="A379" s="157" t="s">
        <v>993</v>
      </c>
      <c r="B379" s="157" t="s">
        <v>994</v>
      </c>
      <c r="C379" s="157">
        <v>2</v>
      </c>
      <c r="D379" s="157">
        <v>13</v>
      </c>
      <c r="E379" s="157">
        <v>42</v>
      </c>
      <c r="F379" s="157">
        <v>8</v>
      </c>
      <c r="G379" s="157">
        <v>12</v>
      </c>
      <c r="H379" s="157">
        <v>6</v>
      </c>
      <c r="I379" s="157">
        <v>69</v>
      </c>
      <c r="J379" s="157">
        <v>48</v>
      </c>
      <c r="K379" s="157">
        <v>24</v>
      </c>
      <c r="L379" s="157">
        <v>30</v>
      </c>
      <c r="M379" s="157">
        <v>32</v>
      </c>
      <c r="N379" s="157">
        <v>2</v>
      </c>
      <c r="O379" s="157"/>
      <c r="P379" s="157">
        <v>3</v>
      </c>
      <c r="Q379" s="157">
        <v>15</v>
      </c>
      <c r="R379" s="157">
        <v>8</v>
      </c>
      <c r="S379" s="157">
        <v>5</v>
      </c>
      <c r="T379" s="157">
        <v>5</v>
      </c>
      <c r="U379" s="157">
        <v>3</v>
      </c>
      <c r="V379" s="157">
        <v>1</v>
      </c>
      <c r="W379" s="157">
        <v>6</v>
      </c>
      <c r="X379" s="157"/>
      <c r="Y379" s="157">
        <f t="shared" si="5"/>
        <v>334</v>
      </c>
    </row>
    <row r="380" spans="1:25" x14ac:dyDescent="0.35">
      <c r="A380" s="157" t="s">
        <v>995</v>
      </c>
      <c r="B380" s="157" t="s">
        <v>996</v>
      </c>
      <c r="C380" s="157"/>
      <c r="D380" s="157"/>
      <c r="E380" s="157">
        <v>2</v>
      </c>
      <c r="F380" s="157">
        <v>2</v>
      </c>
      <c r="G380" s="157"/>
      <c r="H380" s="157"/>
      <c r="I380" s="157">
        <v>11</v>
      </c>
      <c r="J380" s="157">
        <v>2</v>
      </c>
      <c r="K380" s="157"/>
      <c r="L380" s="157">
        <v>3</v>
      </c>
      <c r="M380" s="157">
        <v>3</v>
      </c>
      <c r="N380" s="157"/>
      <c r="O380" s="157"/>
      <c r="P380" s="157"/>
      <c r="Q380" s="157">
        <v>1</v>
      </c>
      <c r="R380" s="157"/>
      <c r="S380" s="157"/>
      <c r="T380" s="157"/>
      <c r="U380" s="157"/>
      <c r="V380" s="157"/>
      <c r="W380" s="157"/>
      <c r="X380" s="157"/>
      <c r="Y380" s="157">
        <f t="shared" si="5"/>
        <v>24</v>
      </c>
    </row>
    <row r="381" spans="1:25" x14ac:dyDescent="0.35">
      <c r="A381" s="157" t="s">
        <v>997</v>
      </c>
      <c r="B381" s="157" t="s">
        <v>1264</v>
      </c>
      <c r="C381" s="157"/>
      <c r="D381" s="157">
        <v>1</v>
      </c>
      <c r="E381" s="157">
        <v>6</v>
      </c>
      <c r="F381" s="157">
        <v>1</v>
      </c>
      <c r="G381" s="157">
        <v>1</v>
      </c>
      <c r="H381" s="157">
        <v>1</v>
      </c>
      <c r="I381" s="157">
        <v>14</v>
      </c>
      <c r="J381" s="157">
        <v>1</v>
      </c>
      <c r="K381" s="157"/>
      <c r="L381" s="157">
        <v>3</v>
      </c>
      <c r="M381" s="157">
        <v>3</v>
      </c>
      <c r="N381" s="157"/>
      <c r="O381" s="157"/>
      <c r="P381" s="157">
        <v>2</v>
      </c>
      <c r="Q381" s="157">
        <v>1</v>
      </c>
      <c r="R381" s="157"/>
      <c r="S381" s="157"/>
      <c r="T381" s="157"/>
      <c r="U381" s="157"/>
      <c r="V381" s="157"/>
      <c r="W381" s="157">
        <v>1</v>
      </c>
      <c r="X381" s="157"/>
      <c r="Y381" s="157">
        <f t="shared" si="5"/>
        <v>35</v>
      </c>
    </row>
    <row r="382" spans="1:25" x14ac:dyDescent="0.35">
      <c r="A382" s="157" t="s">
        <v>998</v>
      </c>
      <c r="B382" s="157" t="s">
        <v>1265</v>
      </c>
      <c r="C382" s="157"/>
      <c r="D382" s="157">
        <v>1</v>
      </c>
      <c r="E382" s="157">
        <v>2</v>
      </c>
      <c r="F382" s="157"/>
      <c r="G382" s="157">
        <v>3</v>
      </c>
      <c r="H382" s="157"/>
      <c r="I382" s="157">
        <v>11</v>
      </c>
      <c r="J382" s="157">
        <v>5</v>
      </c>
      <c r="K382" s="157">
        <v>1</v>
      </c>
      <c r="L382" s="157">
        <v>17</v>
      </c>
      <c r="M382" s="157">
        <v>9</v>
      </c>
      <c r="N382" s="157"/>
      <c r="O382" s="157"/>
      <c r="P382" s="157"/>
      <c r="Q382" s="157">
        <v>1</v>
      </c>
      <c r="R382" s="157">
        <v>1</v>
      </c>
      <c r="S382" s="157">
        <v>1</v>
      </c>
      <c r="T382" s="157">
        <v>5</v>
      </c>
      <c r="U382" s="157"/>
      <c r="V382" s="157"/>
      <c r="W382" s="157"/>
      <c r="X382" s="157"/>
      <c r="Y382" s="157">
        <f t="shared" si="5"/>
        <v>57</v>
      </c>
    </row>
    <row r="383" spans="1:25" x14ac:dyDescent="0.35">
      <c r="A383" s="157" t="s">
        <v>999</v>
      </c>
      <c r="B383" s="157" t="s">
        <v>1266</v>
      </c>
      <c r="C383" s="157"/>
      <c r="D383" s="157"/>
      <c r="E383" s="157">
        <v>5</v>
      </c>
      <c r="F383" s="157">
        <v>2</v>
      </c>
      <c r="G383" s="157">
        <v>1</v>
      </c>
      <c r="H383" s="157">
        <v>2</v>
      </c>
      <c r="I383" s="157">
        <v>16</v>
      </c>
      <c r="J383" s="157">
        <v>2</v>
      </c>
      <c r="K383" s="157">
        <v>11</v>
      </c>
      <c r="L383" s="157">
        <v>9</v>
      </c>
      <c r="M383" s="157">
        <v>10</v>
      </c>
      <c r="N383" s="157"/>
      <c r="O383" s="157"/>
      <c r="P383" s="157">
        <v>1</v>
      </c>
      <c r="Q383" s="157">
        <v>1</v>
      </c>
      <c r="R383" s="157">
        <v>2</v>
      </c>
      <c r="S383" s="157">
        <v>1</v>
      </c>
      <c r="T383" s="157"/>
      <c r="U383" s="157"/>
      <c r="V383" s="157">
        <v>1</v>
      </c>
      <c r="W383" s="157">
        <v>2</v>
      </c>
      <c r="X383" s="157">
        <v>1</v>
      </c>
      <c r="Y383" s="157">
        <f t="shared" si="5"/>
        <v>67</v>
      </c>
    </row>
    <row r="384" spans="1:25" x14ac:dyDescent="0.35">
      <c r="A384" s="157" t="s">
        <v>1000</v>
      </c>
      <c r="B384" s="157" t="s">
        <v>1001</v>
      </c>
      <c r="C384" s="157">
        <v>7</v>
      </c>
      <c r="D384" s="157">
        <v>22</v>
      </c>
      <c r="E384" s="157">
        <v>78</v>
      </c>
      <c r="F384" s="157">
        <v>32</v>
      </c>
      <c r="G384" s="157">
        <v>24</v>
      </c>
      <c r="H384" s="157">
        <v>20</v>
      </c>
      <c r="I384" s="157">
        <v>104</v>
      </c>
      <c r="J384" s="157">
        <v>26</v>
      </c>
      <c r="K384" s="157">
        <v>25</v>
      </c>
      <c r="L384" s="157">
        <v>100</v>
      </c>
      <c r="M384" s="157">
        <v>87</v>
      </c>
      <c r="N384" s="157">
        <v>15</v>
      </c>
      <c r="O384" s="157">
        <v>2</v>
      </c>
      <c r="P384" s="157">
        <v>8</v>
      </c>
      <c r="Q384" s="157">
        <v>38</v>
      </c>
      <c r="R384" s="157">
        <v>8</v>
      </c>
      <c r="S384" s="157">
        <v>13</v>
      </c>
      <c r="T384" s="157">
        <v>24</v>
      </c>
      <c r="U384" s="157">
        <v>4</v>
      </c>
      <c r="V384" s="157">
        <v>8</v>
      </c>
      <c r="W384" s="157">
        <v>21</v>
      </c>
      <c r="X384" s="157">
        <v>4</v>
      </c>
      <c r="Y384" s="157">
        <f t="shared" si="5"/>
        <v>670</v>
      </c>
    </row>
    <row r="385" spans="1:25" x14ac:dyDescent="0.35">
      <c r="A385" s="157" t="s">
        <v>1002</v>
      </c>
      <c r="B385" s="157" t="s">
        <v>1003</v>
      </c>
      <c r="C385" s="157">
        <v>6</v>
      </c>
      <c r="D385" s="157">
        <v>16</v>
      </c>
      <c r="E385" s="157">
        <v>44</v>
      </c>
      <c r="F385" s="157">
        <v>32</v>
      </c>
      <c r="G385" s="157">
        <v>23</v>
      </c>
      <c r="H385" s="157">
        <v>16</v>
      </c>
      <c r="I385" s="157">
        <v>110</v>
      </c>
      <c r="J385" s="157">
        <v>19</v>
      </c>
      <c r="K385" s="157">
        <v>18</v>
      </c>
      <c r="L385" s="157">
        <v>48</v>
      </c>
      <c r="M385" s="157">
        <v>44</v>
      </c>
      <c r="N385" s="157">
        <v>13</v>
      </c>
      <c r="O385" s="157">
        <v>2</v>
      </c>
      <c r="P385" s="157">
        <v>4</v>
      </c>
      <c r="Q385" s="157">
        <v>18</v>
      </c>
      <c r="R385" s="157">
        <v>8</v>
      </c>
      <c r="S385" s="157">
        <v>8</v>
      </c>
      <c r="T385" s="157">
        <v>31</v>
      </c>
      <c r="U385" s="157">
        <v>6</v>
      </c>
      <c r="V385" s="157">
        <v>10</v>
      </c>
      <c r="W385" s="157">
        <v>16</v>
      </c>
      <c r="X385" s="157">
        <v>4</v>
      </c>
      <c r="Y385" s="157">
        <f t="shared" si="5"/>
        <v>496</v>
      </c>
    </row>
    <row r="386" spans="1:25" x14ac:dyDescent="0.35">
      <c r="A386" s="157" t="s">
        <v>1004</v>
      </c>
      <c r="B386" s="157" t="s">
        <v>1005</v>
      </c>
      <c r="C386" s="157"/>
      <c r="D386" s="157">
        <v>3</v>
      </c>
      <c r="E386" s="157">
        <v>22</v>
      </c>
      <c r="F386" s="157">
        <v>6</v>
      </c>
      <c r="G386" s="157">
        <v>3</v>
      </c>
      <c r="H386" s="157">
        <v>2</v>
      </c>
      <c r="I386" s="157">
        <v>56</v>
      </c>
      <c r="J386" s="157">
        <v>7</v>
      </c>
      <c r="K386" s="157">
        <v>6</v>
      </c>
      <c r="L386" s="157">
        <v>13</v>
      </c>
      <c r="M386" s="157">
        <v>9</v>
      </c>
      <c r="N386" s="157">
        <v>1</v>
      </c>
      <c r="O386" s="157"/>
      <c r="P386" s="157">
        <v>1</v>
      </c>
      <c r="Q386" s="157">
        <v>5</v>
      </c>
      <c r="R386" s="157"/>
      <c r="S386" s="157">
        <v>2</v>
      </c>
      <c r="T386" s="157">
        <v>11</v>
      </c>
      <c r="U386" s="157"/>
      <c r="V386" s="157">
        <v>1</v>
      </c>
      <c r="W386" s="157">
        <v>4</v>
      </c>
      <c r="X386" s="157"/>
      <c r="Y386" s="157">
        <f t="shared" si="5"/>
        <v>152</v>
      </c>
    </row>
    <row r="387" spans="1:25" x14ac:dyDescent="0.35">
      <c r="A387" s="157" t="s">
        <v>1006</v>
      </c>
      <c r="B387" s="157" t="s">
        <v>1007</v>
      </c>
      <c r="C387" s="157"/>
      <c r="D387" s="157"/>
      <c r="E387" s="157">
        <v>7</v>
      </c>
      <c r="F387" s="157">
        <v>2</v>
      </c>
      <c r="G387" s="157">
        <v>1</v>
      </c>
      <c r="H387" s="157">
        <v>1</v>
      </c>
      <c r="I387" s="157">
        <v>12</v>
      </c>
      <c r="J387" s="157">
        <v>6</v>
      </c>
      <c r="K387" s="157">
        <v>5</v>
      </c>
      <c r="L387" s="157">
        <v>4</v>
      </c>
      <c r="M387" s="157">
        <v>19</v>
      </c>
      <c r="N387" s="157"/>
      <c r="O387" s="157"/>
      <c r="P387" s="157"/>
      <c r="Q387" s="157">
        <v>1</v>
      </c>
      <c r="R387" s="157"/>
      <c r="S387" s="157"/>
      <c r="T387" s="157">
        <v>1</v>
      </c>
      <c r="U387" s="157">
        <v>1</v>
      </c>
      <c r="V387" s="157"/>
      <c r="W387" s="157">
        <v>1</v>
      </c>
      <c r="X387" s="157"/>
      <c r="Y387" s="157">
        <f t="shared" si="5"/>
        <v>61</v>
      </c>
    </row>
    <row r="388" spans="1:25" x14ac:dyDescent="0.35">
      <c r="A388" s="157" t="s">
        <v>1008</v>
      </c>
      <c r="B388" s="157" t="s">
        <v>1009</v>
      </c>
      <c r="C388" s="157">
        <v>3</v>
      </c>
      <c r="D388" s="157">
        <v>3</v>
      </c>
      <c r="E388" s="157">
        <v>22</v>
      </c>
      <c r="F388" s="157">
        <v>8</v>
      </c>
      <c r="G388" s="157">
        <v>2</v>
      </c>
      <c r="H388" s="157">
        <v>7</v>
      </c>
      <c r="I388" s="157">
        <v>10</v>
      </c>
      <c r="J388" s="157">
        <v>6</v>
      </c>
      <c r="K388" s="157">
        <v>13</v>
      </c>
      <c r="L388" s="157">
        <v>20</v>
      </c>
      <c r="M388" s="157">
        <v>26</v>
      </c>
      <c r="N388" s="157"/>
      <c r="O388" s="157"/>
      <c r="P388" s="157">
        <v>1</v>
      </c>
      <c r="Q388" s="157">
        <v>11</v>
      </c>
      <c r="R388" s="157"/>
      <c r="S388" s="157">
        <v>2</v>
      </c>
      <c r="T388" s="157">
        <v>5</v>
      </c>
      <c r="U388" s="157">
        <v>2</v>
      </c>
      <c r="V388" s="157"/>
      <c r="W388" s="157">
        <v>5</v>
      </c>
      <c r="X388" s="157">
        <v>2</v>
      </c>
      <c r="Y388" s="157">
        <f t="shared" si="5"/>
        <v>148</v>
      </c>
    </row>
    <row r="389" spans="1:25" x14ac:dyDescent="0.35">
      <c r="A389" s="157" t="s">
        <v>1010</v>
      </c>
      <c r="B389" s="157" t="s">
        <v>1011</v>
      </c>
      <c r="C389" s="157"/>
      <c r="D389" s="157"/>
      <c r="E389" s="157">
        <v>4</v>
      </c>
      <c r="F389" s="157"/>
      <c r="G389" s="157">
        <v>2</v>
      </c>
      <c r="H389" s="157"/>
      <c r="I389" s="157">
        <v>2</v>
      </c>
      <c r="J389" s="157">
        <v>3</v>
      </c>
      <c r="K389" s="157">
        <v>1</v>
      </c>
      <c r="L389" s="157">
        <v>4</v>
      </c>
      <c r="M389" s="157">
        <v>2</v>
      </c>
      <c r="N389" s="157"/>
      <c r="O389" s="157"/>
      <c r="P389" s="157"/>
      <c r="Q389" s="157">
        <v>1</v>
      </c>
      <c r="R389" s="157"/>
      <c r="S389" s="157"/>
      <c r="T389" s="157"/>
      <c r="U389" s="157"/>
      <c r="V389" s="157"/>
      <c r="W389" s="157"/>
      <c r="X389" s="157"/>
      <c r="Y389" s="157">
        <f t="shared" si="5"/>
        <v>19</v>
      </c>
    </row>
    <row r="390" spans="1:25" x14ac:dyDescent="0.35">
      <c r="A390" s="157" t="s">
        <v>1012</v>
      </c>
      <c r="B390" s="157" t="s">
        <v>1013</v>
      </c>
      <c r="C390" s="157"/>
      <c r="D390" s="157">
        <v>3</v>
      </c>
      <c r="E390" s="157">
        <v>5</v>
      </c>
      <c r="F390" s="157">
        <v>4</v>
      </c>
      <c r="G390" s="157">
        <v>3</v>
      </c>
      <c r="H390" s="157">
        <v>1</v>
      </c>
      <c r="I390" s="157">
        <v>14</v>
      </c>
      <c r="J390" s="157">
        <v>2</v>
      </c>
      <c r="K390" s="157">
        <v>3</v>
      </c>
      <c r="L390" s="157">
        <v>10</v>
      </c>
      <c r="M390" s="157">
        <v>4</v>
      </c>
      <c r="N390" s="157"/>
      <c r="O390" s="157"/>
      <c r="P390" s="157">
        <v>2</v>
      </c>
      <c r="Q390" s="157">
        <v>1</v>
      </c>
      <c r="R390" s="157"/>
      <c r="S390" s="157">
        <v>1</v>
      </c>
      <c r="T390" s="157"/>
      <c r="U390" s="157">
        <v>1</v>
      </c>
      <c r="V390" s="157"/>
      <c r="W390" s="157">
        <v>3</v>
      </c>
      <c r="X390" s="157"/>
      <c r="Y390" s="157">
        <f t="shared" ref="Y390:Y453" si="6">+SUM(C390:X390)</f>
        <v>57</v>
      </c>
    </row>
    <row r="391" spans="1:25" x14ac:dyDescent="0.35">
      <c r="A391" s="157" t="s">
        <v>1014</v>
      </c>
      <c r="B391" s="157" t="s">
        <v>1015</v>
      </c>
      <c r="C391" s="157">
        <v>2</v>
      </c>
      <c r="D391" s="157">
        <v>3</v>
      </c>
      <c r="E391" s="157">
        <v>12</v>
      </c>
      <c r="F391" s="157">
        <v>5</v>
      </c>
      <c r="G391" s="157">
        <v>4</v>
      </c>
      <c r="H391" s="157">
        <v>5</v>
      </c>
      <c r="I391" s="157">
        <v>13</v>
      </c>
      <c r="J391" s="157">
        <v>4</v>
      </c>
      <c r="K391" s="157">
        <v>9</v>
      </c>
      <c r="L391" s="157">
        <v>18</v>
      </c>
      <c r="M391" s="157">
        <v>19</v>
      </c>
      <c r="N391" s="157">
        <v>3</v>
      </c>
      <c r="O391" s="157"/>
      <c r="P391" s="157">
        <v>1</v>
      </c>
      <c r="Q391" s="157">
        <v>6</v>
      </c>
      <c r="R391" s="157"/>
      <c r="S391" s="157">
        <v>1</v>
      </c>
      <c r="T391" s="157">
        <v>4</v>
      </c>
      <c r="U391" s="157">
        <v>1</v>
      </c>
      <c r="V391" s="157">
        <v>1</v>
      </c>
      <c r="W391" s="157">
        <v>1</v>
      </c>
      <c r="X391" s="157"/>
      <c r="Y391" s="157">
        <f t="shared" si="6"/>
        <v>112</v>
      </c>
    </row>
    <row r="392" spans="1:25" x14ac:dyDescent="0.35">
      <c r="A392" s="157" t="s">
        <v>1016</v>
      </c>
      <c r="B392" s="157" t="s">
        <v>1017</v>
      </c>
      <c r="C392" s="157">
        <v>1</v>
      </c>
      <c r="D392" s="157">
        <v>9</v>
      </c>
      <c r="E392" s="157">
        <v>18</v>
      </c>
      <c r="F392" s="157">
        <v>11</v>
      </c>
      <c r="G392" s="157">
        <v>7</v>
      </c>
      <c r="H392" s="157"/>
      <c r="I392" s="157">
        <v>15</v>
      </c>
      <c r="J392" s="157">
        <v>6</v>
      </c>
      <c r="K392" s="157">
        <v>15</v>
      </c>
      <c r="L392" s="157">
        <v>33</v>
      </c>
      <c r="M392" s="157">
        <v>23</v>
      </c>
      <c r="N392" s="157">
        <v>9</v>
      </c>
      <c r="O392" s="157"/>
      <c r="P392" s="157">
        <v>3</v>
      </c>
      <c r="Q392" s="157">
        <v>15</v>
      </c>
      <c r="R392" s="157">
        <v>5</v>
      </c>
      <c r="S392" s="157">
        <v>4</v>
      </c>
      <c r="T392" s="157">
        <v>8</v>
      </c>
      <c r="U392" s="157">
        <v>4</v>
      </c>
      <c r="V392" s="157">
        <v>1</v>
      </c>
      <c r="W392" s="157">
        <v>10</v>
      </c>
      <c r="X392" s="157"/>
      <c r="Y392" s="157">
        <f t="shared" si="6"/>
        <v>197</v>
      </c>
    </row>
    <row r="393" spans="1:25" x14ac:dyDescent="0.35">
      <c r="A393" s="157" t="s">
        <v>1018</v>
      </c>
      <c r="B393" s="157" t="s">
        <v>1019</v>
      </c>
      <c r="C393" s="157">
        <v>4</v>
      </c>
      <c r="D393" s="157">
        <v>4</v>
      </c>
      <c r="E393" s="157">
        <v>10</v>
      </c>
      <c r="F393" s="157">
        <v>8</v>
      </c>
      <c r="G393" s="157">
        <v>1</v>
      </c>
      <c r="H393" s="157">
        <v>6</v>
      </c>
      <c r="I393" s="157">
        <v>9</v>
      </c>
      <c r="J393" s="157">
        <v>2</v>
      </c>
      <c r="K393" s="157">
        <v>6</v>
      </c>
      <c r="L393" s="157">
        <v>14</v>
      </c>
      <c r="M393" s="157">
        <v>10</v>
      </c>
      <c r="N393" s="157">
        <v>4</v>
      </c>
      <c r="O393" s="157">
        <v>1</v>
      </c>
      <c r="P393" s="157">
        <v>2</v>
      </c>
      <c r="Q393" s="157">
        <v>6</v>
      </c>
      <c r="R393" s="157">
        <v>4</v>
      </c>
      <c r="S393" s="157">
        <v>7</v>
      </c>
      <c r="T393" s="157">
        <v>8</v>
      </c>
      <c r="U393" s="157">
        <v>4</v>
      </c>
      <c r="V393" s="157">
        <v>2</v>
      </c>
      <c r="W393" s="157">
        <v>8</v>
      </c>
      <c r="X393" s="157">
        <v>1</v>
      </c>
      <c r="Y393" s="157">
        <f t="shared" si="6"/>
        <v>121</v>
      </c>
    </row>
    <row r="394" spans="1:25" x14ac:dyDescent="0.35">
      <c r="A394" s="157" t="s">
        <v>1020</v>
      </c>
      <c r="B394" s="157" t="s">
        <v>1021</v>
      </c>
      <c r="C394" s="157">
        <v>3</v>
      </c>
      <c r="D394" s="157">
        <v>5</v>
      </c>
      <c r="E394" s="157">
        <v>15</v>
      </c>
      <c r="F394" s="157">
        <v>9</v>
      </c>
      <c r="G394" s="157">
        <v>9</v>
      </c>
      <c r="H394" s="157"/>
      <c r="I394" s="157">
        <v>96</v>
      </c>
      <c r="J394" s="157">
        <v>10</v>
      </c>
      <c r="K394" s="157">
        <v>11</v>
      </c>
      <c r="L394" s="157">
        <v>42</v>
      </c>
      <c r="M394" s="157">
        <v>26</v>
      </c>
      <c r="N394" s="157">
        <v>2</v>
      </c>
      <c r="O394" s="157">
        <v>1</v>
      </c>
      <c r="P394" s="157">
        <v>2</v>
      </c>
      <c r="Q394" s="157">
        <v>8</v>
      </c>
      <c r="R394" s="157"/>
      <c r="S394" s="157">
        <v>5</v>
      </c>
      <c r="T394" s="157">
        <v>6</v>
      </c>
      <c r="U394" s="157">
        <v>1</v>
      </c>
      <c r="V394" s="157">
        <v>1</v>
      </c>
      <c r="W394" s="157">
        <v>2</v>
      </c>
      <c r="X394" s="157">
        <v>2</v>
      </c>
      <c r="Y394" s="157">
        <f t="shared" si="6"/>
        <v>256</v>
      </c>
    </row>
    <row r="395" spans="1:25" x14ac:dyDescent="0.35">
      <c r="A395" s="157" t="s">
        <v>1022</v>
      </c>
      <c r="B395" s="157" t="s">
        <v>1023</v>
      </c>
      <c r="C395" s="157"/>
      <c r="D395" s="157">
        <v>2</v>
      </c>
      <c r="E395" s="157">
        <v>4</v>
      </c>
      <c r="F395" s="157">
        <v>2</v>
      </c>
      <c r="G395" s="157">
        <v>3</v>
      </c>
      <c r="H395" s="157">
        <v>2</v>
      </c>
      <c r="I395" s="157">
        <v>8</v>
      </c>
      <c r="J395" s="157">
        <v>4</v>
      </c>
      <c r="K395" s="157">
        <v>4</v>
      </c>
      <c r="L395" s="157">
        <v>19</v>
      </c>
      <c r="M395" s="157">
        <v>7</v>
      </c>
      <c r="N395" s="157">
        <v>3</v>
      </c>
      <c r="O395" s="157"/>
      <c r="P395" s="157">
        <v>1</v>
      </c>
      <c r="Q395" s="157">
        <v>8</v>
      </c>
      <c r="R395" s="157">
        <v>1</v>
      </c>
      <c r="S395" s="157">
        <v>1</v>
      </c>
      <c r="T395" s="157">
        <v>3</v>
      </c>
      <c r="U395" s="157">
        <v>2</v>
      </c>
      <c r="V395" s="157"/>
      <c r="W395" s="157">
        <v>3</v>
      </c>
      <c r="X395" s="157"/>
      <c r="Y395" s="157">
        <f t="shared" si="6"/>
        <v>77</v>
      </c>
    </row>
    <row r="396" spans="1:25" x14ac:dyDescent="0.35">
      <c r="A396" s="157" t="s">
        <v>1024</v>
      </c>
      <c r="B396" s="157" t="s">
        <v>1267</v>
      </c>
      <c r="C396" s="157">
        <v>3</v>
      </c>
      <c r="D396" s="157">
        <v>4</v>
      </c>
      <c r="E396" s="157">
        <v>18</v>
      </c>
      <c r="F396" s="157">
        <v>8</v>
      </c>
      <c r="G396" s="157">
        <v>6</v>
      </c>
      <c r="H396" s="157"/>
      <c r="I396" s="157">
        <v>90</v>
      </c>
      <c r="J396" s="157">
        <v>26</v>
      </c>
      <c r="K396" s="157">
        <v>5</v>
      </c>
      <c r="L396" s="157">
        <v>43</v>
      </c>
      <c r="M396" s="157">
        <v>24</v>
      </c>
      <c r="N396" s="157">
        <v>1</v>
      </c>
      <c r="O396" s="157"/>
      <c r="P396" s="157">
        <v>4</v>
      </c>
      <c r="Q396" s="157">
        <v>6</v>
      </c>
      <c r="R396" s="157">
        <v>2</v>
      </c>
      <c r="S396" s="157"/>
      <c r="T396" s="157">
        <v>4</v>
      </c>
      <c r="U396" s="157"/>
      <c r="V396" s="157"/>
      <c r="W396" s="157">
        <v>5</v>
      </c>
      <c r="X396" s="157"/>
      <c r="Y396" s="157">
        <f t="shared" si="6"/>
        <v>249</v>
      </c>
    </row>
    <row r="397" spans="1:25" x14ac:dyDescent="0.35">
      <c r="A397" s="157" t="s">
        <v>1025</v>
      </c>
      <c r="B397" s="157" t="s">
        <v>1026</v>
      </c>
      <c r="C397" s="157">
        <v>2</v>
      </c>
      <c r="D397" s="157">
        <v>17</v>
      </c>
      <c r="E397" s="157">
        <v>62</v>
      </c>
      <c r="F397" s="157">
        <v>20</v>
      </c>
      <c r="G397" s="157">
        <v>11</v>
      </c>
      <c r="H397" s="157">
        <v>7</v>
      </c>
      <c r="I397" s="157">
        <v>88</v>
      </c>
      <c r="J397" s="157">
        <v>27</v>
      </c>
      <c r="K397" s="157">
        <v>26</v>
      </c>
      <c r="L397" s="157">
        <v>49</v>
      </c>
      <c r="M397" s="157">
        <v>55</v>
      </c>
      <c r="N397" s="157">
        <v>10</v>
      </c>
      <c r="O397" s="157"/>
      <c r="P397" s="157">
        <v>3</v>
      </c>
      <c r="Q397" s="157">
        <v>12</v>
      </c>
      <c r="R397" s="157">
        <v>4</v>
      </c>
      <c r="S397" s="157">
        <v>2</v>
      </c>
      <c r="T397" s="157">
        <v>7</v>
      </c>
      <c r="U397" s="157">
        <v>3</v>
      </c>
      <c r="V397" s="157">
        <v>2</v>
      </c>
      <c r="W397" s="157">
        <v>15</v>
      </c>
      <c r="X397" s="157">
        <v>1</v>
      </c>
      <c r="Y397" s="157">
        <f t="shared" si="6"/>
        <v>423</v>
      </c>
    </row>
    <row r="398" spans="1:25" x14ac:dyDescent="0.35">
      <c r="A398" s="157" t="s">
        <v>1027</v>
      </c>
      <c r="B398" s="157" t="s">
        <v>1028</v>
      </c>
      <c r="C398" s="157"/>
      <c r="D398" s="157"/>
      <c r="E398" s="157">
        <v>3</v>
      </c>
      <c r="F398" s="157">
        <v>2</v>
      </c>
      <c r="G398" s="157">
        <v>2</v>
      </c>
      <c r="H398" s="157"/>
      <c r="I398" s="157">
        <v>10</v>
      </c>
      <c r="J398" s="157">
        <v>2</v>
      </c>
      <c r="K398" s="157">
        <v>1</v>
      </c>
      <c r="L398" s="157">
        <v>15</v>
      </c>
      <c r="M398" s="157">
        <v>1</v>
      </c>
      <c r="N398" s="157"/>
      <c r="O398" s="157"/>
      <c r="P398" s="157">
        <v>1</v>
      </c>
      <c r="Q398" s="157">
        <v>1</v>
      </c>
      <c r="R398" s="157"/>
      <c r="S398" s="157"/>
      <c r="T398" s="157"/>
      <c r="U398" s="157"/>
      <c r="V398" s="157">
        <v>1</v>
      </c>
      <c r="W398" s="157">
        <v>1</v>
      </c>
      <c r="X398" s="157">
        <v>2</v>
      </c>
      <c r="Y398" s="157">
        <f t="shared" si="6"/>
        <v>42</v>
      </c>
    </row>
    <row r="399" spans="1:25" x14ac:dyDescent="0.35">
      <c r="A399" s="157" t="s">
        <v>1029</v>
      </c>
      <c r="B399" s="157" t="s">
        <v>1030</v>
      </c>
      <c r="C399" s="157"/>
      <c r="D399" s="157">
        <v>1</v>
      </c>
      <c r="E399" s="157">
        <v>4</v>
      </c>
      <c r="F399" s="157">
        <v>2</v>
      </c>
      <c r="G399" s="157"/>
      <c r="H399" s="157"/>
      <c r="I399" s="157">
        <v>5</v>
      </c>
      <c r="J399" s="157">
        <v>5</v>
      </c>
      <c r="K399" s="157">
        <v>1</v>
      </c>
      <c r="L399" s="157">
        <v>4</v>
      </c>
      <c r="M399" s="157">
        <v>1</v>
      </c>
      <c r="N399" s="157">
        <v>3</v>
      </c>
      <c r="O399" s="157"/>
      <c r="P399" s="157"/>
      <c r="Q399" s="157">
        <v>1</v>
      </c>
      <c r="R399" s="157"/>
      <c r="S399" s="157"/>
      <c r="T399" s="157">
        <v>1</v>
      </c>
      <c r="U399" s="157"/>
      <c r="V399" s="157">
        <v>1</v>
      </c>
      <c r="W399" s="157"/>
      <c r="X399" s="157"/>
      <c r="Y399" s="157">
        <f t="shared" si="6"/>
        <v>29</v>
      </c>
    </row>
    <row r="400" spans="1:25" x14ac:dyDescent="0.35">
      <c r="A400" s="157" t="s">
        <v>1031</v>
      </c>
      <c r="B400" s="157" t="s">
        <v>1032</v>
      </c>
      <c r="C400" s="157">
        <v>19</v>
      </c>
      <c r="D400" s="157">
        <v>44</v>
      </c>
      <c r="E400" s="157">
        <v>117</v>
      </c>
      <c r="F400" s="157">
        <v>67</v>
      </c>
      <c r="G400" s="157">
        <v>56</v>
      </c>
      <c r="H400" s="157">
        <v>31</v>
      </c>
      <c r="I400" s="157">
        <v>477</v>
      </c>
      <c r="J400" s="157">
        <v>49</v>
      </c>
      <c r="K400" s="157">
        <v>65</v>
      </c>
      <c r="L400" s="157">
        <v>217</v>
      </c>
      <c r="M400" s="157">
        <v>124</v>
      </c>
      <c r="N400" s="157">
        <v>37</v>
      </c>
      <c r="O400" s="157"/>
      <c r="P400" s="157">
        <v>21</v>
      </c>
      <c r="Q400" s="157">
        <v>57</v>
      </c>
      <c r="R400" s="157">
        <v>22</v>
      </c>
      <c r="S400" s="157">
        <v>17</v>
      </c>
      <c r="T400" s="157">
        <v>43</v>
      </c>
      <c r="U400" s="157">
        <v>16</v>
      </c>
      <c r="V400" s="157">
        <v>21</v>
      </c>
      <c r="W400" s="157">
        <v>39</v>
      </c>
      <c r="X400" s="157">
        <v>14</v>
      </c>
      <c r="Y400" s="157">
        <f t="shared" si="6"/>
        <v>1553</v>
      </c>
    </row>
    <row r="401" spans="1:25" x14ac:dyDescent="0.35">
      <c r="A401" s="157" t="s">
        <v>1033</v>
      </c>
      <c r="B401" s="157" t="s">
        <v>1034</v>
      </c>
      <c r="C401" s="157"/>
      <c r="D401" s="157"/>
      <c r="E401" s="157"/>
      <c r="F401" s="157"/>
      <c r="G401" s="157"/>
      <c r="H401" s="157"/>
      <c r="I401" s="157">
        <v>1</v>
      </c>
      <c r="J401" s="157">
        <v>1</v>
      </c>
      <c r="K401" s="157"/>
      <c r="L401" s="157"/>
      <c r="M401" s="157"/>
      <c r="N401" s="157"/>
      <c r="O401" s="157"/>
      <c r="P401" s="157"/>
      <c r="Q401" s="157">
        <v>1</v>
      </c>
      <c r="R401" s="157"/>
      <c r="S401" s="157"/>
      <c r="T401" s="157"/>
      <c r="U401" s="157"/>
      <c r="V401" s="157"/>
      <c r="W401" s="157"/>
      <c r="X401" s="157"/>
      <c r="Y401" s="157">
        <f t="shared" si="6"/>
        <v>3</v>
      </c>
    </row>
    <row r="402" spans="1:25" x14ac:dyDescent="0.35">
      <c r="A402" s="157" t="s">
        <v>1035</v>
      </c>
      <c r="B402" s="157" t="s">
        <v>1268</v>
      </c>
      <c r="C402" s="157"/>
      <c r="D402" s="157"/>
      <c r="E402" s="157"/>
      <c r="F402" s="157">
        <v>1</v>
      </c>
      <c r="G402" s="157">
        <v>1</v>
      </c>
      <c r="H402" s="157"/>
      <c r="I402" s="157">
        <v>1</v>
      </c>
      <c r="J402" s="157"/>
      <c r="K402" s="157"/>
      <c r="L402" s="157">
        <v>5</v>
      </c>
      <c r="M402" s="157">
        <v>2</v>
      </c>
      <c r="N402" s="157"/>
      <c r="O402" s="157"/>
      <c r="P402" s="157"/>
      <c r="Q402" s="157">
        <v>1</v>
      </c>
      <c r="R402" s="157"/>
      <c r="S402" s="157"/>
      <c r="T402" s="157"/>
      <c r="U402" s="157"/>
      <c r="V402" s="157"/>
      <c r="W402" s="157"/>
      <c r="X402" s="157"/>
      <c r="Y402" s="157">
        <f t="shared" si="6"/>
        <v>11</v>
      </c>
    </row>
    <row r="403" spans="1:25" x14ac:dyDescent="0.35">
      <c r="A403" s="157" t="s">
        <v>1036</v>
      </c>
      <c r="B403" s="157" t="s">
        <v>1037</v>
      </c>
      <c r="C403" s="157"/>
      <c r="D403" s="157">
        <v>2</v>
      </c>
      <c r="E403" s="157">
        <v>1</v>
      </c>
      <c r="F403" s="157"/>
      <c r="G403" s="157"/>
      <c r="H403" s="157"/>
      <c r="I403" s="157"/>
      <c r="J403" s="157"/>
      <c r="K403" s="157"/>
      <c r="L403" s="157">
        <v>1</v>
      </c>
      <c r="M403" s="157"/>
      <c r="N403" s="157"/>
      <c r="O403" s="157"/>
      <c r="P403" s="157"/>
      <c r="Q403" s="157"/>
      <c r="R403" s="157"/>
      <c r="S403" s="157"/>
      <c r="T403" s="157"/>
      <c r="U403" s="157"/>
      <c r="V403" s="157">
        <v>1</v>
      </c>
      <c r="W403" s="157"/>
      <c r="X403" s="157"/>
      <c r="Y403" s="157">
        <f t="shared" si="6"/>
        <v>5</v>
      </c>
    </row>
    <row r="404" spans="1:25" x14ac:dyDescent="0.35">
      <c r="A404" s="157" t="s">
        <v>1040</v>
      </c>
      <c r="B404" s="157" t="s">
        <v>1041</v>
      </c>
      <c r="C404" s="157"/>
      <c r="D404" s="157">
        <v>1</v>
      </c>
      <c r="E404" s="157"/>
      <c r="F404" s="157"/>
      <c r="G404" s="157"/>
      <c r="H404" s="157"/>
      <c r="I404" s="157">
        <v>2</v>
      </c>
      <c r="J404" s="157"/>
      <c r="K404" s="157"/>
      <c r="L404" s="157">
        <v>3</v>
      </c>
      <c r="M404" s="157">
        <v>1</v>
      </c>
      <c r="N404" s="157"/>
      <c r="O404" s="157"/>
      <c r="P404" s="157"/>
      <c r="Q404" s="157"/>
      <c r="R404" s="157"/>
      <c r="S404" s="157"/>
      <c r="T404" s="157"/>
      <c r="U404" s="157"/>
      <c r="V404" s="157"/>
      <c r="W404" s="157">
        <v>1</v>
      </c>
      <c r="X404" s="157"/>
      <c r="Y404" s="157">
        <f t="shared" si="6"/>
        <v>8</v>
      </c>
    </row>
    <row r="405" spans="1:25" x14ac:dyDescent="0.35">
      <c r="A405" s="157" t="s">
        <v>1042</v>
      </c>
      <c r="B405" s="157" t="s">
        <v>1043</v>
      </c>
      <c r="C405" s="157"/>
      <c r="D405" s="157">
        <v>2</v>
      </c>
      <c r="E405" s="157">
        <v>4</v>
      </c>
      <c r="F405" s="157">
        <v>4</v>
      </c>
      <c r="G405" s="157">
        <v>2</v>
      </c>
      <c r="H405" s="157"/>
      <c r="I405" s="157">
        <v>2</v>
      </c>
      <c r="J405" s="157">
        <v>1</v>
      </c>
      <c r="K405" s="157">
        <v>3</v>
      </c>
      <c r="L405" s="157">
        <v>1</v>
      </c>
      <c r="M405" s="157">
        <v>4</v>
      </c>
      <c r="N405" s="157">
        <v>1</v>
      </c>
      <c r="O405" s="157"/>
      <c r="P405" s="157"/>
      <c r="Q405" s="157"/>
      <c r="R405" s="157">
        <v>1</v>
      </c>
      <c r="S405" s="157"/>
      <c r="T405" s="157">
        <v>2</v>
      </c>
      <c r="U405" s="157"/>
      <c r="V405" s="157"/>
      <c r="W405" s="157">
        <v>2</v>
      </c>
      <c r="X405" s="157"/>
      <c r="Y405" s="157">
        <f t="shared" si="6"/>
        <v>29</v>
      </c>
    </row>
    <row r="406" spans="1:25" x14ac:dyDescent="0.35">
      <c r="A406" s="157" t="s">
        <v>1044</v>
      </c>
      <c r="B406" s="157" t="s">
        <v>1045</v>
      </c>
      <c r="C406" s="157">
        <v>2</v>
      </c>
      <c r="D406" s="157">
        <v>6</v>
      </c>
      <c r="E406" s="157">
        <v>20</v>
      </c>
      <c r="F406" s="157">
        <v>8</v>
      </c>
      <c r="G406" s="157">
        <v>3</v>
      </c>
      <c r="H406" s="157">
        <v>2</v>
      </c>
      <c r="I406" s="157">
        <v>9</v>
      </c>
      <c r="J406" s="157">
        <v>4</v>
      </c>
      <c r="K406" s="157">
        <v>8</v>
      </c>
      <c r="L406" s="157">
        <v>2</v>
      </c>
      <c r="M406" s="157">
        <v>13</v>
      </c>
      <c r="N406" s="157">
        <v>1</v>
      </c>
      <c r="O406" s="157"/>
      <c r="P406" s="157">
        <v>1</v>
      </c>
      <c r="Q406" s="157">
        <v>4</v>
      </c>
      <c r="R406" s="157"/>
      <c r="S406" s="157">
        <v>2</v>
      </c>
      <c r="T406" s="157">
        <v>5</v>
      </c>
      <c r="U406" s="157"/>
      <c r="V406" s="157">
        <v>1</v>
      </c>
      <c r="W406" s="157">
        <v>1</v>
      </c>
      <c r="X406" s="157"/>
      <c r="Y406" s="157">
        <f t="shared" si="6"/>
        <v>92</v>
      </c>
    </row>
    <row r="407" spans="1:25" x14ac:dyDescent="0.35">
      <c r="A407" s="157" t="s">
        <v>1046</v>
      </c>
      <c r="B407" s="157" t="s">
        <v>1047</v>
      </c>
      <c r="C407" s="157"/>
      <c r="D407" s="157"/>
      <c r="E407" s="157"/>
      <c r="F407" s="157"/>
      <c r="G407" s="157"/>
      <c r="H407" s="157"/>
      <c r="I407" s="157">
        <v>2</v>
      </c>
      <c r="J407" s="157"/>
      <c r="K407" s="157"/>
      <c r="L407" s="157">
        <v>1</v>
      </c>
      <c r="M407" s="157">
        <v>1</v>
      </c>
      <c r="N407" s="157"/>
      <c r="O407" s="157"/>
      <c r="P407" s="157"/>
      <c r="Q407" s="157"/>
      <c r="R407" s="157"/>
      <c r="S407" s="157"/>
      <c r="T407" s="157">
        <v>1</v>
      </c>
      <c r="U407" s="157"/>
      <c r="V407" s="157">
        <v>1</v>
      </c>
      <c r="W407" s="157"/>
      <c r="X407" s="157"/>
      <c r="Y407" s="157">
        <f t="shared" si="6"/>
        <v>6</v>
      </c>
    </row>
    <row r="408" spans="1:25" x14ac:dyDescent="0.35">
      <c r="A408" s="157" t="s">
        <v>1048</v>
      </c>
      <c r="B408" s="157" t="s">
        <v>1269</v>
      </c>
      <c r="C408" s="157"/>
      <c r="D408" s="157">
        <v>1</v>
      </c>
      <c r="E408" s="157">
        <v>2</v>
      </c>
      <c r="F408" s="157"/>
      <c r="G408" s="157"/>
      <c r="H408" s="157"/>
      <c r="I408" s="157"/>
      <c r="J408" s="157"/>
      <c r="K408" s="157"/>
      <c r="L408" s="157"/>
      <c r="M408" s="157"/>
      <c r="N408" s="157">
        <v>1</v>
      </c>
      <c r="O408" s="157"/>
      <c r="P408" s="157"/>
      <c r="Q408" s="157">
        <v>2</v>
      </c>
      <c r="R408" s="157"/>
      <c r="S408" s="157"/>
      <c r="T408" s="157"/>
      <c r="U408" s="157"/>
      <c r="V408" s="157"/>
      <c r="W408" s="157"/>
      <c r="X408" s="157"/>
      <c r="Y408" s="157">
        <f t="shared" si="6"/>
        <v>6</v>
      </c>
    </row>
    <row r="409" spans="1:25" x14ac:dyDescent="0.35">
      <c r="A409" s="157" t="s">
        <v>1049</v>
      </c>
      <c r="B409" s="157" t="s">
        <v>1050</v>
      </c>
      <c r="C409" s="157"/>
      <c r="D409" s="157"/>
      <c r="E409" s="157"/>
      <c r="F409" s="157">
        <v>1</v>
      </c>
      <c r="G409" s="157"/>
      <c r="H409" s="157"/>
      <c r="I409" s="157">
        <v>1</v>
      </c>
      <c r="J409" s="157"/>
      <c r="K409" s="157"/>
      <c r="L409" s="157">
        <v>1</v>
      </c>
      <c r="M409" s="157"/>
      <c r="N409" s="157"/>
      <c r="O409" s="157"/>
      <c r="P409" s="157"/>
      <c r="Q409" s="157"/>
      <c r="R409" s="157"/>
      <c r="S409" s="157"/>
      <c r="T409" s="157">
        <v>1</v>
      </c>
      <c r="U409" s="157"/>
      <c r="V409" s="157"/>
      <c r="W409" s="157"/>
      <c r="X409" s="157"/>
      <c r="Y409" s="157">
        <f t="shared" si="6"/>
        <v>4</v>
      </c>
    </row>
    <row r="410" spans="1:25" x14ac:dyDescent="0.35">
      <c r="A410" s="157" t="s">
        <v>1051</v>
      </c>
      <c r="B410" s="157" t="s">
        <v>1270</v>
      </c>
      <c r="C410" s="157"/>
      <c r="D410" s="157"/>
      <c r="E410" s="157"/>
      <c r="F410" s="157">
        <v>1</v>
      </c>
      <c r="G410" s="157">
        <v>2</v>
      </c>
      <c r="H410" s="157"/>
      <c r="I410" s="157">
        <v>1</v>
      </c>
      <c r="J410" s="157">
        <v>1</v>
      </c>
      <c r="K410" s="157"/>
      <c r="L410" s="157">
        <v>6</v>
      </c>
      <c r="M410" s="157">
        <v>6</v>
      </c>
      <c r="N410" s="157">
        <v>1</v>
      </c>
      <c r="O410" s="157"/>
      <c r="P410" s="157"/>
      <c r="Q410" s="157">
        <v>1</v>
      </c>
      <c r="R410" s="157">
        <v>1</v>
      </c>
      <c r="S410" s="157"/>
      <c r="T410" s="157">
        <v>2</v>
      </c>
      <c r="U410" s="157"/>
      <c r="V410" s="157"/>
      <c r="W410" s="157"/>
      <c r="X410" s="157"/>
      <c r="Y410" s="157">
        <f t="shared" si="6"/>
        <v>22</v>
      </c>
    </row>
    <row r="411" spans="1:25" x14ac:dyDescent="0.35">
      <c r="A411" s="157" t="s">
        <v>1052</v>
      </c>
      <c r="B411" s="157" t="s">
        <v>1271</v>
      </c>
      <c r="C411" s="157"/>
      <c r="D411" s="157">
        <v>2</v>
      </c>
      <c r="E411" s="157">
        <v>1</v>
      </c>
      <c r="F411" s="157">
        <v>3</v>
      </c>
      <c r="G411" s="157">
        <v>1</v>
      </c>
      <c r="H411" s="157">
        <v>2</v>
      </c>
      <c r="I411" s="157">
        <v>8</v>
      </c>
      <c r="J411" s="157"/>
      <c r="K411" s="157">
        <v>1</v>
      </c>
      <c r="L411" s="157">
        <v>8</v>
      </c>
      <c r="M411" s="157">
        <v>11</v>
      </c>
      <c r="N411" s="157"/>
      <c r="O411" s="157"/>
      <c r="P411" s="157"/>
      <c r="Q411" s="157">
        <v>4</v>
      </c>
      <c r="R411" s="157"/>
      <c r="S411" s="157">
        <v>1</v>
      </c>
      <c r="T411" s="157"/>
      <c r="U411" s="157"/>
      <c r="V411" s="157">
        <v>2</v>
      </c>
      <c r="W411" s="157">
        <v>1</v>
      </c>
      <c r="X411" s="157"/>
      <c r="Y411" s="157">
        <f t="shared" si="6"/>
        <v>45</v>
      </c>
    </row>
    <row r="412" spans="1:25" x14ac:dyDescent="0.35">
      <c r="A412" s="157" t="s">
        <v>1053</v>
      </c>
      <c r="B412" s="157" t="s">
        <v>1054</v>
      </c>
      <c r="C412" s="157"/>
      <c r="D412" s="157"/>
      <c r="E412" s="157"/>
      <c r="F412" s="157"/>
      <c r="G412" s="157"/>
      <c r="H412" s="157"/>
      <c r="I412" s="157"/>
      <c r="J412" s="157"/>
      <c r="K412" s="157"/>
      <c r="L412" s="157">
        <v>7</v>
      </c>
      <c r="M412" s="157">
        <v>2</v>
      </c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>
        <f t="shared" si="6"/>
        <v>9</v>
      </c>
    </row>
    <row r="413" spans="1:25" x14ac:dyDescent="0.35">
      <c r="A413" s="157" t="s">
        <v>1326</v>
      </c>
      <c r="B413" s="157" t="s">
        <v>1327</v>
      </c>
      <c r="C413" s="157"/>
      <c r="D413" s="157"/>
      <c r="E413" s="157">
        <v>1</v>
      </c>
      <c r="F413" s="157"/>
      <c r="G413" s="157"/>
      <c r="H413" s="157"/>
      <c r="I413" s="157"/>
      <c r="J413" s="157"/>
      <c r="K413" s="157"/>
      <c r="L413" s="157">
        <v>1</v>
      </c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>
        <f t="shared" si="6"/>
        <v>2</v>
      </c>
    </row>
    <row r="414" spans="1:25" x14ac:dyDescent="0.35">
      <c r="A414" s="157" t="s">
        <v>1055</v>
      </c>
      <c r="B414" s="157" t="s">
        <v>1056</v>
      </c>
      <c r="C414" s="157"/>
      <c r="D414" s="157"/>
      <c r="E414" s="157">
        <v>1</v>
      </c>
      <c r="F414" s="157"/>
      <c r="G414" s="157"/>
      <c r="H414" s="157"/>
      <c r="I414" s="157">
        <v>1</v>
      </c>
      <c r="J414" s="157"/>
      <c r="K414" s="157"/>
      <c r="L414" s="157"/>
      <c r="M414" s="157">
        <v>1</v>
      </c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>
        <f t="shared" si="6"/>
        <v>3</v>
      </c>
    </row>
    <row r="415" spans="1:25" x14ac:dyDescent="0.35">
      <c r="A415" s="157" t="s">
        <v>1057</v>
      </c>
      <c r="B415" s="157" t="s">
        <v>1058</v>
      </c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>
        <v>1</v>
      </c>
      <c r="N415" s="157"/>
      <c r="O415" s="157"/>
      <c r="P415" s="157"/>
      <c r="Q415" s="157">
        <v>1</v>
      </c>
      <c r="R415" s="157"/>
      <c r="S415" s="157"/>
      <c r="T415" s="157">
        <v>1</v>
      </c>
      <c r="U415" s="157"/>
      <c r="V415" s="157"/>
      <c r="W415" s="157"/>
      <c r="X415" s="157"/>
      <c r="Y415" s="157">
        <f t="shared" si="6"/>
        <v>3</v>
      </c>
    </row>
    <row r="416" spans="1:25" x14ac:dyDescent="0.35">
      <c r="A416" s="157" t="s">
        <v>1059</v>
      </c>
      <c r="B416" s="157" t="s">
        <v>1272</v>
      </c>
      <c r="C416" s="157"/>
      <c r="D416" s="157">
        <v>2</v>
      </c>
      <c r="E416" s="157">
        <v>17</v>
      </c>
      <c r="F416" s="157">
        <v>8</v>
      </c>
      <c r="G416" s="157">
        <v>3</v>
      </c>
      <c r="H416" s="157">
        <v>3</v>
      </c>
      <c r="I416" s="157">
        <v>38</v>
      </c>
      <c r="J416" s="157">
        <v>4</v>
      </c>
      <c r="K416" s="157">
        <v>12</v>
      </c>
      <c r="L416" s="157">
        <v>48</v>
      </c>
      <c r="M416" s="157">
        <v>28</v>
      </c>
      <c r="N416" s="157">
        <v>1</v>
      </c>
      <c r="O416" s="157"/>
      <c r="P416" s="157"/>
      <c r="Q416" s="157">
        <v>7</v>
      </c>
      <c r="R416" s="157">
        <v>4</v>
      </c>
      <c r="S416" s="157">
        <v>1</v>
      </c>
      <c r="T416" s="157">
        <v>3</v>
      </c>
      <c r="U416" s="157">
        <v>2</v>
      </c>
      <c r="V416" s="157">
        <v>2</v>
      </c>
      <c r="W416" s="157">
        <v>4</v>
      </c>
      <c r="X416" s="157">
        <v>1</v>
      </c>
      <c r="Y416" s="157">
        <f t="shared" si="6"/>
        <v>188</v>
      </c>
    </row>
    <row r="417" spans="1:25" x14ac:dyDescent="0.35">
      <c r="A417" s="157" t="s">
        <v>1060</v>
      </c>
      <c r="B417" s="157" t="s">
        <v>1061</v>
      </c>
      <c r="C417" s="157"/>
      <c r="D417" s="157">
        <v>3</v>
      </c>
      <c r="E417" s="157">
        <v>17</v>
      </c>
      <c r="F417" s="157">
        <v>8</v>
      </c>
      <c r="G417" s="157">
        <v>6</v>
      </c>
      <c r="H417" s="157">
        <v>1</v>
      </c>
      <c r="I417" s="157">
        <v>28</v>
      </c>
      <c r="J417" s="157">
        <v>9</v>
      </c>
      <c r="K417" s="157">
        <v>11</v>
      </c>
      <c r="L417" s="157">
        <v>13</v>
      </c>
      <c r="M417" s="157">
        <v>16</v>
      </c>
      <c r="N417" s="157">
        <v>2</v>
      </c>
      <c r="O417" s="157"/>
      <c r="P417" s="157">
        <v>2</v>
      </c>
      <c r="Q417" s="157">
        <v>4</v>
      </c>
      <c r="R417" s="157">
        <v>4</v>
      </c>
      <c r="S417" s="157">
        <v>1</v>
      </c>
      <c r="T417" s="157">
        <v>4</v>
      </c>
      <c r="U417" s="157">
        <v>1</v>
      </c>
      <c r="V417" s="157">
        <v>3</v>
      </c>
      <c r="W417" s="157">
        <v>3</v>
      </c>
      <c r="X417" s="157"/>
      <c r="Y417" s="157">
        <f t="shared" si="6"/>
        <v>136</v>
      </c>
    </row>
    <row r="418" spans="1:25" x14ac:dyDescent="0.35">
      <c r="A418" s="157" t="s">
        <v>1062</v>
      </c>
      <c r="B418" s="157" t="s">
        <v>1063</v>
      </c>
      <c r="C418" s="157">
        <v>2</v>
      </c>
      <c r="D418" s="157">
        <v>3</v>
      </c>
      <c r="E418" s="157">
        <v>14</v>
      </c>
      <c r="F418" s="157">
        <v>3</v>
      </c>
      <c r="G418" s="157">
        <v>1</v>
      </c>
      <c r="H418" s="157">
        <v>2</v>
      </c>
      <c r="I418" s="157">
        <v>14</v>
      </c>
      <c r="J418" s="157">
        <v>1</v>
      </c>
      <c r="K418" s="157">
        <v>10</v>
      </c>
      <c r="L418" s="157">
        <v>6</v>
      </c>
      <c r="M418" s="157">
        <v>17</v>
      </c>
      <c r="N418" s="157">
        <v>1</v>
      </c>
      <c r="O418" s="157"/>
      <c r="P418" s="157"/>
      <c r="Q418" s="157">
        <v>2</v>
      </c>
      <c r="R418" s="157">
        <v>1</v>
      </c>
      <c r="S418" s="157"/>
      <c r="T418" s="157">
        <v>1</v>
      </c>
      <c r="U418" s="157"/>
      <c r="V418" s="157">
        <v>1</v>
      </c>
      <c r="W418" s="157">
        <v>1</v>
      </c>
      <c r="X418" s="157"/>
      <c r="Y418" s="157">
        <f t="shared" si="6"/>
        <v>80</v>
      </c>
    </row>
    <row r="419" spans="1:25" x14ac:dyDescent="0.35">
      <c r="A419" s="157" t="s">
        <v>1064</v>
      </c>
      <c r="B419" s="157" t="s">
        <v>1065</v>
      </c>
      <c r="C419" s="157">
        <v>1</v>
      </c>
      <c r="D419" s="157">
        <v>9</v>
      </c>
      <c r="E419" s="157">
        <v>44</v>
      </c>
      <c r="F419" s="157">
        <v>14</v>
      </c>
      <c r="G419" s="157">
        <v>25</v>
      </c>
      <c r="H419" s="157">
        <v>4</v>
      </c>
      <c r="I419" s="157">
        <v>71</v>
      </c>
      <c r="J419" s="157">
        <v>20</v>
      </c>
      <c r="K419" s="157">
        <v>17</v>
      </c>
      <c r="L419" s="157">
        <v>44</v>
      </c>
      <c r="M419" s="157">
        <v>56</v>
      </c>
      <c r="N419" s="157">
        <v>7</v>
      </c>
      <c r="O419" s="157"/>
      <c r="P419" s="157">
        <v>3</v>
      </c>
      <c r="Q419" s="157">
        <v>11</v>
      </c>
      <c r="R419" s="157">
        <v>5</v>
      </c>
      <c r="S419" s="157">
        <v>4</v>
      </c>
      <c r="T419" s="157">
        <v>3</v>
      </c>
      <c r="U419" s="157">
        <v>2</v>
      </c>
      <c r="V419" s="157">
        <v>4</v>
      </c>
      <c r="W419" s="157">
        <v>3</v>
      </c>
      <c r="X419" s="157">
        <v>3</v>
      </c>
      <c r="Y419" s="157">
        <f t="shared" si="6"/>
        <v>350</v>
      </c>
    </row>
    <row r="420" spans="1:25" x14ac:dyDescent="0.35">
      <c r="A420" s="157" t="s">
        <v>1066</v>
      </c>
      <c r="B420" s="157" t="s">
        <v>1067</v>
      </c>
      <c r="C420" s="157">
        <v>3</v>
      </c>
      <c r="D420" s="157">
        <v>2</v>
      </c>
      <c r="E420" s="157">
        <v>16</v>
      </c>
      <c r="F420" s="157">
        <v>9</v>
      </c>
      <c r="G420" s="157"/>
      <c r="H420" s="157">
        <v>1</v>
      </c>
      <c r="I420" s="157">
        <v>32</v>
      </c>
      <c r="J420" s="157">
        <v>2</v>
      </c>
      <c r="K420" s="157">
        <v>5</v>
      </c>
      <c r="L420" s="157">
        <v>8</v>
      </c>
      <c r="M420" s="157">
        <v>15</v>
      </c>
      <c r="N420" s="157">
        <v>1</v>
      </c>
      <c r="O420" s="157"/>
      <c r="P420" s="157">
        <v>2</v>
      </c>
      <c r="Q420" s="157">
        <v>4</v>
      </c>
      <c r="R420" s="157">
        <v>1</v>
      </c>
      <c r="S420" s="157"/>
      <c r="T420" s="157">
        <v>4</v>
      </c>
      <c r="U420" s="157"/>
      <c r="V420" s="157"/>
      <c r="W420" s="157"/>
      <c r="X420" s="157"/>
      <c r="Y420" s="157">
        <f t="shared" si="6"/>
        <v>105</v>
      </c>
    </row>
    <row r="421" spans="1:25" x14ac:dyDescent="0.35">
      <c r="A421" s="157" t="s">
        <v>1068</v>
      </c>
      <c r="B421" s="157" t="s">
        <v>1069</v>
      </c>
      <c r="C421" s="157"/>
      <c r="D421" s="157"/>
      <c r="E421" s="157">
        <v>8</v>
      </c>
      <c r="F421" s="157">
        <v>4</v>
      </c>
      <c r="G421" s="157">
        <v>2</v>
      </c>
      <c r="H421" s="157">
        <v>1</v>
      </c>
      <c r="I421" s="157">
        <v>36</v>
      </c>
      <c r="J421" s="157">
        <v>1</v>
      </c>
      <c r="K421" s="157">
        <v>5</v>
      </c>
      <c r="L421" s="157">
        <v>6</v>
      </c>
      <c r="M421" s="157">
        <v>6</v>
      </c>
      <c r="N421" s="157"/>
      <c r="O421" s="157"/>
      <c r="P421" s="157">
        <v>1</v>
      </c>
      <c r="Q421" s="157"/>
      <c r="R421" s="157">
        <v>2</v>
      </c>
      <c r="S421" s="157"/>
      <c r="T421" s="157"/>
      <c r="U421" s="157">
        <v>1</v>
      </c>
      <c r="V421" s="157">
        <v>2</v>
      </c>
      <c r="W421" s="157"/>
      <c r="X421" s="157"/>
      <c r="Y421" s="157">
        <f t="shared" si="6"/>
        <v>75</v>
      </c>
    </row>
    <row r="422" spans="1:25" x14ac:dyDescent="0.35">
      <c r="A422" s="157" t="s">
        <v>1070</v>
      </c>
      <c r="B422" s="157" t="s">
        <v>1071</v>
      </c>
      <c r="C422" s="157">
        <v>8</v>
      </c>
      <c r="D422" s="157">
        <v>5</v>
      </c>
      <c r="E422" s="157">
        <v>69</v>
      </c>
      <c r="F422" s="157">
        <v>23</v>
      </c>
      <c r="G422" s="157">
        <v>10</v>
      </c>
      <c r="H422" s="157">
        <v>1</v>
      </c>
      <c r="I422" s="157">
        <v>461</v>
      </c>
      <c r="J422" s="157">
        <v>33</v>
      </c>
      <c r="K422" s="157">
        <v>20</v>
      </c>
      <c r="L422" s="157">
        <v>119</v>
      </c>
      <c r="M422" s="157">
        <v>105</v>
      </c>
      <c r="N422" s="157">
        <v>2</v>
      </c>
      <c r="O422" s="157"/>
      <c r="P422" s="157">
        <v>12</v>
      </c>
      <c r="Q422" s="157">
        <v>10</v>
      </c>
      <c r="R422" s="157">
        <v>17</v>
      </c>
      <c r="S422" s="157">
        <v>2</v>
      </c>
      <c r="T422" s="157">
        <v>5</v>
      </c>
      <c r="U422" s="157">
        <v>1</v>
      </c>
      <c r="V422" s="157">
        <v>8</v>
      </c>
      <c r="W422" s="157">
        <v>10</v>
      </c>
      <c r="X422" s="157">
        <v>5</v>
      </c>
      <c r="Y422" s="157">
        <f t="shared" si="6"/>
        <v>926</v>
      </c>
    </row>
    <row r="423" spans="1:25" x14ac:dyDescent="0.35">
      <c r="A423" s="157" t="s">
        <v>1072</v>
      </c>
      <c r="B423" s="157" t="s">
        <v>1073</v>
      </c>
      <c r="C423" s="157">
        <v>1</v>
      </c>
      <c r="D423" s="157">
        <v>9</v>
      </c>
      <c r="E423" s="157">
        <v>48</v>
      </c>
      <c r="F423" s="157">
        <v>10</v>
      </c>
      <c r="G423" s="157">
        <v>7</v>
      </c>
      <c r="H423" s="157">
        <v>1</v>
      </c>
      <c r="I423" s="157">
        <v>122</v>
      </c>
      <c r="J423" s="157">
        <v>5</v>
      </c>
      <c r="K423" s="157">
        <v>20</v>
      </c>
      <c r="L423" s="157">
        <v>84</v>
      </c>
      <c r="M423" s="157">
        <v>55</v>
      </c>
      <c r="N423" s="157">
        <v>9</v>
      </c>
      <c r="O423" s="157"/>
      <c r="P423" s="157">
        <v>1</v>
      </c>
      <c r="Q423" s="157">
        <v>12</v>
      </c>
      <c r="R423" s="157">
        <v>5</v>
      </c>
      <c r="S423" s="157"/>
      <c r="T423" s="157">
        <v>6</v>
      </c>
      <c r="U423" s="157">
        <v>4</v>
      </c>
      <c r="V423" s="157"/>
      <c r="W423" s="157">
        <v>5</v>
      </c>
      <c r="X423" s="157">
        <v>1</v>
      </c>
      <c r="Y423" s="157">
        <f t="shared" si="6"/>
        <v>405</v>
      </c>
    </row>
    <row r="424" spans="1:25" x14ac:dyDescent="0.35">
      <c r="A424" s="157" t="s">
        <v>1074</v>
      </c>
      <c r="B424" s="157" t="s">
        <v>1075</v>
      </c>
      <c r="C424" s="157">
        <v>3</v>
      </c>
      <c r="D424" s="157">
        <v>5</v>
      </c>
      <c r="E424" s="157">
        <v>24</v>
      </c>
      <c r="F424" s="157">
        <v>2</v>
      </c>
      <c r="G424" s="157">
        <v>1</v>
      </c>
      <c r="H424" s="157"/>
      <c r="I424" s="157">
        <v>63</v>
      </c>
      <c r="J424" s="157">
        <v>4</v>
      </c>
      <c r="K424" s="157">
        <v>3</v>
      </c>
      <c r="L424" s="157">
        <v>44</v>
      </c>
      <c r="M424" s="157">
        <v>17</v>
      </c>
      <c r="N424" s="157">
        <v>1</v>
      </c>
      <c r="O424" s="157"/>
      <c r="P424" s="157">
        <v>1</v>
      </c>
      <c r="Q424" s="157">
        <v>4</v>
      </c>
      <c r="R424" s="157">
        <v>1</v>
      </c>
      <c r="S424" s="157">
        <v>2</v>
      </c>
      <c r="T424" s="157"/>
      <c r="U424" s="157"/>
      <c r="V424" s="157">
        <v>2</v>
      </c>
      <c r="W424" s="157">
        <v>1</v>
      </c>
      <c r="X424" s="157">
        <v>1</v>
      </c>
      <c r="Y424" s="157">
        <f t="shared" si="6"/>
        <v>179</v>
      </c>
    </row>
    <row r="425" spans="1:25" x14ac:dyDescent="0.35">
      <c r="A425" s="157" t="s">
        <v>1076</v>
      </c>
      <c r="B425" s="157" t="s">
        <v>1077</v>
      </c>
      <c r="C425" s="157">
        <v>10</v>
      </c>
      <c r="D425" s="157">
        <v>6</v>
      </c>
      <c r="E425" s="157">
        <v>45</v>
      </c>
      <c r="F425" s="157">
        <v>13</v>
      </c>
      <c r="G425" s="157">
        <v>9</v>
      </c>
      <c r="H425" s="157">
        <v>3</v>
      </c>
      <c r="I425" s="157">
        <v>105</v>
      </c>
      <c r="J425" s="157">
        <v>7</v>
      </c>
      <c r="K425" s="157">
        <v>24</v>
      </c>
      <c r="L425" s="157">
        <v>51</v>
      </c>
      <c r="M425" s="157">
        <v>66</v>
      </c>
      <c r="N425" s="157">
        <v>1</v>
      </c>
      <c r="O425" s="157"/>
      <c r="P425" s="157">
        <v>1</v>
      </c>
      <c r="Q425" s="157">
        <v>4</v>
      </c>
      <c r="R425" s="157">
        <v>3</v>
      </c>
      <c r="S425" s="157">
        <v>3</v>
      </c>
      <c r="T425" s="157">
        <v>5</v>
      </c>
      <c r="U425" s="157">
        <v>2</v>
      </c>
      <c r="V425" s="157">
        <v>2</v>
      </c>
      <c r="W425" s="157">
        <v>5</v>
      </c>
      <c r="X425" s="157"/>
      <c r="Y425" s="157">
        <f t="shared" si="6"/>
        <v>365</v>
      </c>
    </row>
    <row r="426" spans="1:25" x14ac:dyDescent="0.35">
      <c r="A426" s="157" t="s">
        <v>1078</v>
      </c>
      <c r="B426" s="157" t="s">
        <v>1079</v>
      </c>
      <c r="C426" s="157">
        <v>2</v>
      </c>
      <c r="D426" s="157">
        <v>17</v>
      </c>
      <c r="E426" s="157">
        <v>45</v>
      </c>
      <c r="F426" s="157">
        <v>15</v>
      </c>
      <c r="G426" s="157">
        <v>8</v>
      </c>
      <c r="H426" s="157">
        <v>7</v>
      </c>
      <c r="I426" s="157">
        <v>91</v>
      </c>
      <c r="J426" s="157">
        <v>15</v>
      </c>
      <c r="K426" s="157">
        <v>15</v>
      </c>
      <c r="L426" s="157">
        <v>52</v>
      </c>
      <c r="M426" s="157">
        <v>54</v>
      </c>
      <c r="N426" s="157">
        <v>3</v>
      </c>
      <c r="O426" s="157"/>
      <c r="P426" s="157">
        <v>1</v>
      </c>
      <c r="Q426" s="157">
        <v>15</v>
      </c>
      <c r="R426" s="157">
        <v>4</v>
      </c>
      <c r="S426" s="157">
        <v>5</v>
      </c>
      <c r="T426" s="157">
        <v>3</v>
      </c>
      <c r="U426" s="157"/>
      <c r="V426" s="157">
        <v>4</v>
      </c>
      <c r="W426" s="157">
        <v>4</v>
      </c>
      <c r="X426" s="157">
        <v>1</v>
      </c>
      <c r="Y426" s="157">
        <f t="shared" si="6"/>
        <v>361</v>
      </c>
    </row>
    <row r="427" spans="1:25" x14ac:dyDescent="0.35">
      <c r="A427" s="157" t="s">
        <v>1080</v>
      </c>
      <c r="B427" s="157" t="s">
        <v>1081</v>
      </c>
      <c r="C427" s="157"/>
      <c r="D427" s="157">
        <v>1</v>
      </c>
      <c r="E427" s="157">
        <v>2</v>
      </c>
      <c r="F427" s="157">
        <v>1</v>
      </c>
      <c r="G427" s="157"/>
      <c r="H427" s="157"/>
      <c r="I427" s="157"/>
      <c r="J427" s="157">
        <v>1</v>
      </c>
      <c r="K427" s="157">
        <v>2</v>
      </c>
      <c r="L427" s="157">
        <v>2</v>
      </c>
      <c r="M427" s="157">
        <v>7</v>
      </c>
      <c r="N427" s="157"/>
      <c r="O427" s="157"/>
      <c r="P427" s="157"/>
      <c r="Q427" s="157">
        <v>1</v>
      </c>
      <c r="R427" s="157">
        <v>1</v>
      </c>
      <c r="S427" s="157">
        <v>1</v>
      </c>
      <c r="T427" s="157"/>
      <c r="U427" s="157">
        <v>1</v>
      </c>
      <c r="V427" s="157"/>
      <c r="W427" s="157"/>
      <c r="X427" s="157"/>
      <c r="Y427" s="157">
        <f t="shared" si="6"/>
        <v>20</v>
      </c>
    </row>
    <row r="428" spans="1:25" x14ac:dyDescent="0.35">
      <c r="A428" s="157" t="s">
        <v>1082</v>
      </c>
      <c r="B428" s="157" t="s">
        <v>1083</v>
      </c>
      <c r="C428" s="157"/>
      <c r="D428" s="157"/>
      <c r="E428" s="157"/>
      <c r="F428" s="157"/>
      <c r="G428" s="157"/>
      <c r="H428" s="157"/>
      <c r="I428" s="157">
        <v>1</v>
      </c>
      <c r="J428" s="157"/>
      <c r="K428" s="157"/>
      <c r="L428" s="157">
        <v>1</v>
      </c>
      <c r="M428" s="157">
        <v>1</v>
      </c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>
        <f t="shared" si="6"/>
        <v>3</v>
      </c>
    </row>
    <row r="429" spans="1:25" x14ac:dyDescent="0.35">
      <c r="A429" s="157" t="s">
        <v>1084</v>
      </c>
      <c r="B429" s="157" t="s">
        <v>1085</v>
      </c>
      <c r="C429" s="157"/>
      <c r="D429" s="157"/>
      <c r="E429" s="157">
        <v>15</v>
      </c>
      <c r="F429" s="157">
        <v>5</v>
      </c>
      <c r="G429" s="157"/>
      <c r="H429" s="157">
        <v>2</v>
      </c>
      <c r="I429" s="157">
        <v>5</v>
      </c>
      <c r="J429" s="157"/>
      <c r="K429" s="157">
        <v>14</v>
      </c>
      <c r="L429" s="157">
        <v>12</v>
      </c>
      <c r="M429" s="157">
        <v>37</v>
      </c>
      <c r="N429" s="157">
        <v>1</v>
      </c>
      <c r="O429" s="157">
        <v>1</v>
      </c>
      <c r="P429" s="157"/>
      <c r="Q429" s="157">
        <v>1</v>
      </c>
      <c r="R429" s="157"/>
      <c r="S429" s="157">
        <v>2</v>
      </c>
      <c r="T429" s="157">
        <v>2</v>
      </c>
      <c r="U429" s="157"/>
      <c r="V429" s="157"/>
      <c r="W429" s="157">
        <v>1</v>
      </c>
      <c r="X429" s="157">
        <v>1</v>
      </c>
      <c r="Y429" s="157">
        <f t="shared" si="6"/>
        <v>99</v>
      </c>
    </row>
    <row r="430" spans="1:25" x14ac:dyDescent="0.35">
      <c r="A430" s="157" t="s">
        <v>1086</v>
      </c>
      <c r="B430" s="157" t="s">
        <v>1087</v>
      </c>
      <c r="C430" s="157"/>
      <c r="D430" s="157"/>
      <c r="E430" s="157"/>
      <c r="F430" s="157"/>
      <c r="G430" s="157"/>
      <c r="H430" s="157"/>
      <c r="I430" s="157">
        <v>2</v>
      </c>
      <c r="J430" s="157"/>
      <c r="K430" s="157"/>
      <c r="L430" s="157">
        <v>2</v>
      </c>
      <c r="M430" s="157">
        <v>2</v>
      </c>
      <c r="N430" s="157"/>
      <c r="O430" s="157"/>
      <c r="P430" s="157"/>
      <c r="Q430" s="157"/>
      <c r="R430" s="157"/>
      <c r="S430" s="157"/>
      <c r="T430" s="157"/>
      <c r="U430" s="157"/>
      <c r="V430" s="157"/>
      <c r="W430" s="157">
        <v>1</v>
      </c>
      <c r="X430" s="157"/>
      <c r="Y430" s="157">
        <f t="shared" si="6"/>
        <v>7</v>
      </c>
    </row>
    <row r="431" spans="1:25" x14ac:dyDescent="0.35">
      <c r="A431" s="157" t="s">
        <v>1088</v>
      </c>
      <c r="B431" s="157" t="s">
        <v>1089</v>
      </c>
      <c r="C431" s="157"/>
      <c r="D431" s="157"/>
      <c r="E431" s="157"/>
      <c r="F431" s="157">
        <v>1</v>
      </c>
      <c r="G431" s="157"/>
      <c r="H431" s="157"/>
      <c r="I431" s="157">
        <v>1</v>
      </c>
      <c r="J431" s="157"/>
      <c r="K431" s="157"/>
      <c r="L431" s="157">
        <v>1</v>
      </c>
      <c r="M431" s="157">
        <v>4</v>
      </c>
      <c r="N431" s="157"/>
      <c r="O431" s="157"/>
      <c r="P431" s="157"/>
      <c r="Q431" s="157"/>
      <c r="R431" s="157"/>
      <c r="S431" s="157">
        <v>1</v>
      </c>
      <c r="T431" s="157"/>
      <c r="U431" s="157"/>
      <c r="V431" s="157"/>
      <c r="W431" s="157">
        <v>1</v>
      </c>
      <c r="X431" s="157"/>
      <c r="Y431" s="157">
        <f t="shared" si="6"/>
        <v>9</v>
      </c>
    </row>
    <row r="432" spans="1:25" x14ac:dyDescent="0.35">
      <c r="A432" s="157" t="s">
        <v>1202</v>
      </c>
      <c r="B432" s="157" t="s">
        <v>1273</v>
      </c>
      <c r="C432" s="157">
        <v>1</v>
      </c>
      <c r="D432" s="157">
        <v>1</v>
      </c>
      <c r="E432" s="157"/>
      <c r="F432" s="157">
        <v>1</v>
      </c>
      <c r="G432" s="157"/>
      <c r="H432" s="157"/>
      <c r="I432" s="157"/>
      <c r="J432" s="157"/>
      <c r="K432" s="157"/>
      <c r="L432" s="157"/>
      <c r="M432" s="157">
        <v>1</v>
      </c>
      <c r="N432" s="157"/>
      <c r="O432" s="157"/>
      <c r="P432" s="157"/>
      <c r="Q432" s="157">
        <v>1</v>
      </c>
      <c r="R432" s="157"/>
      <c r="S432" s="157"/>
      <c r="T432" s="157"/>
      <c r="U432" s="157"/>
      <c r="V432" s="157"/>
      <c r="W432" s="157"/>
      <c r="X432" s="157"/>
      <c r="Y432" s="157">
        <f t="shared" si="6"/>
        <v>5</v>
      </c>
    </row>
    <row r="433" spans="1:25" x14ac:dyDescent="0.35">
      <c r="A433" s="157" t="s">
        <v>1203</v>
      </c>
      <c r="B433" s="157" t="s">
        <v>1274</v>
      </c>
      <c r="C433" s="157"/>
      <c r="D433" s="157"/>
      <c r="E433" s="157"/>
      <c r="F433" s="157"/>
      <c r="G433" s="157"/>
      <c r="H433" s="157"/>
      <c r="I433" s="157">
        <v>1</v>
      </c>
      <c r="J433" s="157"/>
      <c r="K433" s="157"/>
      <c r="L433" s="157">
        <v>1</v>
      </c>
      <c r="M433" s="157">
        <v>3</v>
      </c>
      <c r="N433" s="157"/>
      <c r="O433" s="157"/>
      <c r="P433" s="157"/>
      <c r="Q433" s="157"/>
      <c r="R433" s="157"/>
      <c r="S433" s="157">
        <v>1</v>
      </c>
      <c r="T433" s="157">
        <v>1</v>
      </c>
      <c r="U433" s="157"/>
      <c r="V433" s="157"/>
      <c r="W433" s="157"/>
      <c r="X433" s="157"/>
      <c r="Y433" s="157">
        <f t="shared" si="6"/>
        <v>7</v>
      </c>
    </row>
    <row r="434" spans="1:25" x14ac:dyDescent="0.35">
      <c r="A434" s="157" t="s">
        <v>1090</v>
      </c>
      <c r="B434" s="157" t="s">
        <v>1091</v>
      </c>
      <c r="C434" s="157"/>
      <c r="D434" s="157">
        <v>1</v>
      </c>
      <c r="E434" s="157">
        <v>4</v>
      </c>
      <c r="F434" s="157"/>
      <c r="G434" s="157"/>
      <c r="H434" s="157"/>
      <c r="I434" s="157">
        <v>1</v>
      </c>
      <c r="J434" s="157"/>
      <c r="K434" s="157"/>
      <c r="L434" s="157">
        <v>1</v>
      </c>
      <c r="M434" s="157">
        <v>2</v>
      </c>
      <c r="N434" s="157"/>
      <c r="O434" s="157"/>
      <c r="P434" s="157"/>
      <c r="Q434" s="157"/>
      <c r="R434" s="157">
        <v>1</v>
      </c>
      <c r="S434" s="157"/>
      <c r="T434" s="157"/>
      <c r="U434" s="157"/>
      <c r="V434" s="157"/>
      <c r="W434" s="157"/>
      <c r="X434" s="157"/>
      <c r="Y434" s="157">
        <f t="shared" si="6"/>
        <v>10</v>
      </c>
    </row>
    <row r="435" spans="1:25" x14ac:dyDescent="0.35">
      <c r="A435" s="157" t="s">
        <v>1092</v>
      </c>
      <c r="B435" s="157" t="s">
        <v>1093</v>
      </c>
      <c r="C435" s="157"/>
      <c r="D435" s="157">
        <v>3</v>
      </c>
      <c r="E435" s="157">
        <v>11</v>
      </c>
      <c r="F435" s="157">
        <v>7</v>
      </c>
      <c r="G435" s="157">
        <v>2</v>
      </c>
      <c r="H435" s="157"/>
      <c r="I435" s="157">
        <v>28</v>
      </c>
      <c r="J435" s="157">
        <v>2</v>
      </c>
      <c r="K435" s="157">
        <v>8</v>
      </c>
      <c r="L435" s="157">
        <v>9</v>
      </c>
      <c r="M435" s="157">
        <v>9</v>
      </c>
      <c r="N435" s="157">
        <v>1</v>
      </c>
      <c r="O435" s="157"/>
      <c r="P435" s="157">
        <v>1</v>
      </c>
      <c r="Q435" s="157">
        <v>4</v>
      </c>
      <c r="R435" s="157"/>
      <c r="S435" s="157">
        <v>2</v>
      </c>
      <c r="T435" s="157">
        <v>2</v>
      </c>
      <c r="U435" s="157">
        <v>1</v>
      </c>
      <c r="V435" s="157">
        <v>2</v>
      </c>
      <c r="W435" s="157">
        <v>2</v>
      </c>
      <c r="X435" s="157"/>
      <c r="Y435" s="157">
        <f t="shared" si="6"/>
        <v>94</v>
      </c>
    </row>
    <row r="436" spans="1:25" x14ac:dyDescent="0.35">
      <c r="A436" s="157" t="s">
        <v>1094</v>
      </c>
      <c r="B436" s="157" t="s">
        <v>1095</v>
      </c>
      <c r="C436" s="157"/>
      <c r="D436" s="157"/>
      <c r="E436" s="157"/>
      <c r="F436" s="157">
        <v>1</v>
      </c>
      <c r="G436" s="157"/>
      <c r="H436" s="157"/>
      <c r="I436" s="157">
        <v>2</v>
      </c>
      <c r="J436" s="157"/>
      <c r="K436" s="157"/>
      <c r="L436" s="157">
        <v>1</v>
      </c>
      <c r="M436" s="157">
        <v>1</v>
      </c>
      <c r="N436" s="157">
        <v>1</v>
      </c>
      <c r="O436" s="157"/>
      <c r="P436" s="157"/>
      <c r="Q436" s="157">
        <v>1</v>
      </c>
      <c r="R436" s="157"/>
      <c r="S436" s="157"/>
      <c r="T436" s="157"/>
      <c r="U436" s="157"/>
      <c r="V436" s="157"/>
      <c r="W436" s="157"/>
      <c r="X436" s="157"/>
      <c r="Y436" s="157">
        <f t="shared" si="6"/>
        <v>7</v>
      </c>
    </row>
    <row r="437" spans="1:25" x14ac:dyDescent="0.35">
      <c r="A437" s="157" t="s">
        <v>1096</v>
      </c>
      <c r="B437" s="157" t="s">
        <v>1097</v>
      </c>
      <c r="C437" s="157">
        <v>3</v>
      </c>
      <c r="D437" s="157">
        <v>4</v>
      </c>
      <c r="E437" s="157">
        <v>32</v>
      </c>
      <c r="F437" s="157">
        <v>10</v>
      </c>
      <c r="G437" s="157">
        <v>4</v>
      </c>
      <c r="H437" s="157">
        <v>3</v>
      </c>
      <c r="I437" s="157">
        <v>69</v>
      </c>
      <c r="J437" s="157">
        <v>9</v>
      </c>
      <c r="K437" s="157">
        <v>22</v>
      </c>
      <c r="L437" s="157">
        <v>24</v>
      </c>
      <c r="M437" s="157">
        <v>57</v>
      </c>
      <c r="N437" s="157">
        <v>3</v>
      </c>
      <c r="O437" s="157"/>
      <c r="P437" s="157">
        <v>6</v>
      </c>
      <c r="Q437" s="157">
        <v>10</v>
      </c>
      <c r="R437" s="157">
        <v>7</v>
      </c>
      <c r="S437" s="157"/>
      <c r="T437" s="157">
        <v>5</v>
      </c>
      <c r="U437" s="157">
        <v>2</v>
      </c>
      <c r="V437" s="157">
        <v>4</v>
      </c>
      <c r="W437" s="157">
        <v>1</v>
      </c>
      <c r="X437" s="157">
        <v>2</v>
      </c>
      <c r="Y437" s="157">
        <f t="shared" si="6"/>
        <v>277</v>
      </c>
    </row>
    <row r="438" spans="1:25" x14ac:dyDescent="0.35">
      <c r="A438" s="157" t="s">
        <v>1098</v>
      </c>
      <c r="B438" s="157" t="s">
        <v>1099</v>
      </c>
      <c r="C438" s="157">
        <v>1</v>
      </c>
      <c r="D438" s="157"/>
      <c r="E438" s="157">
        <v>8</v>
      </c>
      <c r="F438" s="157">
        <v>2</v>
      </c>
      <c r="G438" s="157">
        <v>2</v>
      </c>
      <c r="H438" s="157"/>
      <c r="I438" s="157">
        <v>10</v>
      </c>
      <c r="J438" s="157">
        <v>3</v>
      </c>
      <c r="K438" s="157">
        <v>3</v>
      </c>
      <c r="L438" s="157">
        <v>5</v>
      </c>
      <c r="M438" s="157">
        <v>2</v>
      </c>
      <c r="N438" s="157"/>
      <c r="O438" s="157"/>
      <c r="P438" s="157">
        <v>2</v>
      </c>
      <c r="Q438" s="157">
        <v>3</v>
      </c>
      <c r="R438" s="157">
        <v>1</v>
      </c>
      <c r="S438" s="157">
        <v>2</v>
      </c>
      <c r="T438" s="157">
        <v>3</v>
      </c>
      <c r="U438" s="157"/>
      <c r="V438" s="157"/>
      <c r="W438" s="157"/>
      <c r="X438" s="157"/>
      <c r="Y438" s="157">
        <f t="shared" si="6"/>
        <v>47</v>
      </c>
    </row>
    <row r="439" spans="1:25" x14ac:dyDescent="0.35">
      <c r="A439" s="157" t="s">
        <v>1100</v>
      </c>
      <c r="B439" s="157" t="s">
        <v>1101</v>
      </c>
      <c r="C439" s="157">
        <v>1</v>
      </c>
      <c r="D439" s="157">
        <v>1</v>
      </c>
      <c r="E439" s="157">
        <v>4</v>
      </c>
      <c r="F439" s="157"/>
      <c r="G439" s="157">
        <v>1</v>
      </c>
      <c r="H439" s="157"/>
      <c r="I439" s="157">
        <v>4</v>
      </c>
      <c r="J439" s="157"/>
      <c r="K439" s="157">
        <v>2</v>
      </c>
      <c r="L439" s="157">
        <v>3</v>
      </c>
      <c r="M439" s="157"/>
      <c r="N439" s="157">
        <v>1</v>
      </c>
      <c r="O439" s="157"/>
      <c r="P439" s="157"/>
      <c r="Q439" s="157"/>
      <c r="R439" s="157"/>
      <c r="S439" s="157"/>
      <c r="T439" s="157">
        <v>1</v>
      </c>
      <c r="U439" s="157"/>
      <c r="V439" s="157">
        <v>1</v>
      </c>
      <c r="W439" s="157">
        <v>2</v>
      </c>
      <c r="X439" s="157"/>
      <c r="Y439" s="157">
        <f t="shared" si="6"/>
        <v>21</v>
      </c>
    </row>
    <row r="440" spans="1:25" x14ac:dyDescent="0.35">
      <c r="A440" s="157" t="s">
        <v>1102</v>
      </c>
      <c r="B440" s="157" t="s">
        <v>1103</v>
      </c>
      <c r="C440" s="157">
        <v>8</v>
      </c>
      <c r="D440" s="157">
        <v>8</v>
      </c>
      <c r="E440" s="157">
        <v>37</v>
      </c>
      <c r="F440" s="157">
        <v>27</v>
      </c>
      <c r="G440" s="157">
        <v>12</v>
      </c>
      <c r="H440" s="157">
        <v>6</v>
      </c>
      <c r="I440" s="157">
        <v>88</v>
      </c>
      <c r="J440" s="157">
        <v>28</v>
      </c>
      <c r="K440" s="157">
        <v>26</v>
      </c>
      <c r="L440" s="157">
        <v>23</v>
      </c>
      <c r="M440" s="157">
        <v>24</v>
      </c>
      <c r="N440" s="157">
        <v>7</v>
      </c>
      <c r="O440" s="157"/>
      <c r="P440" s="157">
        <v>2</v>
      </c>
      <c r="Q440" s="157">
        <v>12</v>
      </c>
      <c r="R440" s="157">
        <v>5</v>
      </c>
      <c r="S440" s="157">
        <v>6</v>
      </c>
      <c r="T440" s="157">
        <v>15</v>
      </c>
      <c r="U440" s="157">
        <v>2</v>
      </c>
      <c r="V440" s="157">
        <v>3</v>
      </c>
      <c r="W440" s="157">
        <v>14</v>
      </c>
      <c r="X440" s="157">
        <v>1</v>
      </c>
      <c r="Y440" s="157">
        <f t="shared" si="6"/>
        <v>354</v>
      </c>
    </row>
    <row r="441" spans="1:25" x14ac:dyDescent="0.35">
      <c r="A441" s="157" t="s">
        <v>1104</v>
      </c>
      <c r="B441" s="157" t="s">
        <v>1275</v>
      </c>
      <c r="C441" s="157">
        <v>2</v>
      </c>
      <c r="D441" s="157">
        <v>2</v>
      </c>
      <c r="E441" s="157">
        <v>9</v>
      </c>
      <c r="F441" s="157">
        <v>3</v>
      </c>
      <c r="G441" s="157">
        <v>1</v>
      </c>
      <c r="H441" s="157">
        <v>2</v>
      </c>
      <c r="I441" s="157">
        <v>12</v>
      </c>
      <c r="J441" s="157">
        <v>2</v>
      </c>
      <c r="K441" s="157">
        <v>2</v>
      </c>
      <c r="L441" s="157">
        <v>6</v>
      </c>
      <c r="M441" s="157">
        <v>6</v>
      </c>
      <c r="N441" s="157"/>
      <c r="O441" s="157"/>
      <c r="P441" s="157">
        <v>1</v>
      </c>
      <c r="Q441" s="157">
        <v>3</v>
      </c>
      <c r="R441" s="157">
        <v>1</v>
      </c>
      <c r="S441" s="157">
        <v>2</v>
      </c>
      <c r="T441" s="157"/>
      <c r="U441" s="157"/>
      <c r="V441" s="157"/>
      <c r="W441" s="157">
        <v>2</v>
      </c>
      <c r="X441" s="157"/>
      <c r="Y441" s="157">
        <f t="shared" si="6"/>
        <v>56</v>
      </c>
    </row>
    <row r="442" spans="1:25" x14ac:dyDescent="0.35">
      <c r="A442" s="157" t="s">
        <v>1105</v>
      </c>
      <c r="B442" s="157" t="s">
        <v>1106</v>
      </c>
      <c r="C442" s="157"/>
      <c r="D442" s="157"/>
      <c r="E442" s="157">
        <v>1</v>
      </c>
      <c r="F442" s="157"/>
      <c r="G442" s="157"/>
      <c r="H442" s="157"/>
      <c r="I442" s="157">
        <v>1</v>
      </c>
      <c r="J442" s="157">
        <v>1</v>
      </c>
      <c r="K442" s="157">
        <v>1</v>
      </c>
      <c r="L442" s="157">
        <v>2</v>
      </c>
      <c r="M442" s="157">
        <v>2</v>
      </c>
      <c r="N442" s="157"/>
      <c r="O442" s="157"/>
      <c r="P442" s="157"/>
      <c r="Q442" s="157"/>
      <c r="R442" s="157"/>
      <c r="S442" s="157"/>
      <c r="T442" s="157"/>
      <c r="U442" s="157"/>
      <c r="V442" s="157"/>
      <c r="W442" s="157">
        <v>1</v>
      </c>
      <c r="X442" s="157"/>
      <c r="Y442" s="157">
        <f t="shared" si="6"/>
        <v>9</v>
      </c>
    </row>
    <row r="443" spans="1:25" x14ac:dyDescent="0.35">
      <c r="A443" s="157" t="s">
        <v>1107</v>
      </c>
      <c r="B443" s="157" t="s">
        <v>1108</v>
      </c>
      <c r="C443" s="157"/>
      <c r="D443" s="157"/>
      <c r="E443" s="157"/>
      <c r="F443" s="157"/>
      <c r="G443" s="157"/>
      <c r="H443" s="157"/>
      <c r="I443" s="157">
        <v>3</v>
      </c>
      <c r="J443" s="157">
        <v>1</v>
      </c>
      <c r="K443" s="157">
        <v>1</v>
      </c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>
        <f t="shared" si="6"/>
        <v>5</v>
      </c>
    </row>
    <row r="444" spans="1:25" x14ac:dyDescent="0.35">
      <c r="A444" s="157" t="s">
        <v>1109</v>
      </c>
      <c r="B444" s="157" t="s">
        <v>1110</v>
      </c>
      <c r="C444" s="157"/>
      <c r="D444" s="157"/>
      <c r="E444" s="157"/>
      <c r="F444" s="157"/>
      <c r="G444" s="157"/>
      <c r="H444" s="157"/>
      <c r="I444" s="157">
        <v>4</v>
      </c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>
        <v>1</v>
      </c>
      <c r="W444" s="157"/>
      <c r="X444" s="157">
        <v>1</v>
      </c>
      <c r="Y444" s="157">
        <f t="shared" si="6"/>
        <v>6</v>
      </c>
    </row>
    <row r="445" spans="1:25" x14ac:dyDescent="0.35">
      <c r="A445" s="157" t="s">
        <v>1111</v>
      </c>
      <c r="B445" s="157" t="s">
        <v>245</v>
      </c>
      <c r="C445" s="157">
        <v>1</v>
      </c>
      <c r="D445" s="157">
        <v>45</v>
      </c>
      <c r="E445" s="157">
        <v>37</v>
      </c>
      <c r="F445" s="157">
        <v>21</v>
      </c>
      <c r="G445" s="157">
        <v>24</v>
      </c>
      <c r="H445" s="157">
        <v>24</v>
      </c>
      <c r="I445" s="157">
        <v>19</v>
      </c>
      <c r="J445" s="157">
        <v>11</v>
      </c>
      <c r="K445" s="157">
        <v>12</v>
      </c>
      <c r="L445" s="157">
        <v>86</v>
      </c>
      <c r="M445" s="157">
        <v>26</v>
      </c>
      <c r="N445" s="157">
        <v>20</v>
      </c>
      <c r="O445" s="157"/>
      <c r="P445" s="157">
        <v>33</v>
      </c>
      <c r="Q445" s="157">
        <v>14</v>
      </c>
      <c r="R445" s="157">
        <v>15</v>
      </c>
      <c r="S445" s="157">
        <v>14</v>
      </c>
      <c r="T445" s="157">
        <v>39</v>
      </c>
      <c r="U445" s="157">
        <v>21</v>
      </c>
      <c r="V445" s="157">
        <v>2</v>
      </c>
      <c r="W445" s="157">
        <v>26</v>
      </c>
      <c r="X445" s="157">
        <v>1</v>
      </c>
      <c r="Y445" s="157">
        <f t="shared" si="6"/>
        <v>491</v>
      </c>
    </row>
    <row r="446" spans="1:25" x14ac:dyDescent="0.35">
      <c r="A446" s="157" t="s">
        <v>1112</v>
      </c>
      <c r="B446" s="157" t="s">
        <v>1113</v>
      </c>
      <c r="C446" s="157"/>
      <c r="D446" s="157">
        <v>7</v>
      </c>
      <c r="E446" s="157">
        <v>16</v>
      </c>
      <c r="F446" s="157">
        <v>6</v>
      </c>
      <c r="G446" s="157">
        <v>7</v>
      </c>
      <c r="H446" s="157">
        <v>6</v>
      </c>
      <c r="I446" s="157">
        <v>24</v>
      </c>
      <c r="J446" s="157">
        <v>10</v>
      </c>
      <c r="K446" s="157">
        <v>10</v>
      </c>
      <c r="L446" s="157">
        <v>8</v>
      </c>
      <c r="M446" s="157">
        <v>17</v>
      </c>
      <c r="N446" s="157">
        <v>8</v>
      </c>
      <c r="O446" s="157">
        <v>1</v>
      </c>
      <c r="P446" s="157">
        <v>5</v>
      </c>
      <c r="Q446" s="157">
        <v>11</v>
      </c>
      <c r="R446" s="157">
        <v>3</v>
      </c>
      <c r="S446" s="157"/>
      <c r="T446" s="157">
        <v>5</v>
      </c>
      <c r="U446" s="157">
        <v>1</v>
      </c>
      <c r="V446" s="157"/>
      <c r="W446" s="157">
        <v>5</v>
      </c>
      <c r="X446" s="157">
        <v>1</v>
      </c>
      <c r="Y446" s="157">
        <f t="shared" si="6"/>
        <v>151</v>
      </c>
    </row>
    <row r="447" spans="1:25" x14ac:dyDescent="0.35">
      <c r="A447" s="157" t="s">
        <v>1114</v>
      </c>
      <c r="B447" s="157" t="s">
        <v>1115</v>
      </c>
      <c r="C447" s="157"/>
      <c r="D447" s="157"/>
      <c r="E447" s="157">
        <v>2</v>
      </c>
      <c r="F447" s="157"/>
      <c r="G447" s="157">
        <v>1</v>
      </c>
      <c r="H447" s="157">
        <v>2</v>
      </c>
      <c r="I447" s="157">
        <v>7</v>
      </c>
      <c r="J447" s="157">
        <v>2</v>
      </c>
      <c r="K447" s="157">
        <v>2</v>
      </c>
      <c r="L447" s="157">
        <v>2</v>
      </c>
      <c r="M447" s="157">
        <v>5</v>
      </c>
      <c r="N447" s="157"/>
      <c r="O447" s="157"/>
      <c r="P447" s="157"/>
      <c r="Q447" s="157"/>
      <c r="R447" s="157"/>
      <c r="S447" s="157"/>
      <c r="T447" s="157">
        <v>1</v>
      </c>
      <c r="U447" s="157">
        <v>1</v>
      </c>
      <c r="V447" s="157">
        <v>1</v>
      </c>
      <c r="W447" s="157"/>
      <c r="X447" s="157"/>
      <c r="Y447" s="157">
        <f t="shared" si="6"/>
        <v>26</v>
      </c>
    </row>
    <row r="448" spans="1:25" x14ac:dyDescent="0.35">
      <c r="A448" s="157" t="s">
        <v>1116</v>
      </c>
      <c r="B448" s="157" t="s">
        <v>1117</v>
      </c>
      <c r="C448" s="157">
        <v>3</v>
      </c>
      <c r="D448" s="157">
        <v>2</v>
      </c>
      <c r="E448" s="157">
        <v>16</v>
      </c>
      <c r="F448" s="157">
        <v>8</v>
      </c>
      <c r="G448" s="157">
        <v>1</v>
      </c>
      <c r="H448" s="157"/>
      <c r="I448" s="157">
        <v>21</v>
      </c>
      <c r="J448" s="157">
        <v>5</v>
      </c>
      <c r="K448" s="157">
        <v>12</v>
      </c>
      <c r="L448" s="157">
        <v>6</v>
      </c>
      <c r="M448" s="157">
        <v>18</v>
      </c>
      <c r="N448" s="157">
        <v>2</v>
      </c>
      <c r="O448" s="157"/>
      <c r="P448" s="157"/>
      <c r="Q448" s="157">
        <v>4</v>
      </c>
      <c r="R448" s="157">
        <v>4</v>
      </c>
      <c r="S448" s="157">
        <v>4</v>
      </c>
      <c r="T448" s="157">
        <v>1</v>
      </c>
      <c r="U448" s="157">
        <v>1</v>
      </c>
      <c r="V448" s="157">
        <v>1</v>
      </c>
      <c r="W448" s="157">
        <v>3</v>
      </c>
      <c r="X448" s="157"/>
      <c r="Y448" s="157">
        <f t="shared" si="6"/>
        <v>112</v>
      </c>
    </row>
    <row r="449" spans="1:25" x14ac:dyDescent="0.35">
      <c r="A449" s="157" t="s">
        <v>1118</v>
      </c>
      <c r="B449" s="157" t="s">
        <v>1119</v>
      </c>
      <c r="C449" s="157"/>
      <c r="D449" s="157"/>
      <c r="E449" s="157"/>
      <c r="F449" s="157"/>
      <c r="G449" s="157"/>
      <c r="H449" s="157"/>
      <c r="I449" s="157">
        <v>11</v>
      </c>
      <c r="J449" s="157"/>
      <c r="K449" s="157"/>
      <c r="L449" s="157"/>
      <c r="M449" s="157">
        <v>3</v>
      </c>
      <c r="N449" s="157"/>
      <c r="O449" s="157"/>
      <c r="P449" s="157"/>
      <c r="Q449" s="157"/>
      <c r="R449" s="157"/>
      <c r="S449" s="157">
        <v>1</v>
      </c>
      <c r="T449" s="157">
        <v>2</v>
      </c>
      <c r="U449" s="157"/>
      <c r="V449" s="157">
        <v>1</v>
      </c>
      <c r="W449" s="157"/>
      <c r="X449" s="157">
        <v>1</v>
      </c>
      <c r="Y449" s="157">
        <f t="shared" si="6"/>
        <v>19</v>
      </c>
    </row>
    <row r="450" spans="1:25" x14ac:dyDescent="0.35">
      <c r="A450" s="157" t="s">
        <v>1120</v>
      </c>
      <c r="B450" s="157" t="s">
        <v>1121</v>
      </c>
      <c r="C450" s="157">
        <v>3</v>
      </c>
      <c r="D450" s="157">
        <v>9</v>
      </c>
      <c r="E450" s="157">
        <v>18</v>
      </c>
      <c r="F450" s="157">
        <v>8</v>
      </c>
      <c r="G450" s="157">
        <v>5</v>
      </c>
      <c r="H450" s="157">
        <v>8</v>
      </c>
      <c r="I450" s="157">
        <v>31</v>
      </c>
      <c r="J450" s="157">
        <v>6</v>
      </c>
      <c r="K450" s="157">
        <v>8</v>
      </c>
      <c r="L450" s="157">
        <v>17</v>
      </c>
      <c r="M450" s="157">
        <v>15</v>
      </c>
      <c r="N450" s="157">
        <v>14</v>
      </c>
      <c r="O450" s="157"/>
      <c r="P450" s="157">
        <v>9</v>
      </c>
      <c r="Q450" s="157">
        <v>11</v>
      </c>
      <c r="R450" s="157">
        <v>3</v>
      </c>
      <c r="S450" s="157">
        <v>4</v>
      </c>
      <c r="T450" s="157">
        <v>11</v>
      </c>
      <c r="U450" s="157">
        <v>9</v>
      </c>
      <c r="V450" s="157">
        <v>4</v>
      </c>
      <c r="W450" s="157">
        <v>4</v>
      </c>
      <c r="X450" s="157">
        <v>3</v>
      </c>
      <c r="Y450" s="157">
        <f t="shared" si="6"/>
        <v>200</v>
      </c>
    </row>
    <row r="451" spans="1:25" x14ac:dyDescent="0.35">
      <c r="A451" s="157" t="s">
        <v>1122</v>
      </c>
      <c r="B451" s="157" t="s">
        <v>1123</v>
      </c>
      <c r="C451" s="157"/>
      <c r="D451" s="157"/>
      <c r="E451" s="157"/>
      <c r="F451" s="157"/>
      <c r="G451" s="157"/>
      <c r="H451" s="157"/>
      <c r="I451" s="157">
        <v>7</v>
      </c>
      <c r="J451" s="157"/>
      <c r="K451" s="157"/>
      <c r="L451" s="157">
        <v>2</v>
      </c>
      <c r="M451" s="157">
        <v>4</v>
      </c>
      <c r="N451" s="157">
        <v>1</v>
      </c>
      <c r="O451" s="157"/>
      <c r="P451" s="157">
        <v>1</v>
      </c>
      <c r="Q451" s="157">
        <v>1</v>
      </c>
      <c r="R451" s="157"/>
      <c r="S451" s="157"/>
      <c r="T451" s="157"/>
      <c r="U451" s="157"/>
      <c r="V451" s="157"/>
      <c r="W451" s="157"/>
      <c r="X451" s="157"/>
      <c r="Y451" s="157">
        <f t="shared" si="6"/>
        <v>16</v>
      </c>
    </row>
    <row r="452" spans="1:25" x14ac:dyDescent="0.35">
      <c r="A452" s="157" t="s">
        <v>1124</v>
      </c>
      <c r="B452" s="157" t="s">
        <v>1125</v>
      </c>
      <c r="C452" s="157"/>
      <c r="D452" s="157"/>
      <c r="E452" s="157">
        <v>1</v>
      </c>
      <c r="F452" s="157"/>
      <c r="G452" s="157"/>
      <c r="H452" s="157"/>
      <c r="I452" s="157">
        <v>1</v>
      </c>
      <c r="J452" s="157"/>
      <c r="K452" s="157"/>
      <c r="L452" s="157">
        <v>2</v>
      </c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>
        <f t="shared" si="6"/>
        <v>4</v>
      </c>
    </row>
    <row r="453" spans="1:25" x14ac:dyDescent="0.35">
      <c r="A453" s="157" t="s">
        <v>1126</v>
      </c>
      <c r="B453" s="157" t="s">
        <v>1127</v>
      </c>
      <c r="C453" s="157"/>
      <c r="D453" s="157"/>
      <c r="E453" s="157"/>
      <c r="F453" s="157">
        <v>1</v>
      </c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>
        <v>1</v>
      </c>
      <c r="X453" s="157"/>
      <c r="Y453" s="157">
        <f t="shared" si="6"/>
        <v>2</v>
      </c>
    </row>
    <row r="454" spans="1:25" x14ac:dyDescent="0.35">
      <c r="A454" s="157" t="s">
        <v>1128</v>
      </c>
      <c r="B454" s="157" t="s">
        <v>1129</v>
      </c>
      <c r="C454" s="157"/>
      <c r="D454" s="157"/>
      <c r="E454" s="157">
        <v>3</v>
      </c>
      <c r="F454" s="157"/>
      <c r="G454" s="157">
        <v>1</v>
      </c>
      <c r="H454" s="157"/>
      <c r="I454" s="157">
        <v>4</v>
      </c>
      <c r="J454" s="157">
        <v>2</v>
      </c>
      <c r="K454" s="157"/>
      <c r="L454" s="157">
        <v>1</v>
      </c>
      <c r="M454" s="157">
        <v>1</v>
      </c>
      <c r="N454" s="157"/>
      <c r="O454" s="157"/>
      <c r="P454" s="157"/>
      <c r="Q454" s="157">
        <v>2</v>
      </c>
      <c r="R454" s="157"/>
      <c r="S454" s="157"/>
      <c r="T454" s="157"/>
      <c r="U454" s="157"/>
      <c r="V454" s="157"/>
      <c r="W454" s="157"/>
      <c r="X454" s="157">
        <v>1</v>
      </c>
      <c r="Y454" s="157">
        <f t="shared" ref="Y454:Y470" si="7">+SUM(C454:X454)</f>
        <v>15</v>
      </c>
    </row>
    <row r="455" spans="1:25" x14ac:dyDescent="0.35">
      <c r="A455" s="157" t="s">
        <v>1130</v>
      </c>
      <c r="B455" s="157" t="s">
        <v>1131</v>
      </c>
      <c r="C455" s="157">
        <v>1</v>
      </c>
      <c r="D455" s="157">
        <v>9</v>
      </c>
      <c r="E455" s="157">
        <v>25</v>
      </c>
      <c r="F455" s="157">
        <v>12</v>
      </c>
      <c r="G455" s="157">
        <v>8</v>
      </c>
      <c r="H455" s="157">
        <v>6</v>
      </c>
      <c r="I455" s="157">
        <v>30</v>
      </c>
      <c r="J455" s="157">
        <v>9</v>
      </c>
      <c r="K455" s="157">
        <v>8</v>
      </c>
      <c r="L455" s="157">
        <v>47</v>
      </c>
      <c r="M455" s="157">
        <v>34</v>
      </c>
      <c r="N455" s="157">
        <v>6</v>
      </c>
      <c r="O455" s="157"/>
      <c r="P455" s="157">
        <v>4</v>
      </c>
      <c r="Q455" s="157">
        <v>14</v>
      </c>
      <c r="R455" s="157">
        <v>3</v>
      </c>
      <c r="S455" s="157">
        <v>3</v>
      </c>
      <c r="T455" s="157">
        <v>8</v>
      </c>
      <c r="U455" s="157">
        <v>3</v>
      </c>
      <c r="V455" s="157"/>
      <c r="W455" s="157">
        <v>5</v>
      </c>
      <c r="X455" s="157">
        <v>1</v>
      </c>
      <c r="Y455" s="157">
        <f t="shared" si="7"/>
        <v>236</v>
      </c>
    </row>
    <row r="456" spans="1:25" x14ac:dyDescent="0.35">
      <c r="A456" s="157" t="s">
        <v>1132</v>
      </c>
      <c r="B456" s="157" t="s">
        <v>1133</v>
      </c>
      <c r="C456" s="157">
        <v>2</v>
      </c>
      <c r="D456" s="157">
        <v>8</v>
      </c>
      <c r="E456" s="157">
        <v>18</v>
      </c>
      <c r="F456" s="157">
        <v>5</v>
      </c>
      <c r="G456" s="157">
        <v>5</v>
      </c>
      <c r="H456" s="157">
        <v>7</v>
      </c>
      <c r="I456" s="157">
        <v>13</v>
      </c>
      <c r="J456" s="157">
        <v>3</v>
      </c>
      <c r="K456" s="157">
        <v>4</v>
      </c>
      <c r="L456" s="157">
        <v>81</v>
      </c>
      <c r="M456" s="157">
        <v>12</v>
      </c>
      <c r="N456" s="157">
        <v>7</v>
      </c>
      <c r="O456" s="157"/>
      <c r="P456" s="157">
        <v>5</v>
      </c>
      <c r="Q456" s="157">
        <v>4</v>
      </c>
      <c r="R456" s="157">
        <v>4</v>
      </c>
      <c r="S456" s="157">
        <v>3</v>
      </c>
      <c r="T456" s="157">
        <v>7</v>
      </c>
      <c r="U456" s="157">
        <v>6</v>
      </c>
      <c r="V456" s="157">
        <v>1</v>
      </c>
      <c r="W456" s="157">
        <v>2</v>
      </c>
      <c r="X456" s="157"/>
      <c r="Y456" s="157">
        <f t="shared" si="7"/>
        <v>197</v>
      </c>
    </row>
    <row r="457" spans="1:25" x14ac:dyDescent="0.35">
      <c r="A457" s="157" t="s">
        <v>1134</v>
      </c>
      <c r="B457" s="157" t="s">
        <v>1135</v>
      </c>
      <c r="C457" s="157"/>
      <c r="D457" s="157">
        <v>4</v>
      </c>
      <c r="E457" s="157">
        <v>7</v>
      </c>
      <c r="F457" s="157">
        <v>1</v>
      </c>
      <c r="G457" s="157">
        <v>3</v>
      </c>
      <c r="H457" s="157"/>
      <c r="I457" s="157">
        <v>4</v>
      </c>
      <c r="J457" s="157">
        <v>1</v>
      </c>
      <c r="K457" s="157">
        <v>3</v>
      </c>
      <c r="L457" s="157">
        <v>17</v>
      </c>
      <c r="M457" s="157">
        <v>16</v>
      </c>
      <c r="N457" s="157">
        <v>1</v>
      </c>
      <c r="O457" s="157"/>
      <c r="P457" s="157"/>
      <c r="Q457" s="157">
        <v>1</v>
      </c>
      <c r="R457" s="157">
        <v>1</v>
      </c>
      <c r="S457" s="157">
        <v>1</v>
      </c>
      <c r="T457" s="157">
        <v>2</v>
      </c>
      <c r="U457" s="157">
        <v>2</v>
      </c>
      <c r="V457" s="157"/>
      <c r="W457" s="157">
        <v>2</v>
      </c>
      <c r="X457" s="157"/>
      <c r="Y457" s="157">
        <f t="shared" si="7"/>
        <v>66</v>
      </c>
    </row>
    <row r="458" spans="1:25" x14ac:dyDescent="0.35">
      <c r="A458" s="157" t="s">
        <v>1136</v>
      </c>
      <c r="B458" s="157" t="s">
        <v>1276</v>
      </c>
      <c r="C458" s="157">
        <v>2</v>
      </c>
      <c r="D458" s="157">
        <v>5</v>
      </c>
      <c r="E458" s="157">
        <v>7</v>
      </c>
      <c r="F458" s="157"/>
      <c r="G458" s="157">
        <v>11</v>
      </c>
      <c r="H458" s="157">
        <v>8</v>
      </c>
      <c r="I458" s="157">
        <v>4</v>
      </c>
      <c r="J458" s="157">
        <v>8</v>
      </c>
      <c r="K458" s="157">
        <v>3</v>
      </c>
      <c r="L458" s="157">
        <v>29</v>
      </c>
      <c r="M458" s="157">
        <v>4</v>
      </c>
      <c r="N458" s="157">
        <v>3</v>
      </c>
      <c r="O458" s="157"/>
      <c r="P458" s="157">
        <v>4</v>
      </c>
      <c r="Q458" s="157">
        <v>5</v>
      </c>
      <c r="R458" s="157">
        <v>4</v>
      </c>
      <c r="S458" s="157">
        <v>2</v>
      </c>
      <c r="T458" s="157">
        <v>6</v>
      </c>
      <c r="U458" s="157">
        <v>5</v>
      </c>
      <c r="V458" s="157"/>
      <c r="W458" s="157">
        <v>4</v>
      </c>
      <c r="X458" s="157"/>
      <c r="Y458" s="157">
        <f t="shared" si="7"/>
        <v>114</v>
      </c>
    </row>
    <row r="459" spans="1:25" x14ac:dyDescent="0.35">
      <c r="A459" s="157" t="s">
        <v>1137</v>
      </c>
      <c r="B459" s="157" t="s">
        <v>1138</v>
      </c>
      <c r="C459" s="157"/>
      <c r="D459" s="157">
        <v>1</v>
      </c>
      <c r="E459" s="157"/>
      <c r="F459" s="157"/>
      <c r="G459" s="157"/>
      <c r="H459" s="157"/>
      <c r="I459" s="157">
        <v>3</v>
      </c>
      <c r="J459" s="157"/>
      <c r="K459" s="157">
        <v>2</v>
      </c>
      <c r="L459" s="157">
        <v>2</v>
      </c>
      <c r="M459" s="157">
        <v>4</v>
      </c>
      <c r="N459" s="157"/>
      <c r="O459" s="157"/>
      <c r="P459" s="157"/>
      <c r="Q459" s="157"/>
      <c r="R459" s="157"/>
      <c r="S459" s="157"/>
      <c r="T459" s="157"/>
      <c r="U459" s="157">
        <v>1</v>
      </c>
      <c r="V459" s="157"/>
      <c r="W459" s="157"/>
      <c r="X459" s="157"/>
      <c r="Y459" s="157">
        <f t="shared" si="7"/>
        <v>13</v>
      </c>
    </row>
    <row r="460" spans="1:25" x14ac:dyDescent="0.35">
      <c r="A460" s="157" t="s">
        <v>1139</v>
      </c>
      <c r="B460" s="157" t="s">
        <v>1140</v>
      </c>
      <c r="C460" s="157">
        <v>1</v>
      </c>
      <c r="D460" s="157">
        <v>3</v>
      </c>
      <c r="E460" s="157">
        <v>7</v>
      </c>
      <c r="F460" s="157">
        <v>4</v>
      </c>
      <c r="G460" s="157">
        <v>4</v>
      </c>
      <c r="H460" s="157">
        <v>2</v>
      </c>
      <c r="I460" s="157">
        <v>5</v>
      </c>
      <c r="J460" s="157">
        <v>5</v>
      </c>
      <c r="K460" s="157">
        <v>6</v>
      </c>
      <c r="L460" s="157">
        <v>7</v>
      </c>
      <c r="M460" s="157">
        <v>6</v>
      </c>
      <c r="N460" s="157">
        <v>1</v>
      </c>
      <c r="O460" s="157"/>
      <c r="P460" s="157"/>
      <c r="Q460" s="157">
        <v>3</v>
      </c>
      <c r="R460" s="157">
        <v>2</v>
      </c>
      <c r="S460" s="157">
        <v>1</v>
      </c>
      <c r="T460" s="157"/>
      <c r="U460" s="157">
        <v>2</v>
      </c>
      <c r="V460" s="157"/>
      <c r="W460" s="157">
        <v>6</v>
      </c>
      <c r="X460" s="157"/>
      <c r="Y460" s="157">
        <f t="shared" si="7"/>
        <v>65</v>
      </c>
    </row>
    <row r="461" spans="1:25" x14ac:dyDescent="0.35">
      <c r="A461" s="157" t="s">
        <v>1141</v>
      </c>
      <c r="B461" s="157" t="s">
        <v>1142</v>
      </c>
      <c r="C461" s="157"/>
      <c r="D461" s="157">
        <v>5</v>
      </c>
      <c r="E461" s="157">
        <v>16</v>
      </c>
      <c r="F461" s="157">
        <v>5</v>
      </c>
      <c r="G461" s="157">
        <v>1</v>
      </c>
      <c r="H461" s="157">
        <v>4</v>
      </c>
      <c r="I461" s="157">
        <v>11</v>
      </c>
      <c r="J461" s="157">
        <v>4</v>
      </c>
      <c r="K461" s="157">
        <v>9</v>
      </c>
      <c r="L461" s="157">
        <v>46</v>
      </c>
      <c r="M461" s="157">
        <v>17</v>
      </c>
      <c r="N461" s="157">
        <v>2</v>
      </c>
      <c r="O461" s="157"/>
      <c r="P461" s="157">
        <v>1</v>
      </c>
      <c r="Q461" s="157">
        <v>4</v>
      </c>
      <c r="R461" s="157"/>
      <c r="S461" s="157">
        <v>2</v>
      </c>
      <c r="T461" s="157">
        <v>3</v>
      </c>
      <c r="U461" s="157">
        <v>3</v>
      </c>
      <c r="V461" s="157"/>
      <c r="W461" s="157">
        <v>4</v>
      </c>
      <c r="X461" s="157"/>
      <c r="Y461" s="157">
        <f t="shared" si="7"/>
        <v>137</v>
      </c>
    </row>
    <row r="462" spans="1:25" x14ac:dyDescent="0.35">
      <c r="A462" s="157" t="s">
        <v>1143</v>
      </c>
      <c r="B462" s="157" t="s">
        <v>1144</v>
      </c>
      <c r="C462" s="157"/>
      <c r="D462" s="157">
        <v>2</v>
      </c>
      <c r="E462" s="157">
        <v>11</v>
      </c>
      <c r="F462" s="157">
        <v>1</v>
      </c>
      <c r="G462" s="157">
        <v>2</v>
      </c>
      <c r="H462" s="157">
        <v>5</v>
      </c>
      <c r="I462" s="157">
        <v>10</v>
      </c>
      <c r="J462" s="157">
        <v>13</v>
      </c>
      <c r="K462" s="157">
        <v>5</v>
      </c>
      <c r="L462" s="157">
        <v>12</v>
      </c>
      <c r="M462" s="157">
        <v>15</v>
      </c>
      <c r="N462" s="157">
        <v>1</v>
      </c>
      <c r="O462" s="157"/>
      <c r="P462" s="157">
        <v>1</v>
      </c>
      <c r="Q462" s="157">
        <v>2</v>
      </c>
      <c r="R462" s="157">
        <v>1</v>
      </c>
      <c r="S462" s="157">
        <v>2</v>
      </c>
      <c r="T462" s="157">
        <v>1</v>
      </c>
      <c r="U462" s="157">
        <v>1</v>
      </c>
      <c r="V462" s="157"/>
      <c r="W462" s="157">
        <v>7</v>
      </c>
      <c r="X462" s="157">
        <v>2</v>
      </c>
      <c r="Y462" s="157">
        <f t="shared" si="7"/>
        <v>94</v>
      </c>
    </row>
    <row r="463" spans="1:25" x14ac:dyDescent="0.35">
      <c r="A463" s="157" t="s">
        <v>1145</v>
      </c>
      <c r="B463" s="157" t="s">
        <v>1146</v>
      </c>
      <c r="C463" s="157">
        <v>22</v>
      </c>
      <c r="D463" s="157">
        <v>148</v>
      </c>
      <c r="E463" s="157">
        <v>290</v>
      </c>
      <c r="F463" s="157">
        <v>147</v>
      </c>
      <c r="G463" s="157">
        <v>120</v>
      </c>
      <c r="H463" s="157">
        <v>72</v>
      </c>
      <c r="I463" s="157">
        <v>317</v>
      </c>
      <c r="J463" s="157">
        <v>98</v>
      </c>
      <c r="K463" s="157">
        <v>179</v>
      </c>
      <c r="L463" s="157">
        <v>327</v>
      </c>
      <c r="M463" s="157">
        <v>406</v>
      </c>
      <c r="N463" s="157">
        <v>105</v>
      </c>
      <c r="O463" s="157">
        <v>4</v>
      </c>
      <c r="P463" s="157">
        <v>42</v>
      </c>
      <c r="Q463" s="157">
        <v>106</v>
      </c>
      <c r="R463" s="157">
        <v>70</v>
      </c>
      <c r="S463" s="157">
        <v>50</v>
      </c>
      <c r="T463" s="157">
        <v>100</v>
      </c>
      <c r="U463" s="157">
        <v>40</v>
      </c>
      <c r="V463" s="157">
        <v>10</v>
      </c>
      <c r="W463" s="157">
        <v>86</v>
      </c>
      <c r="X463" s="157">
        <v>6</v>
      </c>
      <c r="Y463" s="157">
        <f t="shared" si="7"/>
        <v>2745</v>
      </c>
    </row>
    <row r="464" spans="1:25" x14ac:dyDescent="0.35">
      <c r="A464" s="157" t="s">
        <v>1147</v>
      </c>
      <c r="B464" s="157" t="s">
        <v>1148</v>
      </c>
      <c r="C464" s="157"/>
      <c r="D464" s="157">
        <v>4</v>
      </c>
      <c r="E464" s="157">
        <v>3</v>
      </c>
      <c r="F464" s="157">
        <v>1</v>
      </c>
      <c r="G464" s="157">
        <v>1</v>
      </c>
      <c r="H464" s="157">
        <v>2</v>
      </c>
      <c r="I464" s="157">
        <v>1</v>
      </c>
      <c r="J464" s="157">
        <v>2</v>
      </c>
      <c r="K464" s="157"/>
      <c r="L464" s="157">
        <v>26</v>
      </c>
      <c r="M464" s="157">
        <v>1</v>
      </c>
      <c r="N464" s="157">
        <v>1</v>
      </c>
      <c r="O464" s="157"/>
      <c r="P464" s="157"/>
      <c r="Q464" s="157">
        <v>2</v>
      </c>
      <c r="R464" s="157">
        <v>1</v>
      </c>
      <c r="S464" s="157">
        <v>2</v>
      </c>
      <c r="T464" s="157"/>
      <c r="U464" s="157"/>
      <c r="V464" s="157"/>
      <c r="W464" s="157">
        <v>2</v>
      </c>
      <c r="X464" s="157">
        <v>1</v>
      </c>
      <c r="Y464" s="157">
        <f t="shared" si="7"/>
        <v>50</v>
      </c>
    </row>
    <row r="465" spans="1:25" x14ac:dyDescent="0.35">
      <c r="A465" s="157" t="s">
        <v>1149</v>
      </c>
      <c r="B465" s="157" t="s">
        <v>1150</v>
      </c>
      <c r="C465" s="157">
        <v>7</v>
      </c>
      <c r="D465" s="157">
        <v>27</v>
      </c>
      <c r="E465" s="157">
        <v>64</v>
      </c>
      <c r="F465" s="157">
        <v>24</v>
      </c>
      <c r="G465" s="157">
        <v>23</v>
      </c>
      <c r="H465" s="157">
        <v>20</v>
      </c>
      <c r="I465" s="157">
        <v>93</v>
      </c>
      <c r="J465" s="157">
        <v>16</v>
      </c>
      <c r="K465" s="157">
        <v>46</v>
      </c>
      <c r="L465" s="157">
        <v>74</v>
      </c>
      <c r="M465" s="157">
        <v>77</v>
      </c>
      <c r="N465" s="157">
        <v>10</v>
      </c>
      <c r="O465" s="157"/>
      <c r="P465" s="157">
        <v>13</v>
      </c>
      <c r="Q465" s="157">
        <v>23</v>
      </c>
      <c r="R465" s="157">
        <v>9</v>
      </c>
      <c r="S465" s="157">
        <v>6</v>
      </c>
      <c r="T465" s="157">
        <v>26</v>
      </c>
      <c r="U465" s="157">
        <v>6</v>
      </c>
      <c r="V465" s="157">
        <v>5</v>
      </c>
      <c r="W465" s="157">
        <v>17</v>
      </c>
      <c r="X465" s="157">
        <v>3</v>
      </c>
      <c r="Y465" s="157">
        <f t="shared" si="7"/>
        <v>589</v>
      </c>
    </row>
    <row r="466" spans="1:25" x14ac:dyDescent="0.35">
      <c r="A466" s="157" t="s">
        <v>1151</v>
      </c>
      <c r="B466" s="157" t="s">
        <v>255</v>
      </c>
      <c r="C466" s="157"/>
      <c r="D466" s="157">
        <v>2</v>
      </c>
      <c r="E466" s="157"/>
      <c r="F466" s="157">
        <v>1</v>
      </c>
      <c r="G466" s="157"/>
      <c r="H466" s="157">
        <v>1</v>
      </c>
      <c r="I466" s="157">
        <v>1</v>
      </c>
      <c r="J466" s="157"/>
      <c r="K466" s="157"/>
      <c r="L466" s="157">
        <v>1</v>
      </c>
      <c r="M466" s="157">
        <v>3</v>
      </c>
      <c r="N466" s="157"/>
      <c r="O466" s="157"/>
      <c r="P466" s="157"/>
      <c r="Q466" s="157">
        <v>3</v>
      </c>
      <c r="R466" s="157"/>
      <c r="S466" s="157">
        <v>1</v>
      </c>
      <c r="T466" s="157"/>
      <c r="U466" s="157"/>
      <c r="V466" s="157"/>
      <c r="W466" s="157"/>
      <c r="X466" s="157"/>
      <c r="Y466" s="157">
        <f t="shared" si="7"/>
        <v>13</v>
      </c>
    </row>
    <row r="467" spans="1:25" x14ac:dyDescent="0.35">
      <c r="A467" s="157" t="s">
        <v>1152</v>
      </c>
      <c r="B467" s="157" t="s">
        <v>1153</v>
      </c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>
        <v>1</v>
      </c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>
        <f t="shared" si="7"/>
        <v>1</v>
      </c>
    </row>
    <row r="468" spans="1:25" x14ac:dyDescent="0.35">
      <c r="A468" s="157" t="s">
        <v>1154</v>
      </c>
      <c r="B468" s="157" t="s">
        <v>1155</v>
      </c>
      <c r="C468" s="157">
        <v>1</v>
      </c>
      <c r="D468" s="157"/>
      <c r="E468" s="157"/>
      <c r="F468" s="157"/>
      <c r="G468" s="157"/>
      <c r="H468" s="157"/>
      <c r="I468" s="157">
        <v>6</v>
      </c>
      <c r="J468" s="157"/>
      <c r="K468" s="157">
        <v>1</v>
      </c>
      <c r="L468" s="157">
        <v>2</v>
      </c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>
        <f t="shared" si="7"/>
        <v>10</v>
      </c>
    </row>
    <row r="469" spans="1:25" x14ac:dyDescent="0.35">
      <c r="A469" s="157" t="s">
        <v>1193</v>
      </c>
      <c r="B469" s="157" t="s">
        <v>1193</v>
      </c>
      <c r="C469" s="157"/>
      <c r="D469" s="157"/>
      <c r="E469" s="157">
        <v>1</v>
      </c>
      <c r="F469" s="157"/>
      <c r="G469" s="157"/>
      <c r="H469" s="157"/>
      <c r="I469" s="157">
        <v>4</v>
      </c>
      <c r="J469" s="157">
        <v>1</v>
      </c>
      <c r="K469" s="157"/>
      <c r="L469" s="157"/>
      <c r="M469" s="157">
        <v>1</v>
      </c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>
        <f t="shared" si="7"/>
        <v>7</v>
      </c>
    </row>
    <row r="470" spans="1:25" x14ac:dyDescent="0.35">
      <c r="A470" s="157" t="s">
        <v>328</v>
      </c>
      <c r="B470" s="157" t="s">
        <v>68</v>
      </c>
      <c r="C470" s="157"/>
      <c r="D470" s="157">
        <v>6</v>
      </c>
      <c r="E470" s="157">
        <v>13</v>
      </c>
      <c r="F470" s="157">
        <v>9</v>
      </c>
      <c r="G470" s="157">
        <v>3</v>
      </c>
      <c r="H470" s="157">
        <v>2</v>
      </c>
      <c r="I470" s="157">
        <v>31</v>
      </c>
      <c r="J470" s="157">
        <v>4</v>
      </c>
      <c r="K470" s="157">
        <v>7</v>
      </c>
      <c r="L470" s="157">
        <v>20</v>
      </c>
      <c r="M470" s="157">
        <v>22</v>
      </c>
      <c r="N470" s="157">
        <v>4</v>
      </c>
      <c r="O470" s="157"/>
      <c r="P470" s="157">
        <v>1</v>
      </c>
      <c r="Q470" s="157">
        <v>6</v>
      </c>
      <c r="R470" s="157">
        <v>2</v>
      </c>
      <c r="S470" s="157">
        <v>1</v>
      </c>
      <c r="T470" s="157"/>
      <c r="U470" s="157">
        <v>1</v>
      </c>
      <c r="V470" s="157">
        <v>3</v>
      </c>
      <c r="W470" s="157">
        <v>5</v>
      </c>
      <c r="X470" s="157"/>
      <c r="Y470" s="157">
        <f t="shared" si="7"/>
        <v>140</v>
      </c>
    </row>
    <row r="471" spans="1:25" x14ac:dyDescent="0.35">
      <c r="A471" s="135" t="s">
        <v>16</v>
      </c>
      <c r="B471" s="135"/>
      <c r="C471" s="160">
        <f>SUM(C5:C470)</f>
        <v>1172</v>
      </c>
      <c r="D471" s="19">
        <f>SUM(D5:D470)</f>
        <v>4360</v>
      </c>
      <c r="E471" s="19">
        <f>SUM(E5:E470)</f>
        <v>10346</v>
      </c>
      <c r="F471" s="19">
        <f>SUM(F5:F470)</f>
        <v>4620</v>
      </c>
      <c r="G471" s="19">
        <f>SUM(G5:G470)</f>
        <v>3944</v>
      </c>
      <c r="H471" s="19">
        <f>SUM(H5:H470)</f>
        <v>2781</v>
      </c>
      <c r="I471" s="19">
        <f>SUM(I5:I470)</f>
        <v>24290</v>
      </c>
      <c r="J471" s="19">
        <f>SUM(J5:J470)</f>
        <v>6287</v>
      </c>
      <c r="K471" s="19">
        <f>SUM(K5:K470)</f>
        <v>4929</v>
      </c>
      <c r="L471" s="19">
        <f>SUM(L5:L470)</f>
        <v>23098</v>
      </c>
      <c r="M471" s="19">
        <f>SUM(M5:M470)</f>
        <v>11587</v>
      </c>
      <c r="N471" s="19">
        <f>SUM(N5:N470)</f>
        <v>2595</v>
      </c>
      <c r="O471" s="19">
        <f>SUM(O5:O470)</f>
        <v>92</v>
      </c>
      <c r="P471" s="19">
        <f>SUM(P5:P470)</f>
        <v>1796</v>
      </c>
      <c r="Q471" s="19">
        <f>SUM(Q5:Q470)</f>
        <v>4119</v>
      </c>
      <c r="R471" s="19">
        <f>SUM(R5:R470)</f>
        <v>1930</v>
      </c>
      <c r="S471" s="19">
        <f>SUM(S5:S470)</f>
        <v>1612</v>
      </c>
      <c r="T471" s="19">
        <f>SUM(T5:T470)</f>
        <v>2781</v>
      </c>
      <c r="U471" s="19">
        <f>SUM(U5:U470)</f>
        <v>1763</v>
      </c>
      <c r="V471" s="19">
        <f>SUM(V5:V470)</f>
        <v>1048</v>
      </c>
      <c r="W471" s="19">
        <f>SUM(W5:W470)</f>
        <v>2797</v>
      </c>
      <c r="X471" s="19">
        <f>SUM(X5:X470)</f>
        <v>494</v>
      </c>
      <c r="Y471" s="19">
        <f>SUM(Y5:Y470)</f>
        <v>118441</v>
      </c>
    </row>
    <row r="474" spans="1:25" x14ac:dyDescent="0.35">
      <c r="A474" t="s">
        <v>1355</v>
      </c>
    </row>
    <row r="475" spans="1:25" x14ac:dyDescent="0.35">
      <c r="A475" t="s">
        <v>17</v>
      </c>
    </row>
    <row r="476" spans="1:25" x14ac:dyDescent="0.35">
      <c r="A476" t="s">
        <v>1320</v>
      </c>
    </row>
  </sheetData>
  <mergeCells count="1">
    <mergeCell ref="A471:B471"/>
  </mergeCells>
  <hyperlinks>
    <hyperlink ref="G1" location="Índice!A1" display="Volver al índice" xr:uid="{D17F197A-98D7-493A-AF29-5EDF4DCB12B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Tabla 1</vt:lpstr>
      <vt:lpstr>Tabla 2</vt:lpstr>
      <vt:lpstr>Tabla 3</vt:lpstr>
      <vt:lpstr>Tabla 4</vt:lpstr>
      <vt:lpstr>Tabla 5</vt:lpstr>
      <vt:lpstr>Tabla 6</vt:lpstr>
      <vt:lpstr>Tabla 7</vt:lpstr>
      <vt:lpstr>Tabla 8</vt:lpstr>
      <vt:lpstr>Tabla 9</vt:lpstr>
      <vt:lpstr>Tabla 10</vt:lpstr>
      <vt:lpstr>Tabla 11</vt:lpstr>
      <vt:lpstr>Tabla 12</vt:lpstr>
      <vt:lpstr>Tabla 13</vt:lpstr>
      <vt:lpstr>Tabla 14</vt:lpstr>
      <vt:lpstr>Tabla 15</vt:lpstr>
      <vt:lpstr>Tabla 16</vt:lpstr>
      <vt:lpstr>Tabla 17</vt:lpstr>
      <vt:lpstr>Tabla 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HUMBERTO DE JESUS ALVAREZ HINCAPIE</dc:creator>
  <cp:keywords/>
  <dc:description/>
  <cp:lastModifiedBy>Diana Estefanía Correa Castañeda</cp:lastModifiedBy>
  <cp:revision/>
  <dcterms:created xsi:type="dcterms:W3CDTF">2021-01-18T15:49:17Z</dcterms:created>
  <dcterms:modified xsi:type="dcterms:W3CDTF">2025-02-04T20:59:33Z</dcterms:modified>
  <cp:category/>
  <cp:contentStatus/>
</cp:coreProperties>
</file>